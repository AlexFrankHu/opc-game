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9440" windowHeight="12240"/>
  </bookViews>
  <sheets>
    <sheet name="equip.xml" sheetId="1" r:id="rId1"/>
    <sheet name="equip.txt" sheetId="2" r:id="rId2"/>
  </sheets>
  <functionGroups/>
  <externalReferences>
    <externalReference r:id="rId3"/>
  </externalReferences>
  <calcPr calcId="124519"/>
</workbook>
</file>

<file path=xl/calcChain.xml><?xml version="1.0" encoding="utf-8"?>
<calcChain xmlns="http://schemas.openxmlformats.org/spreadsheetml/2006/main">
  <c r="A1662" i="2"/>
  <c r="B1662"/>
  <c r="C1662"/>
  <c r="D1662"/>
  <c r="E1662"/>
  <c r="F1662"/>
  <c r="G1662"/>
  <c r="H1662"/>
  <c r="I1662"/>
  <c r="J1662"/>
  <c r="K1662"/>
  <c r="L1662"/>
  <c r="M1662"/>
  <c r="N1662"/>
  <c r="A1663"/>
  <c r="B1663"/>
  <c r="C1663"/>
  <c r="D1663"/>
  <c r="E1663"/>
  <c r="F1663"/>
  <c r="G1663"/>
  <c r="H1663"/>
  <c r="I1663"/>
  <c r="J1663"/>
  <c r="K1663"/>
  <c r="L1663"/>
  <c r="M1663"/>
  <c r="N1663"/>
  <c r="A1664"/>
  <c r="B1664"/>
  <c r="C1664"/>
  <c r="D1664"/>
  <c r="E1664"/>
  <c r="F1664"/>
  <c r="G1664"/>
  <c r="H1664"/>
  <c r="I1664"/>
  <c r="J1664"/>
  <c r="K1664"/>
  <c r="L1664"/>
  <c r="M1664"/>
  <c r="N1664"/>
  <c r="A1661" l="1"/>
  <c r="B1661"/>
  <c r="C1661"/>
  <c r="D1661"/>
  <c r="E1661"/>
  <c r="F1661"/>
  <c r="G1661"/>
  <c r="H1661"/>
  <c r="I1661"/>
  <c r="J1661"/>
  <c r="K1661"/>
  <c r="L1661"/>
  <c r="M1661"/>
  <c r="N1661"/>
  <c r="G1665" i="1"/>
  <c r="A1655" i="2"/>
  <c r="B1655"/>
  <c r="C1655"/>
  <c r="D1655"/>
  <c r="E1655"/>
  <c r="F1655"/>
  <c r="G1655"/>
  <c r="H1655"/>
  <c r="I1655"/>
  <c r="J1655"/>
  <c r="K1655"/>
  <c r="L1655"/>
  <c r="M1655"/>
  <c r="N1655"/>
  <c r="A1656"/>
  <c r="B1656"/>
  <c r="C1656"/>
  <c r="D1656"/>
  <c r="E1656"/>
  <c r="F1656"/>
  <c r="G1656"/>
  <c r="H1656"/>
  <c r="I1656"/>
  <c r="J1656"/>
  <c r="K1656"/>
  <c r="L1656"/>
  <c r="M1656"/>
  <c r="N1656"/>
  <c r="A1657"/>
  <c r="B1657"/>
  <c r="C1657"/>
  <c r="D1657"/>
  <c r="E1657"/>
  <c r="F1657"/>
  <c r="G1657"/>
  <c r="H1657"/>
  <c r="I1657"/>
  <c r="J1657"/>
  <c r="K1657"/>
  <c r="L1657"/>
  <c r="M1657"/>
  <c r="N1657"/>
  <c r="A1658"/>
  <c r="B1658"/>
  <c r="C1658"/>
  <c r="D1658"/>
  <c r="E1658"/>
  <c r="F1658"/>
  <c r="G1658"/>
  <c r="H1658"/>
  <c r="I1658"/>
  <c r="J1658"/>
  <c r="K1658"/>
  <c r="L1658"/>
  <c r="M1658"/>
  <c r="N1658"/>
  <c r="A1659"/>
  <c r="B1659"/>
  <c r="C1659"/>
  <c r="D1659"/>
  <c r="E1659"/>
  <c r="F1659"/>
  <c r="G1659"/>
  <c r="H1659"/>
  <c r="I1659"/>
  <c r="J1659"/>
  <c r="K1659"/>
  <c r="L1659"/>
  <c r="M1659"/>
  <c r="N1659"/>
  <c r="A1660"/>
  <c r="B1660"/>
  <c r="C1660"/>
  <c r="D1660"/>
  <c r="E1660"/>
  <c r="F1660"/>
  <c r="G1660"/>
  <c r="H1660"/>
  <c r="I1660"/>
  <c r="J1660"/>
  <c r="K1660"/>
  <c r="L1660"/>
  <c r="M1660"/>
  <c r="N1660"/>
  <c r="A3" l="1"/>
  <c r="B3"/>
  <c r="C3"/>
  <c r="D3"/>
  <c r="F3"/>
  <c r="G3"/>
  <c r="H3"/>
  <c r="I3"/>
  <c r="J3"/>
  <c r="K3"/>
  <c r="L3"/>
  <c r="M3"/>
  <c r="N3"/>
  <c r="A4"/>
  <c r="B4"/>
  <c r="C4"/>
  <c r="D4"/>
  <c r="F4"/>
  <c r="G4"/>
  <c r="H4"/>
  <c r="I4"/>
  <c r="J4"/>
  <c r="K4"/>
  <c r="L4"/>
  <c r="M4"/>
  <c r="N4"/>
  <c r="A5"/>
  <c r="B5"/>
  <c r="C5"/>
  <c r="D5"/>
  <c r="F5"/>
  <c r="G5"/>
  <c r="H5"/>
  <c r="I5"/>
  <c r="J5"/>
  <c r="K5"/>
  <c r="L5"/>
  <c r="M5"/>
  <c r="N5"/>
  <c r="A6"/>
  <c r="B6"/>
  <c r="C6"/>
  <c r="D6"/>
  <c r="F6"/>
  <c r="G6"/>
  <c r="H6"/>
  <c r="I6"/>
  <c r="J6"/>
  <c r="K6"/>
  <c r="L6"/>
  <c r="M6"/>
  <c r="N6"/>
  <c r="A7"/>
  <c r="B7"/>
  <c r="C7"/>
  <c r="D7"/>
  <c r="F7"/>
  <c r="G7"/>
  <c r="H7"/>
  <c r="I7"/>
  <c r="J7"/>
  <c r="K7"/>
  <c r="L7"/>
  <c r="M7"/>
  <c r="N7"/>
  <c r="A8"/>
  <c r="B8"/>
  <c r="C8"/>
  <c r="D8"/>
  <c r="F8"/>
  <c r="G8"/>
  <c r="H8"/>
  <c r="I8"/>
  <c r="J8"/>
  <c r="K8"/>
  <c r="L8"/>
  <c r="M8"/>
  <c r="N8"/>
  <c r="A9"/>
  <c r="B9"/>
  <c r="C9"/>
  <c r="D9"/>
  <c r="F9"/>
  <c r="G9"/>
  <c r="H9"/>
  <c r="I9"/>
  <c r="J9"/>
  <c r="K9"/>
  <c r="L9"/>
  <c r="M9"/>
  <c r="N9"/>
  <c r="A10"/>
  <c r="B10"/>
  <c r="C10"/>
  <c r="D10"/>
  <c r="F10"/>
  <c r="G10"/>
  <c r="H10"/>
  <c r="I10"/>
  <c r="J10"/>
  <c r="K10"/>
  <c r="L10"/>
  <c r="M10"/>
  <c r="N10"/>
  <c r="A11"/>
  <c r="B11"/>
  <c r="C11"/>
  <c r="D11"/>
  <c r="F11"/>
  <c r="G11"/>
  <c r="H11"/>
  <c r="I11"/>
  <c r="J11"/>
  <c r="K11"/>
  <c r="L11"/>
  <c r="M11"/>
  <c r="N11"/>
  <c r="A12"/>
  <c r="B12"/>
  <c r="C12"/>
  <c r="D12"/>
  <c r="F12"/>
  <c r="G12"/>
  <c r="H12"/>
  <c r="I12"/>
  <c r="J12"/>
  <c r="K12"/>
  <c r="L12"/>
  <c r="M12"/>
  <c r="N12"/>
  <c r="A13"/>
  <c r="B13"/>
  <c r="C13"/>
  <c r="D13"/>
  <c r="F13"/>
  <c r="G13"/>
  <c r="H13"/>
  <c r="I13"/>
  <c r="J13"/>
  <c r="K13"/>
  <c r="L13"/>
  <c r="M13"/>
  <c r="N13"/>
  <c r="A14"/>
  <c r="B14"/>
  <c r="C14"/>
  <c r="D14"/>
  <c r="F14"/>
  <c r="G14"/>
  <c r="H14"/>
  <c r="I14"/>
  <c r="J14"/>
  <c r="K14"/>
  <c r="L14"/>
  <c r="M14"/>
  <c r="N14"/>
  <c r="A15"/>
  <c r="B15"/>
  <c r="C15"/>
  <c r="D15"/>
  <c r="F15"/>
  <c r="G15"/>
  <c r="H15"/>
  <c r="I15"/>
  <c r="J15"/>
  <c r="K15"/>
  <c r="L15"/>
  <c r="M15"/>
  <c r="N15"/>
  <c r="A16"/>
  <c r="B16"/>
  <c r="C16"/>
  <c r="D16"/>
  <c r="F16"/>
  <c r="G16"/>
  <c r="H16"/>
  <c r="I16"/>
  <c r="J16"/>
  <c r="K16"/>
  <c r="L16"/>
  <c r="M16"/>
  <c r="N16"/>
  <c r="A17"/>
  <c r="B17"/>
  <c r="C17"/>
  <c r="D17"/>
  <c r="F17"/>
  <c r="G17"/>
  <c r="H17"/>
  <c r="I17"/>
  <c r="J17"/>
  <c r="K17"/>
  <c r="L17"/>
  <c r="M17"/>
  <c r="N17"/>
  <c r="A18"/>
  <c r="B18"/>
  <c r="C18"/>
  <c r="D18"/>
  <c r="F18"/>
  <c r="G18"/>
  <c r="H18"/>
  <c r="I18"/>
  <c r="J18"/>
  <c r="K18"/>
  <c r="L18"/>
  <c r="M18"/>
  <c r="N18"/>
  <c r="A19"/>
  <c r="B19"/>
  <c r="C19"/>
  <c r="D19"/>
  <c r="F19"/>
  <c r="G19"/>
  <c r="H19"/>
  <c r="I19"/>
  <c r="J19"/>
  <c r="K19"/>
  <c r="L19"/>
  <c r="M19"/>
  <c r="N19"/>
  <c r="A20"/>
  <c r="B20"/>
  <c r="C20"/>
  <c r="D20"/>
  <c r="F20"/>
  <c r="G20"/>
  <c r="H20"/>
  <c r="I20"/>
  <c r="J20"/>
  <c r="K20"/>
  <c r="L20"/>
  <c r="M20"/>
  <c r="N20"/>
  <c r="A21"/>
  <c r="B21"/>
  <c r="C21"/>
  <c r="D21"/>
  <c r="F21"/>
  <c r="G21"/>
  <c r="H21"/>
  <c r="I21"/>
  <c r="J21"/>
  <c r="K21"/>
  <c r="L21"/>
  <c r="M21"/>
  <c r="N21"/>
  <c r="A22"/>
  <c r="B22"/>
  <c r="C22"/>
  <c r="D22"/>
  <c r="F22"/>
  <c r="G22"/>
  <c r="H22"/>
  <c r="I22"/>
  <c r="J22"/>
  <c r="K22"/>
  <c r="L22"/>
  <c r="M22"/>
  <c r="N22"/>
  <c r="A23"/>
  <c r="B23"/>
  <c r="C23"/>
  <c r="D23"/>
  <c r="F23"/>
  <c r="G23"/>
  <c r="H23"/>
  <c r="I23"/>
  <c r="J23"/>
  <c r="K23"/>
  <c r="L23"/>
  <c r="M23"/>
  <c r="N23"/>
  <c r="A24"/>
  <c r="B24"/>
  <c r="C24"/>
  <c r="D24"/>
  <c r="F24"/>
  <c r="G24"/>
  <c r="H24"/>
  <c r="I24"/>
  <c r="J24"/>
  <c r="K24"/>
  <c r="L24"/>
  <c r="M24"/>
  <c r="N24"/>
  <c r="A25"/>
  <c r="B25"/>
  <c r="C25"/>
  <c r="D25"/>
  <c r="F25"/>
  <c r="G25"/>
  <c r="H25"/>
  <c r="I25"/>
  <c r="J25"/>
  <c r="K25"/>
  <c r="L25"/>
  <c r="M25"/>
  <c r="N25"/>
  <c r="A26"/>
  <c r="B26"/>
  <c r="C26"/>
  <c r="D26"/>
  <c r="F26"/>
  <c r="G26"/>
  <c r="H26"/>
  <c r="I26"/>
  <c r="J26"/>
  <c r="K26"/>
  <c r="L26"/>
  <c r="M26"/>
  <c r="N26"/>
  <c r="A27"/>
  <c r="B27"/>
  <c r="C27"/>
  <c r="D27"/>
  <c r="F27"/>
  <c r="G27"/>
  <c r="H27"/>
  <c r="I27"/>
  <c r="J27"/>
  <c r="K27"/>
  <c r="L27"/>
  <c r="M27"/>
  <c r="N27"/>
  <c r="A28"/>
  <c r="B28"/>
  <c r="C28"/>
  <c r="D28"/>
  <c r="F28"/>
  <c r="G28"/>
  <c r="H28"/>
  <c r="I28"/>
  <c r="J28"/>
  <c r="K28"/>
  <c r="L28"/>
  <c r="M28"/>
  <c r="N28"/>
  <c r="A29"/>
  <c r="B29"/>
  <c r="C29"/>
  <c r="D29"/>
  <c r="F29"/>
  <c r="G29"/>
  <c r="H29"/>
  <c r="I29"/>
  <c r="J29"/>
  <c r="K29"/>
  <c r="L29"/>
  <c r="M29"/>
  <c r="N29"/>
  <c r="A30"/>
  <c r="B30"/>
  <c r="C30"/>
  <c r="D30"/>
  <c r="F30"/>
  <c r="G30"/>
  <c r="H30"/>
  <c r="I30"/>
  <c r="J30"/>
  <c r="K30"/>
  <c r="L30"/>
  <c r="M30"/>
  <c r="N30"/>
  <c r="A31"/>
  <c r="B31"/>
  <c r="C31"/>
  <c r="D31"/>
  <c r="F31"/>
  <c r="G31"/>
  <c r="H31"/>
  <c r="I31"/>
  <c r="J31"/>
  <c r="K31"/>
  <c r="L31"/>
  <c r="M31"/>
  <c r="N31"/>
  <c r="A32"/>
  <c r="B32"/>
  <c r="C32"/>
  <c r="D32"/>
  <c r="F32"/>
  <c r="G32"/>
  <c r="H32"/>
  <c r="I32"/>
  <c r="J32"/>
  <c r="K32"/>
  <c r="L32"/>
  <c r="M32"/>
  <c r="N32"/>
  <c r="A33"/>
  <c r="B33"/>
  <c r="C33"/>
  <c r="D33"/>
  <c r="F33"/>
  <c r="G33"/>
  <c r="H33"/>
  <c r="I33"/>
  <c r="J33"/>
  <c r="K33"/>
  <c r="L33"/>
  <c r="M33"/>
  <c r="N33"/>
  <c r="A34"/>
  <c r="B34"/>
  <c r="C34"/>
  <c r="D34"/>
  <c r="F34"/>
  <c r="G34"/>
  <c r="H34"/>
  <c r="I34"/>
  <c r="J34"/>
  <c r="K34"/>
  <c r="L34"/>
  <c r="M34"/>
  <c r="N34"/>
  <c r="A35"/>
  <c r="B35"/>
  <c r="C35"/>
  <c r="D35"/>
  <c r="F35"/>
  <c r="G35"/>
  <c r="H35"/>
  <c r="I35"/>
  <c r="J35"/>
  <c r="K35"/>
  <c r="L35"/>
  <c r="M35"/>
  <c r="N35"/>
  <c r="A36"/>
  <c r="B36"/>
  <c r="C36"/>
  <c r="D36"/>
  <c r="F36"/>
  <c r="G36"/>
  <c r="H36"/>
  <c r="I36"/>
  <c r="J36"/>
  <c r="K36"/>
  <c r="L36"/>
  <c r="M36"/>
  <c r="N36"/>
  <c r="A37"/>
  <c r="B37"/>
  <c r="C37"/>
  <c r="D37"/>
  <c r="F37"/>
  <c r="G37"/>
  <c r="H37"/>
  <c r="I37"/>
  <c r="J37"/>
  <c r="K37"/>
  <c r="L37"/>
  <c r="M37"/>
  <c r="N37"/>
  <c r="A38"/>
  <c r="B38"/>
  <c r="C38"/>
  <c r="D38"/>
  <c r="F38"/>
  <c r="G38"/>
  <c r="H38"/>
  <c r="I38"/>
  <c r="J38"/>
  <c r="K38"/>
  <c r="L38"/>
  <c r="M38"/>
  <c r="N38"/>
  <c r="A39"/>
  <c r="B39"/>
  <c r="C39"/>
  <c r="D39"/>
  <c r="F39"/>
  <c r="G39"/>
  <c r="H39"/>
  <c r="I39"/>
  <c r="J39"/>
  <c r="K39"/>
  <c r="L39"/>
  <c r="M39"/>
  <c r="N39"/>
  <c r="A40"/>
  <c r="B40"/>
  <c r="C40"/>
  <c r="D40"/>
  <c r="F40"/>
  <c r="G40"/>
  <c r="H40"/>
  <c r="I40"/>
  <c r="J40"/>
  <c r="K40"/>
  <c r="L40"/>
  <c r="M40"/>
  <c r="N40"/>
  <c r="A41"/>
  <c r="B41"/>
  <c r="C41"/>
  <c r="D41"/>
  <c r="F41"/>
  <c r="G41"/>
  <c r="H41"/>
  <c r="I41"/>
  <c r="J41"/>
  <c r="K41"/>
  <c r="L41"/>
  <c r="M41"/>
  <c r="N41"/>
  <c r="A42"/>
  <c r="B42"/>
  <c r="C42"/>
  <c r="D42"/>
  <c r="F42"/>
  <c r="G42"/>
  <c r="H42"/>
  <c r="I42"/>
  <c r="J42"/>
  <c r="K42"/>
  <c r="L42"/>
  <c r="M42"/>
  <c r="N42"/>
  <c r="A43"/>
  <c r="B43"/>
  <c r="C43"/>
  <c r="D43"/>
  <c r="F43"/>
  <c r="G43"/>
  <c r="H43"/>
  <c r="I43"/>
  <c r="J43"/>
  <c r="K43"/>
  <c r="L43"/>
  <c r="M43"/>
  <c r="N43"/>
  <c r="A44"/>
  <c r="B44"/>
  <c r="C44"/>
  <c r="D44"/>
  <c r="F44"/>
  <c r="G44"/>
  <c r="H44"/>
  <c r="I44"/>
  <c r="J44"/>
  <c r="K44"/>
  <c r="L44"/>
  <c r="M44"/>
  <c r="N44"/>
  <c r="A45"/>
  <c r="B45"/>
  <c r="C45"/>
  <c r="D45"/>
  <c r="F45"/>
  <c r="G45"/>
  <c r="H45"/>
  <c r="I45"/>
  <c r="J45"/>
  <c r="K45"/>
  <c r="L45"/>
  <c r="M45"/>
  <c r="N45"/>
  <c r="A46"/>
  <c r="B46"/>
  <c r="C46"/>
  <c r="D46"/>
  <c r="F46"/>
  <c r="G46"/>
  <c r="H46"/>
  <c r="I46"/>
  <c r="J46"/>
  <c r="K46"/>
  <c r="L46"/>
  <c r="M46"/>
  <c r="N46"/>
  <c r="A47"/>
  <c r="B47"/>
  <c r="C47"/>
  <c r="D47"/>
  <c r="F47"/>
  <c r="G47"/>
  <c r="H47"/>
  <c r="I47"/>
  <c r="J47"/>
  <c r="K47"/>
  <c r="L47"/>
  <c r="M47"/>
  <c r="N47"/>
  <c r="A48"/>
  <c r="B48"/>
  <c r="C48"/>
  <c r="D48"/>
  <c r="F48"/>
  <c r="G48"/>
  <c r="H48"/>
  <c r="I48"/>
  <c r="J48"/>
  <c r="K48"/>
  <c r="L48"/>
  <c r="M48"/>
  <c r="N48"/>
  <c r="A49"/>
  <c r="B49"/>
  <c r="C49"/>
  <c r="D49"/>
  <c r="F49"/>
  <c r="G49"/>
  <c r="H49"/>
  <c r="I49"/>
  <c r="J49"/>
  <c r="K49"/>
  <c r="L49"/>
  <c r="M49"/>
  <c r="N49"/>
  <c r="A50"/>
  <c r="B50"/>
  <c r="C50"/>
  <c r="D50"/>
  <c r="F50"/>
  <c r="G50"/>
  <c r="H50"/>
  <c r="I50"/>
  <c r="J50"/>
  <c r="K50"/>
  <c r="L50"/>
  <c r="M50"/>
  <c r="N50"/>
  <c r="A51"/>
  <c r="B51"/>
  <c r="C51"/>
  <c r="D51"/>
  <c r="F51"/>
  <c r="G51"/>
  <c r="H51"/>
  <c r="I51"/>
  <c r="J51"/>
  <c r="K51"/>
  <c r="L51"/>
  <c r="M51"/>
  <c r="N51"/>
  <c r="A52"/>
  <c r="B52"/>
  <c r="C52"/>
  <c r="D52"/>
  <c r="F52"/>
  <c r="G52"/>
  <c r="H52"/>
  <c r="I52"/>
  <c r="J52"/>
  <c r="K52"/>
  <c r="L52"/>
  <c r="M52"/>
  <c r="N52"/>
  <c r="A53"/>
  <c r="B53"/>
  <c r="C53"/>
  <c r="D53"/>
  <c r="F53"/>
  <c r="G53"/>
  <c r="H53"/>
  <c r="I53"/>
  <c r="J53"/>
  <c r="K53"/>
  <c r="L53"/>
  <c r="M53"/>
  <c r="N53"/>
  <c r="A54"/>
  <c r="B54"/>
  <c r="C54"/>
  <c r="D54"/>
  <c r="F54"/>
  <c r="G54"/>
  <c r="H54"/>
  <c r="I54"/>
  <c r="J54"/>
  <c r="K54"/>
  <c r="L54"/>
  <c r="M54"/>
  <c r="N54"/>
  <c r="A55"/>
  <c r="B55"/>
  <c r="C55"/>
  <c r="D55"/>
  <c r="F55"/>
  <c r="G55"/>
  <c r="H55"/>
  <c r="I55"/>
  <c r="J55"/>
  <c r="K55"/>
  <c r="L55"/>
  <c r="M55"/>
  <c r="N55"/>
  <c r="A56"/>
  <c r="B56"/>
  <c r="C56"/>
  <c r="D56"/>
  <c r="F56"/>
  <c r="G56"/>
  <c r="H56"/>
  <c r="I56"/>
  <c r="J56"/>
  <c r="K56"/>
  <c r="L56"/>
  <c r="M56"/>
  <c r="N56"/>
  <c r="A57"/>
  <c r="B57"/>
  <c r="C57"/>
  <c r="D57"/>
  <c r="F57"/>
  <c r="G57"/>
  <c r="H57"/>
  <c r="I57"/>
  <c r="J57"/>
  <c r="K57"/>
  <c r="L57"/>
  <c r="M57"/>
  <c r="N57"/>
  <c r="A58"/>
  <c r="B58"/>
  <c r="C58"/>
  <c r="D58"/>
  <c r="F58"/>
  <c r="G58"/>
  <c r="H58"/>
  <c r="I58"/>
  <c r="J58"/>
  <c r="K58"/>
  <c r="L58"/>
  <c r="M58"/>
  <c r="N58"/>
  <c r="A59"/>
  <c r="B59"/>
  <c r="C59"/>
  <c r="D59"/>
  <c r="F59"/>
  <c r="G59"/>
  <c r="H59"/>
  <c r="I59"/>
  <c r="J59"/>
  <c r="K59"/>
  <c r="L59"/>
  <c r="M59"/>
  <c r="N59"/>
  <c r="A60"/>
  <c r="B60"/>
  <c r="C60"/>
  <c r="D60"/>
  <c r="F60"/>
  <c r="G60"/>
  <c r="H60"/>
  <c r="I60"/>
  <c r="J60"/>
  <c r="K60"/>
  <c r="L60"/>
  <c r="M60"/>
  <c r="N60"/>
  <c r="A61"/>
  <c r="B61"/>
  <c r="C61"/>
  <c r="D61"/>
  <c r="F61"/>
  <c r="G61"/>
  <c r="H61"/>
  <c r="I61"/>
  <c r="J61"/>
  <c r="K61"/>
  <c r="L61"/>
  <c r="M61"/>
  <c r="N61"/>
  <c r="A62"/>
  <c r="B62"/>
  <c r="C62"/>
  <c r="D62"/>
  <c r="F62"/>
  <c r="G62"/>
  <c r="H62"/>
  <c r="I62"/>
  <c r="J62"/>
  <c r="K62"/>
  <c r="L62"/>
  <c r="M62"/>
  <c r="N62"/>
  <c r="A63"/>
  <c r="B63"/>
  <c r="C63"/>
  <c r="D63"/>
  <c r="F63"/>
  <c r="G63"/>
  <c r="H63"/>
  <c r="I63"/>
  <c r="J63"/>
  <c r="K63"/>
  <c r="L63"/>
  <c r="M63"/>
  <c r="N63"/>
  <c r="A64"/>
  <c r="B64"/>
  <c r="C64"/>
  <c r="D64"/>
  <c r="F64"/>
  <c r="G64"/>
  <c r="H64"/>
  <c r="I64"/>
  <c r="J64"/>
  <c r="K64"/>
  <c r="L64"/>
  <c r="M64"/>
  <c r="N64"/>
  <c r="A65"/>
  <c r="B65"/>
  <c r="C65"/>
  <c r="D65"/>
  <c r="F65"/>
  <c r="G65"/>
  <c r="H65"/>
  <c r="I65"/>
  <c r="J65"/>
  <c r="K65"/>
  <c r="L65"/>
  <c r="M65"/>
  <c r="N65"/>
  <c r="A66"/>
  <c r="B66"/>
  <c r="C66"/>
  <c r="D66"/>
  <c r="F66"/>
  <c r="G66"/>
  <c r="H66"/>
  <c r="I66"/>
  <c r="J66"/>
  <c r="K66"/>
  <c r="L66"/>
  <c r="M66"/>
  <c r="N66"/>
  <c r="A67"/>
  <c r="B67"/>
  <c r="C67"/>
  <c r="D67"/>
  <c r="F67"/>
  <c r="G67"/>
  <c r="H67"/>
  <c r="I67"/>
  <c r="J67"/>
  <c r="K67"/>
  <c r="L67"/>
  <c r="M67"/>
  <c r="N67"/>
  <c r="A68"/>
  <c r="B68"/>
  <c r="C68"/>
  <c r="D68"/>
  <c r="F68"/>
  <c r="G68"/>
  <c r="H68"/>
  <c r="I68"/>
  <c r="J68"/>
  <c r="K68"/>
  <c r="L68"/>
  <c r="M68"/>
  <c r="N68"/>
  <c r="A69"/>
  <c r="B69"/>
  <c r="C69"/>
  <c r="D69"/>
  <c r="F69"/>
  <c r="G69"/>
  <c r="H69"/>
  <c r="I69"/>
  <c r="J69"/>
  <c r="K69"/>
  <c r="L69"/>
  <c r="M69"/>
  <c r="N69"/>
  <c r="A70"/>
  <c r="B70"/>
  <c r="C70"/>
  <c r="D70"/>
  <c r="F70"/>
  <c r="G70"/>
  <c r="H70"/>
  <c r="I70"/>
  <c r="J70"/>
  <c r="K70"/>
  <c r="L70"/>
  <c r="M70"/>
  <c r="N70"/>
  <c r="A71"/>
  <c r="B71"/>
  <c r="C71"/>
  <c r="D71"/>
  <c r="F71"/>
  <c r="G71"/>
  <c r="H71"/>
  <c r="I71"/>
  <c r="J71"/>
  <c r="K71"/>
  <c r="L71"/>
  <c r="M71"/>
  <c r="N71"/>
  <c r="A72"/>
  <c r="B72"/>
  <c r="C72"/>
  <c r="D72"/>
  <c r="F72"/>
  <c r="G72"/>
  <c r="H72"/>
  <c r="I72"/>
  <c r="J72"/>
  <c r="K72"/>
  <c r="L72"/>
  <c r="M72"/>
  <c r="N72"/>
  <c r="A73"/>
  <c r="B73"/>
  <c r="C73"/>
  <c r="D73"/>
  <c r="F73"/>
  <c r="G73"/>
  <c r="H73"/>
  <c r="I73"/>
  <c r="J73"/>
  <c r="K73"/>
  <c r="L73"/>
  <c r="M73"/>
  <c r="N73"/>
  <c r="A74"/>
  <c r="B74"/>
  <c r="C74"/>
  <c r="D74"/>
  <c r="F74"/>
  <c r="G74"/>
  <c r="H74"/>
  <c r="I74"/>
  <c r="J74"/>
  <c r="K74"/>
  <c r="L74"/>
  <c r="M74"/>
  <c r="N74"/>
  <c r="A75"/>
  <c r="B75"/>
  <c r="C75"/>
  <c r="D75"/>
  <c r="F75"/>
  <c r="G75"/>
  <c r="H75"/>
  <c r="I75"/>
  <c r="J75"/>
  <c r="K75"/>
  <c r="L75"/>
  <c r="M75"/>
  <c r="N75"/>
  <c r="A76"/>
  <c r="B76"/>
  <c r="C76"/>
  <c r="D76"/>
  <c r="F76"/>
  <c r="G76"/>
  <c r="H76"/>
  <c r="I76"/>
  <c r="J76"/>
  <c r="K76"/>
  <c r="L76"/>
  <c r="M76"/>
  <c r="N76"/>
  <c r="A77"/>
  <c r="B77"/>
  <c r="C77"/>
  <c r="D77"/>
  <c r="F77"/>
  <c r="G77"/>
  <c r="H77"/>
  <c r="I77"/>
  <c r="J77"/>
  <c r="K77"/>
  <c r="L77"/>
  <c r="M77"/>
  <c r="N77"/>
  <c r="A78"/>
  <c r="B78"/>
  <c r="C78"/>
  <c r="D78"/>
  <c r="F78"/>
  <c r="G78"/>
  <c r="H78"/>
  <c r="I78"/>
  <c r="J78"/>
  <c r="K78"/>
  <c r="L78"/>
  <c r="M78"/>
  <c r="N78"/>
  <c r="A79"/>
  <c r="B79"/>
  <c r="C79"/>
  <c r="D79"/>
  <c r="F79"/>
  <c r="G79"/>
  <c r="H79"/>
  <c r="I79"/>
  <c r="J79"/>
  <c r="K79"/>
  <c r="L79"/>
  <c r="M79"/>
  <c r="N79"/>
  <c r="A80"/>
  <c r="B80"/>
  <c r="C80"/>
  <c r="D80"/>
  <c r="F80"/>
  <c r="G80"/>
  <c r="H80"/>
  <c r="I80"/>
  <c r="J80"/>
  <c r="K80"/>
  <c r="L80"/>
  <c r="M80"/>
  <c r="N80"/>
  <c r="A81"/>
  <c r="B81"/>
  <c r="C81"/>
  <c r="D81"/>
  <c r="F81"/>
  <c r="G81"/>
  <c r="H81"/>
  <c r="I81"/>
  <c r="J81"/>
  <c r="K81"/>
  <c r="L81"/>
  <c r="M81"/>
  <c r="N81"/>
  <c r="A82"/>
  <c r="B82"/>
  <c r="C82"/>
  <c r="D82"/>
  <c r="F82"/>
  <c r="G82"/>
  <c r="H82"/>
  <c r="I82"/>
  <c r="J82"/>
  <c r="K82"/>
  <c r="L82"/>
  <c r="M82"/>
  <c r="N82"/>
  <c r="A83"/>
  <c r="B83"/>
  <c r="C83"/>
  <c r="D83"/>
  <c r="F83"/>
  <c r="G83"/>
  <c r="H83"/>
  <c r="I83"/>
  <c r="J83"/>
  <c r="K83"/>
  <c r="L83"/>
  <c r="M83"/>
  <c r="N83"/>
  <c r="A84"/>
  <c r="B84"/>
  <c r="C84"/>
  <c r="D84"/>
  <c r="F84"/>
  <c r="G84"/>
  <c r="H84"/>
  <c r="I84"/>
  <c r="J84"/>
  <c r="K84"/>
  <c r="L84"/>
  <c r="M84"/>
  <c r="N84"/>
  <c r="A85"/>
  <c r="B85"/>
  <c r="C85"/>
  <c r="D85"/>
  <c r="F85"/>
  <c r="G85"/>
  <c r="H85"/>
  <c r="I85"/>
  <c r="J85"/>
  <c r="K85"/>
  <c r="L85"/>
  <c r="M85"/>
  <c r="N85"/>
  <c r="A86"/>
  <c r="B86"/>
  <c r="C86"/>
  <c r="D86"/>
  <c r="F86"/>
  <c r="G86"/>
  <c r="H86"/>
  <c r="I86"/>
  <c r="J86"/>
  <c r="K86"/>
  <c r="L86"/>
  <c r="M86"/>
  <c r="N86"/>
  <c r="A87"/>
  <c r="B87"/>
  <c r="C87"/>
  <c r="D87"/>
  <c r="F87"/>
  <c r="G87"/>
  <c r="H87"/>
  <c r="I87"/>
  <c r="J87"/>
  <c r="K87"/>
  <c r="L87"/>
  <c r="M87"/>
  <c r="N87"/>
  <c r="A88"/>
  <c r="B88"/>
  <c r="C88"/>
  <c r="D88"/>
  <c r="F88"/>
  <c r="G88"/>
  <c r="H88"/>
  <c r="I88"/>
  <c r="J88"/>
  <c r="K88"/>
  <c r="L88"/>
  <c r="M88"/>
  <c r="N88"/>
  <c r="A89"/>
  <c r="B89"/>
  <c r="C89"/>
  <c r="D89"/>
  <c r="F89"/>
  <c r="G89"/>
  <c r="H89"/>
  <c r="I89"/>
  <c r="J89"/>
  <c r="K89"/>
  <c r="L89"/>
  <c r="M89"/>
  <c r="N89"/>
  <c r="A90"/>
  <c r="B90"/>
  <c r="C90"/>
  <c r="D90"/>
  <c r="F90"/>
  <c r="G90"/>
  <c r="H90"/>
  <c r="I90"/>
  <c r="J90"/>
  <c r="K90"/>
  <c r="L90"/>
  <c r="M90"/>
  <c r="N90"/>
  <c r="A91"/>
  <c r="B91"/>
  <c r="C91"/>
  <c r="D91"/>
  <c r="F91"/>
  <c r="G91"/>
  <c r="H91"/>
  <c r="I91"/>
  <c r="J91"/>
  <c r="K91"/>
  <c r="L91"/>
  <c r="M91"/>
  <c r="N91"/>
  <c r="A92"/>
  <c r="B92"/>
  <c r="C92"/>
  <c r="D92"/>
  <c r="F92"/>
  <c r="G92"/>
  <c r="H92"/>
  <c r="I92"/>
  <c r="J92"/>
  <c r="K92"/>
  <c r="L92"/>
  <c r="M92"/>
  <c r="N92"/>
  <c r="A93"/>
  <c r="B93"/>
  <c r="C93"/>
  <c r="D93"/>
  <c r="F93"/>
  <c r="G93"/>
  <c r="H93"/>
  <c r="I93"/>
  <c r="J93"/>
  <c r="K93"/>
  <c r="L93"/>
  <c r="M93"/>
  <c r="N93"/>
  <c r="A94"/>
  <c r="B94"/>
  <c r="C94"/>
  <c r="D94"/>
  <c r="F94"/>
  <c r="G94"/>
  <c r="H94"/>
  <c r="I94"/>
  <c r="J94"/>
  <c r="K94"/>
  <c r="L94"/>
  <c r="M94"/>
  <c r="N94"/>
  <c r="A95"/>
  <c r="B95"/>
  <c r="C95"/>
  <c r="D95"/>
  <c r="F95"/>
  <c r="G95"/>
  <c r="H95"/>
  <c r="I95"/>
  <c r="J95"/>
  <c r="K95"/>
  <c r="L95"/>
  <c r="M95"/>
  <c r="N95"/>
  <c r="A96"/>
  <c r="B96"/>
  <c r="C96"/>
  <c r="D96"/>
  <c r="F96"/>
  <c r="G96"/>
  <c r="H96"/>
  <c r="I96"/>
  <c r="J96"/>
  <c r="K96"/>
  <c r="L96"/>
  <c r="M96"/>
  <c r="N96"/>
  <c r="A97"/>
  <c r="B97"/>
  <c r="C97"/>
  <c r="D97"/>
  <c r="F97"/>
  <c r="G97"/>
  <c r="H97"/>
  <c r="I97"/>
  <c r="J97"/>
  <c r="K97"/>
  <c r="L97"/>
  <c r="M97"/>
  <c r="N97"/>
  <c r="A98"/>
  <c r="B98"/>
  <c r="C98"/>
  <c r="D98"/>
  <c r="F98"/>
  <c r="G98"/>
  <c r="H98"/>
  <c r="I98"/>
  <c r="J98"/>
  <c r="K98"/>
  <c r="L98"/>
  <c r="M98"/>
  <c r="N98"/>
  <c r="A99"/>
  <c r="B99"/>
  <c r="C99"/>
  <c r="D99"/>
  <c r="F99"/>
  <c r="G99"/>
  <c r="H99"/>
  <c r="I99"/>
  <c r="J99"/>
  <c r="K99"/>
  <c r="L99"/>
  <c r="M99"/>
  <c r="N99"/>
  <c r="A100"/>
  <c r="B100"/>
  <c r="C100"/>
  <c r="D100"/>
  <c r="F100"/>
  <c r="G100"/>
  <c r="H100"/>
  <c r="I100"/>
  <c r="J100"/>
  <c r="K100"/>
  <c r="L100"/>
  <c r="M100"/>
  <c r="N100"/>
  <c r="A101"/>
  <c r="B101"/>
  <c r="C101"/>
  <c r="D101"/>
  <c r="F101"/>
  <c r="G101"/>
  <c r="H101"/>
  <c r="I101"/>
  <c r="J101"/>
  <c r="K101"/>
  <c r="L101"/>
  <c r="M101"/>
  <c r="N101"/>
  <c r="A102"/>
  <c r="B102"/>
  <c r="C102"/>
  <c r="D102"/>
  <c r="F102"/>
  <c r="G102"/>
  <c r="H102"/>
  <c r="I102"/>
  <c r="J102"/>
  <c r="K102"/>
  <c r="L102"/>
  <c r="M102"/>
  <c r="N102"/>
  <c r="A103"/>
  <c r="B103"/>
  <c r="C103"/>
  <c r="D103"/>
  <c r="F103"/>
  <c r="G103"/>
  <c r="H103"/>
  <c r="I103"/>
  <c r="J103"/>
  <c r="K103"/>
  <c r="L103"/>
  <c r="M103"/>
  <c r="N103"/>
  <c r="A104"/>
  <c r="B104"/>
  <c r="C104"/>
  <c r="D104"/>
  <c r="F104"/>
  <c r="G104"/>
  <c r="H104"/>
  <c r="I104"/>
  <c r="J104"/>
  <c r="K104"/>
  <c r="L104"/>
  <c r="M104"/>
  <c r="N104"/>
  <c r="A105"/>
  <c r="B105"/>
  <c r="C105"/>
  <c r="D105"/>
  <c r="F105"/>
  <c r="G105"/>
  <c r="H105"/>
  <c r="I105"/>
  <c r="J105"/>
  <c r="K105"/>
  <c r="L105"/>
  <c r="M105"/>
  <c r="N105"/>
  <c r="A106"/>
  <c r="B106"/>
  <c r="C106"/>
  <c r="D106"/>
  <c r="F106"/>
  <c r="G106"/>
  <c r="H106"/>
  <c r="I106"/>
  <c r="J106"/>
  <c r="K106"/>
  <c r="L106"/>
  <c r="M106"/>
  <c r="N106"/>
  <c r="A107"/>
  <c r="B107"/>
  <c r="C107"/>
  <c r="D107"/>
  <c r="F107"/>
  <c r="G107"/>
  <c r="H107"/>
  <c r="I107"/>
  <c r="J107"/>
  <c r="K107"/>
  <c r="L107"/>
  <c r="M107"/>
  <c r="N107"/>
  <c r="A108"/>
  <c r="B108"/>
  <c r="C108"/>
  <c r="D108"/>
  <c r="F108"/>
  <c r="G108"/>
  <c r="H108"/>
  <c r="I108"/>
  <c r="J108"/>
  <c r="K108"/>
  <c r="L108"/>
  <c r="M108"/>
  <c r="N108"/>
  <c r="A109"/>
  <c r="B109"/>
  <c r="C109"/>
  <c r="D109"/>
  <c r="F109"/>
  <c r="G109"/>
  <c r="H109"/>
  <c r="I109"/>
  <c r="J109"/>
  <c r="K109"/>
  <c r="L109"/>
  <c r="M109"/>
  <c r="N109"/>
  <c r="A110"/>
  <c r="B110"/>
  <c r="C110"/>
  <c r="D110"/>
  <c r="F110"/>
  <c r="G110"/>
  <c r="H110"/>
  <c r="I110"/>
  <c r="J110"/>
  <c r="K110"/>
  <c r="L110"/>
  <c r="M110"/>
  <c r="N110"/>
  <c r="A111"/>
  <c r="B111"/>
  <c r="C111"/>
  <c r="D111"/>
  <c r="F111"/>
  <c r="G111"/>
  <c r="H111"/>
  <c r="I111"/>
  <c r="J111"/>
  <c r="K111"/>
  <c r="L111"/>
  <c r="M111"/>
  <c r="N111"/>
  <c r="A112"/>
  <c r="B112"/>
  <c r="C112"/>
  <c r="D112"/>
  <c r="F112"/>
  <c r="G112"/>
  <c r="H112"/>
  <c r="I112"/>
  <c r="J112"/>
  <c r="K112"/>
  <c r="L112"/>
  <c r="M112"/>
  <c r="N112"/>
  <c r="A113"/>
  <c r="B113"/>
  <c r="C113"/>
  <c r="D113"/>
  <c r="F113"/>
  <c r="G113"/>
  <c r="H113"/>
  <c r="I113"/>
  <c r="J113"/>
  <c r="K113"/>
  <c r="L113"/>
  <c r="M113"/>
  <c r="N113"/>
  <c r="A114"/>
  <c r="B114"/>
  <c r="C114"/>
  <c r="D114"/>
  <c r="F114"/>
  <c r="G114"/>
  <c r="H114"/>
  <c r="I114"/>
  <c r="J114"/>
  <c r="K114"/>
  <c r="L114"/>
  <c r="M114"/>
  <c r="N114"/>
  <c r="A115"/>
  <c r="B115"/>
  <c r="C115"/>
  <c r="D115"/>
  <c r="F115"/>
  <c r="G115"/>
  <c r="H115"/>
  <c r="I115"/>
  <c r="J115"/>
  <c r="K115"/>
  <c r="L115"/>
  <c r="M115"/>
  <c r="N115"/>
  <c r="A116"/>
  <c r="B116"/>
  <c r="C116"/>
  <c r="D116"/>
  <c r="F116"/>
  <c r="G116"/>
  <c r="H116"/>
  <c r="I116"/>
  <c r="J116"/>
  <c r="K116"/>
  <c r="L116"/>
  <c r="M116"/>
  <c r="N116"/>
  <c r="A117"/>
  <c r="B117"/>
  <c r="C117"/>
  <c r="D117"/>
  <c r="F117"/>
  <c r="G117"/>
  <c r="H117"/>
  <c r="I117"/>
  <c r="J117"/>
  <c r="K117"/>
  <c r="L117"/>
  <c r="M117"/>
  <c r="N117"/>
  <c r="A118"/>
  <c r="B118"/>
  <c r="C118"/>
  <c r="D118"/>
  <c r="F118"/>
  <c r="G118"/>
  <c r="H118"/>
  <c r="I118"/>
  <c r="J118"/>
  <c r="K118"/>
  <c r="L118"/>
  <c r="M118"/>
  <c r="N118"/>
  <c r="A119"/>
  <c r="B119"/>
  <c r="C119"/>
  <c r="D119"/>
  <c r="F119"/>
  <c r="G119"/>
  <c r="H119"/>
  <c r="I119"/>
  <c r="J119"/>
  <c r="K119"/>
  <c r="L119"/>
  <c r="M119"/>
  <c r="N119"/>
  <c r="A120"/>
  <c r="B120"/>
  <c r="C120"/>
  <c r="D120"/>
  <c r="F120"/>
  <c r="G120"/>
  <c r="H120"/>
  <c r="I120"/>
  <c r="J120"/>
  <c r="K120"/>
  <c r="L120"/>
  <c r="M120"/>
  <c r="N120"/>
  <c r="A121"/>
  <c r="B121"/>
  <c r="C121"/>
  <c r="D121"/>
  <c r="F121"/>
  <c r="G121"/>
  <c r="H121"/>
  <c r="I121"/>
  <c r="J121"/>
  <c r="K121"/>
  <c r="L121"/>
  <c r="M121"/>
  <c r="N121"/>
  <c r="A122"/>
  <c r="B122"/>
  <c r="C122"/>
  <c r="D122"/>
  <c r="F122"/>
  <c r="G122"/>
  <c r="H122"/>
  <c r="I122"/>
  <c r="J122"/>
  <c r="K122"/>
  <c r="L122"/>
  <c r="M122"/>
  <c r="N122"/>
  <c r="A123"/>
  <c r="B123"/>
  <c r="C123"/>
  <c r="D123"/>
  <c r="F123"/>
  <c r="G123"/>
  <c r="H123"/>
  <c r="I123"/>
  <c r="J123"/>
  <c r="K123"/>
  <c r="L123"/>
  <c r="M123"/>
  <c r="N123"/>
  <c r="A124"/>
  <c r="B124"/>
  <c r="C124"/>
  <c r="D124"/>
  <c r="F124"/>
  <c r="G124"/>
  <c r="H124"/>
  <c r="I124"/>
  <c r="J124"/>
  <c r="K124"/>
  <c r="L124"/>
  <c r="M124"/>
  <c r="N124"/>
  <c r="A125"/>
  <c r="B125"/>
  <c r="C125"/>
  <c r="D125"/>
  <c r="F125"/>
  <c r="G125"/>
  <c r="H125"/>
  <c r="I125"/>
  <c r="J125"/>
  <c r="K125"/>
  <c r="L125"/>
  <c r="M125"/>
  <c r="N125"/>
  <c r="A126"/>
  <c r="B126"/>
  <c r="C126"/>
  <c r="D126"/>
  <c r="F126"/>
  <c r="G126"/>
  <c r="H126"/>
  <c r="I126"/>
  <c r="J126"/>
  <c r="K126"/>
  <c r="L126"/>
  <c r="M126"/>
  <c r="N126"/>
  <c r="A127"/>
  <c r="B127"/>
  <c r="C127"/>
  <c r="D127"/>
  <c r="F127"/>
  <c r="G127"/>
  <c r="H127"/>
  <c r="I127"/>
  <c r="J127"/>
  <c r="K127"/>
  <c r="L127"/>
  <c r="M127"/>
  <c r="N127"/>
  <c r="A128"/>
  <c r="B128"/>
  <c r="C128"/>
  <c r="D128"/>
  <c r="F128"/>
  <c r="G128"/>
  <c r="H128"/>
  <c r="I128"/>
  <c r="J128"/>
  <c r="K128"/>
  <c r="L128"/>
  <c r="M128"/>
  <c r="N128"/>
  <c r="A129"/>
  <c r="B129"/>
  <c r="C129"/>
  <c r="D129"/>
  <c r="F129"/>
  <c r="G129"/>
  <c r="H129"/>
  <c r="I129"/>
  <c r="J129"/>
  <c r="K129"/>
  <c r="L129"/>
  <c r="M129"/>
  <c r="N129"/>
  <c r="A130"/>
  <c r="B130"/>
  <c r="C130"/>
  <c r="D130"/>
  <c r="F130"/>
  <c r="G130"/>
  <c r="H130"/>
  <c r="I130"/>
  <c r="J130"/>
  <c r="K130"/>
  <c r="L130"/>
  <c r="M130"/>
  <c r="N130"/>
  <c r="A131"/>
  <c r="B131"/>
  <c r="C131"/>
  <c r="D131"/>
  <c r="F131"/>
  <c r="G131"/>
  <c r="H131"/>
  <c r="I131"/>
  <c r="J131"/>
  <c r="K131"/>
  <c r="L131"/>
  <c r="M131"/>
  <c r="N131"/>
  <c r="A132"/>
  <c r="B132"/>
  <c r="C132"/>
  <c r="D132"/>
  <c r="F132"/>
  <c r="G132"/>
  <c r="H132"/>
  <c r="I132"/>
  <c r="J132"/>
  <c r="K132"/>
  <c r="L132"/>
  <c r="M132"/>
  <c r="N132"/>
  <c r="A133"/>
  <c r="B133"/>
  <c r="C133"/>
  <c r="D133"/>
  <c r="F133"/>
  <c r="G133"/>
  <c r="H133"/>
  <c r="I133"/>
  <c r="J133"/>
  <c r="K133"/>
  <c r="L133"/>
  <c r="M133"/>
  <c r="N133"/>
  <c r="A134"/>
  <c r="B134"/>
  <c r="C134"/>
  <c r="D134"/>
  <c r="F134"/>
  <c r="G134"/>
  <c r="H134"/>
  <c r="I134"/>
  <c r="J134"/>
  <c r="K134"/>
  <c r="L134"/>
  <c r="M134"/>
  <c r="N134"/>
  <c r="A135"/>
  <c r="B135"/>
  <c r="C135"/>
  <c r="D135"/>
  <c r="F135"/>
  <c r="G135"/>
  <c r="H135"/>
  <c r="I135"/>
  <c r="J135"/>
  <c r="K135"/>
  <c r="L135"/>
  <c r="M135"/>
  <c r="N135"/>
  <c r="A136"/>
  <c r="B136"/>
  <c r="C136"/>
  <c r="D136"/>
  <c r="F136"/>
  <c r="G136"/>
  <c r="H136"/>
  <c r="I136"/>
  <c r="J136"/>
  <c r="K136"/>
  <c r="L136"/>
  <c r="M136"/>
  <c r="N136"/>
  <c r="A137"/>
  <c r="B137"/>
  <c r="C137"/>
  <c r="D137"/>
  <c r="F137"/>
  <c r="G137"/>
  <c r="H137"/>
  <c r="I137"/>
  <c r="J137"/>
  <c r="K137"/>
  <c r="L137"/>
  <c r="M137"/>
  <c r="N137"/>
  <c r="A138"/>
  <c r="B138"/>
  <c r="C138"/>
  <c r="D138"/>
  <c r="F138"/>
  <c r="G138"/>
  <c r="H138"/>
  <c r="I138"/>
  <c r="J138"/>
  <c r="K138"/>
  <c r="L138"/>
  <c r="M138"/>
  <c r="N138"/>
  <c r="A139"/>
  <c r="B139"/>
  <c r="C139"/>
  <c r="D139"/>
  <c r="F139"/>
  <c r="G139"/>
  <c r="H139"/>
  <c r="I139"/>
  <c r="J139"/>
  <c r="K139"/>
  <c r="L139"/>
  <c r="M139"/>
  <c r="N139"/>
  <c r="A140"/>
  <c r="B140"/>
  <c r="C140"/>
  <c r="D140"/>
  <c r="F140"/>
  <c r="G140"/>
  <c r="H140"/>
  <c r="I140"/>
  <c r="J140"/>
  <c r="K140"/>
  <c r="L140"/>
  <c r="M140"/>
  <c r="N140"/>
  <c r="A141"/>
  <c r="B141"/>
  <c r="C141"/>
  <c r="D141"/>
  <c r="F141"/>
  <c r="G141"/>
  <c r="H141"/>
  <c r="I141"/>
  <c r="J141"/>
  <c r="K141"/>
  <c r="L141"/>
  <c r="M141"/>
  <c r="N141"/>
  <c r="A142"/>
  <c r="B142"/>
  <c r="C142"/>
  <c r="D142"/>
  <c r="F142"/>
  <c r="G142"/>
  <c r="H142"/>
  <c r="I142"/>
  <c r="J142"/>
  <c r="K142"/>
  <c r="L142"/>
  <c r="M142"/>
  <c r="N142"/>
  <c r="A143"/>
  <c r="B143"/>
  <c r="C143"/>
  <c r="D143"/>
  <c r="F143"/>
  <c r="G143"/>
  <c r="H143"/>
  <c r="I143"/>
  <c r="J143"/>
  <c r="K143"/>
  <c r="L143"/>
  <c r="M143"/>
  <c r="N143"/>
  <c r="A144"/>
  <c r="B144"/>
  <c r="C144"/>
  <c r="D144"/>
  <c r="F144"/>
  <c r="G144"/>
  <c r="H144"/>
  <c r="I144"/>
  <c r="J144"/>
  <c r="K144"/>
  <c r="L144"/>
  <c r="M144"/>
  <c r="N144"/>
  <c r="A145"/>
  <c r="B145"/>
  <c r="C145"/>
  <c r="D145"/>
  <c r="F145"/>
  <c r="G145"/>
  <c r="H145"/>
  <c r="I145"/>
  <c r="J145"/>
  <c r="K145"/>
  <c r="L145"/>
  <c r="M145"/>
  <c r="N145"/>
  <c r="A146"/>
  <c r="B146"/>
  <c r="C146"/>
  <c r="D146"/>
  <c r="F146"/>
  <c r="G146"/>
  <c r="H146"/>
  <c r="I146"/>
  <c r="J146"/>
  <c r="K146"/>
  <c r="L146"/>
  <c r="M146"/>
  <c r="N146"/>
  <c r="A147"/>
  <c r="B147"/>
  <c r="C147"/>
  <c r="D147"/>
  <c r="F147"/>
  <c r="G147"/>
  <c r="H147"/>
  <c r="I147"/>
  <c r="J147"/>
  <c r="K147"/>
  <c r="L147"/>
  <c r="M147"/>
  <c r="N147"/>
  <c r="A148"/>
  <c r="B148"/>
  <c r="C148"/>
  <c r="D148"/>
  <c r="F148"/>
  <c r="G148"/>
  <c r="H148"/>
  <c r="I148"/>
  <c r="J148"/>
  <c r="K148"/>
  <c r="L148"/>
  <c r="M148"/>
  <c r="N148"/>
  <c r="A149"/>
  <c r="B149"/>
  <c r="C149"/>
  <c r="D149"/>
  <c r="F149"/>
  <c r="G149"/>
  <c r="H149"/>
  <c r="I149"/>
  <c r="J149"/>
  <c r="K149"/>
  <c r="L149"/>
  <c r="M149"/>
  <c r="N149"/>
  <c r="A150"/>
  <c r="B150"/>
  <c r="C150"/>
  <c r="D150"/>
  <c r="F150"/>
  <c r="G150"/>
  <c r="H150"/>
  <c r="I150"/>
  <c r="J150"/>
  <c r="K150"/>
  <c r="L150"/>
  <c r="M150"/>
  <c r="N150"/>
  <c r="A151"/>
  <c r="B151"/>
  <c r="C151"/>
  <c r="D151"/>
  <c r="F151"/>
  <c r="G151"/>
  <c r="H151"/>
  <c r="I151"/>
  <c r="J151"/>
  <c r="K151"/>
  <c r="L151"/>
  <c r="M151"/>
  <c r="N151"/>
  <c r="A152"/>
  <c r="B152"/>
  <c r="C152"/>
  <c r="D152"/>
  <c r="F152"/>
  <c r="G152"/>
  <c r="H152"/>
  <c r="I152"/>
  <c r="J152"/>
  <c r="K152"/>
  <c r="L152"/>
  <c r="M152"/>
  <c r="N152"/>
  <c r="A153"/>
  <c r="B153"/>
  <c r="C153"/>
  <c r="D153"/>
  <c r="F153"/>
  <c r="G153"/>
  <c r="H153"/>
  <c r="I153"/>
  <c r="J153"/>
  <c r="K153"/>
  <c r="L153"/>
  <c r="M153"/>
  <c r="N153"/>
  <c r="A154"/>
  <c r="B154"/>
  <c r="C154"/>
  <c r="D154"/>
  <c r="F154"/>
  <c r="G154"/>
  <c r="H154"/>
  <c r="I154"/>
  <c r="J154"/>
  <c r="K154"/>
  <c r="L154"/>
  <c r="M154"/>
  <c r="N154"/>
  <c r="A155"/>
  <c r="B155"/>
  <c r="C155"/>
  <c r="D155"/>
  <c r="F155"/>
  <c r="G155"/>
  <c r="H155"/>
  <c r="I155"/>
  <c r="J155"/>
  <c r="K155"/>
  <c r="L155"/>
  <c r="M155"/>
  <c r="N155"/>
  <c r="A156"/>
  <c r="B156"/>
  <c r="C156"/>
  <c r="D156"/>
  <c r="F156"/>
  <c r="G156"/>
  <c r="H156"/>
  <c r="I156"/>
  <c r="J156"/>
  <c r="K156"/>
  <c r="L156"/>
  <c r="M156"/>
  <c r="N156"/>
  <c r="A157"/>
  <c r="B157"/>
  <c r="C157"/>
  <c r="D157"/>
  <c r="F157"/>
  <c r="G157"/>
  <c r="H157"/>
  <c r="I157"/>
  <c r="J157"/>
  <c r="K157"/>
  <c r="L157"/>
  <c r="M157"/>
  <c r="N157"/>
  <c r="A158"/>
  <c r="B158"/>
  <c r="C158"/>
  <c r="D158"/>
  <c r="F158"/>
  <c r="G158"/>
  <c r="H158"/>
  <c r="I158"/>
  <c r="J158"/>
  <c r="K158"/>
  <c r="L158"/>
  <c r="M158"/>
  <c r="N158"/>
  <c r="A159"/>
  <c r="B159"/>
  <c r="C159"/>
  <c r="D159"/>
  <c r="F159"/>
  <c r="G159"/>
  <c r="H159"/>
  <c r="I159"/>
  <c r="J159"/>
  <c r="K159"/>
  <c r="L159"/>
  <c r="M159"/>
  <c r="N159"/>
  <c r="A160"/>
  <c r="B160"/>
  <c r="C160"/>
  <c r="D160"/>
  <c r="F160"/>
  <c r="G160"/>
  <c r="H160"/>
  <c r="I160"/>
  <c r="J160"/>
  <c r="K160"/>
  <c r="L160"/>
  <c r="M160"/>
  <c r="N160"/>
  <c r="A161"/>
  <c r="B161"/>
  <c r="C161"/>
  <c r="D161"/>
  <c r="F161"/>
  <c r="G161"/>
  <c r="H161"/>
  <c r="I161"/>
  <c r="J161"/>
  <c r="K161"/>
  <c r="L161"/>
  <c r="M161"/>
  <c r="N161"/>
  <c r="A162"/>
  <c r="B162"/>
  <c r="C162"/>
  <c r="D162"/>
  <c r="F162"/>
  <c r="G162"/>
  <c r="H162"/>
  <c r="I162"/>
  <c r="J162"/>
  <c r="K162"/>
  <c r="L162"/>
  <c r="M162"/>
  <c r="N162"/>
  <c r="A163"/>
  <c r="B163"/>
  <c r="C163"/>
  <c r="D163"/>
  <c r="F163"/>
  <c r="G163"/>
  <c r="H163"/>
  <c r="I163"/>
  <c r="J163"/>
  <c r="K163"/>
  <c r="L163"/>
  <c r="M163"/>
  <c r="N163"/>
  <c r="A164"/>
  <c r="B164"/>
  <c r="C164"/>
  <c r="D164"/>
  <c r="F164"/>
  <c r="G164"/>
  <c r="H164"/>
  <c r="I164"/>
  <c r="J164"/>
  <c r="K164"/>
  <c r="L164"/>
  <c r="M164"/>
  <c r="N164"/>
  <c r="A165"/>
  <c r="B165"/>
  <c r="C165"/>
  <c r="D165"/>
  <c r="F165"/>
  <c r="G165"/>
  <c r="H165"/>
  <c r="I165"/>
  <c r="J165"/>
  <c r="K165"/>
  <c r="L165"/>
  <c r="M165"/>
  <c r="N165"/>
  <c r="A166"/>
  <c r="B166"/>
  <c r="C166"/>
  <c r="D166"/>
  <c r="F166"/>
  <c r="G166"/>
  <c r="H166"/>
  <c r="I166"/>
  <c r="J166"/>
  <c r="K166"/>
  <c r="L166"/>
  <c r="M166"/>
  <c r="N166"/>
  <c r="A167"/>
  <c r="B167"/>
  <c r="C167"/>
  <c r="D167"/>
  <c r="F167"/>
  <c r="G167"/>
  <c r="H167"/>
  <c r="I167"/>
  <c r="J167"/>
  <c r="K167"/>
  <c r="L167"/>
  <c r="M167"/>
  <c r="N167"/>
  <c r="A168"/>
  <c r="B168"/>
  <c r="C168"/>
  <c r="D168"/>
  <c r="F168"/>
  <c r="G168"/>
  <c r="H168"/>
  <c r="I168"/>
  <c r="J168"/>
  <c r="K168"/>
  <c r="L168"/>
  <c r="M168"/>
  <c r="N168"/>
  <c r="A169"/>
  <c r="B169"/>
  <c r="C169"/>
  <c r="D169"/>
  <c r="F169"/>
  <c r="G169"/>
  <c r="H169"/>
  <c r="I169"/>
  <c r="J169"/>
  <c r="K169"/>
  <c r="L169"/>
  <c r="M169"/>
  <c r="N169"/>
  <c r="A170"/>
  <c r="B170"/>
  <c r="C170"/>
  <c r="D170"/>
  <c r="F170"/>
  <c r="G170"/>
  <c r="H170"/>
  <c r="I170"/>
  <c r="J170"/>
  <c r="K170"/>
  <c r="L170"/>
  <c r="M170"/>
  <c r="N170"/>
  <c r="A171"/>
  <c r="B171"/>
  <c r="C171"/>
  <c r="D171"/>
  <c r="F171"/>
  <c r="G171"/>
  <c r="H171"/>
  <c r="I171"/>
  <c r="J171"/>
  <c r="K171"/>
  <c r="L171"/>
  <c r="M171"/>
  <c r="N171"/>
  <c r="A172"/>
  <c r="B172"/>
  <c r="C172"/>
  <c r="D172"/>
  <c r="F172"/>
  <c r="G172"/>
  <c r="H172"/>
  <c r="I172"/>
  <c r="J172"/>
  <c r="K172"/>
  <c r="L172"/>
  <c r="M172"/>
  <c r="N172"/>
  <c r="A173"/>
  <c r="B173"/>
  <c r="C173"/>
  <c r="D173"/>
  <c r="F173"/>
  <c r="G173"/>
  <c r="H173"/>
  <c r="I173"/>
  <c r="J173"/>
  <c r="K173"/>
  <c r="L173"/>
  <c r="M173"/>
  <c r="N173"/>
  <c r="A174"/>
  <c r="B174"/>
  <c r="C174"/>
  <c r="D174"/>
  <c r="F174"/>
  <c r="G174"/>
  <c r="H174"/>
  <c r="I174"/>
  <c r="J174"/>
  <c r="K174"/>
  <c r="L174"/>
  <c r="M174"/>
  <c r="N174"/>
  <c r="A175"/>
  <c r="B175"/>
  <c r="C175"/>
  <c r="D175"/>
  <c r="F175"/>
  <c r="G175"/>
  <c r="H175"/>
  <c r="I175"/>
  <c r="J175"/>
  <c r="K175"/>
  <c r="L175"/>
  <c r="M175"/>
  <c r="N175"/>
  <c r="A176"/>
  <c r="B176"/>
  <c r="C176"/>
  <c r="D176"/>
  <c r="F176"/>
  <c r="G176"/>
  <c r="H176"/>
  <c r="I176"/>
  <c r="J176"/>
  <c r="K176"/>
  <c r="L176"/>
  <c r="M176"/>
  <c r="N176"/>
  <c r="A177"/>
  <c r="B177"/>
  <c r="C177"/>
  <c r="D177"/>
  <c r="F177"/>
  <c r="G177"/>
  <c r="H177"/>
  <c r="I177"/>
  <c r="J177"/>
  <c r="K177"/>
  <c r="L177"/>
  <c r="M177"/>
  <c r="N177"/>
  <c r="A178"/>
  <c r="B178"/>
  <c r="C178"/>
  <c r="D178"/>
  <c r="F178"/>
  <c r="G178"/>
  <c r="H178"/>
  <c r="I178"/>
  <c r="J178"/>
  <c r="K178"/>
  <c r="L178"/>
  <c r="M178"/>
  <c r="N178"/>
  <c r="A179"/>
  <c r="B179"/>
  <c r="C179"/>
  <c r="D179"/>
  <c r="F179"/>
  <c r="G179"/>
  <c r="H179"/>
  <c r="I179"/>
  <c r="J179"/>
  <c r="K179"/>
  <c r="L179"/>
  <c r="M179"/>
  <c r="N179"/>
  <c r="A180"/>
  <c r="B180"/>
  <c r="C180"/>
  <c r="D180"/>
  <c r="F180"/>
  <c r="G180"/>
  <c r="H180"/>
  <c r="I180"/>
  <c r="J180"/>
  <c r="K180"/>
  <c r="L180"/>
  <c r="M180"/>
  <c r="N180"/>
  <c r="A181"/>
  <c r="B181"/>
  <c r="C181"/>
  <c r="D181"/>
  <c r="F181"/>
  <c r="G181"/>
  <c r="H181"/>
  <c r="I181"/>
  <c r="J181"/>
  <c r="K181"/>
  <c r="L181"/>
  <c r="M181"/>
  <c r="N181"/>
  <c r="A182"/>
  <c r="B182"/>
  <c r="C182"/>
  <c r="D182"/>
  <c r="F182"/>
  <c r="G182"/>
  <c r="H182"/>
  <c r="I182"/>
  <c r="J182"/>
  <c r="K182"/>
  <c r="L182"/>
  <c r="M182"/>
  <c r="N182"/>
  <c r="A183"/>
  <c r="B183"/>
  <c r="C183"/>
  <c r="D183"/>
  <c r="F183"/>
  <c r="G183"/>
  <c r="H183"/>
  <c r="I183"/>
  <c r="J183"/>
  <c r="K183"/>
  <c r="L183"/>
  <c r="M183"/>
  <c r="N183"/>
  <c r="A184"/>
  <c r="B184"/>
  <c r="C184"/>
  <c r="D184"/>
  <c r="F184"/>
  <c r="G184"/>
  <c r="H184"/>
  <c r="I184"/>
  <c r="J184"/>
  <c r="K184"/>
  <c r="L184"/>
  <c r="M184"/>
  <c r="N184"/>
  <c r="A185"/>
  <c r="B185"/>
  <c r="C185"/>
  <c r="D185"/>
  <c r="F185"/>
  <c r="G185"/>
  <c r="H185"/>
  <c r="I185"/>
  <c r="J185"/>
  <c r="K185"/>
  <c r="L185"/>
  <c r="M185"/>
  <c r="N185"/>
  <c r="A186"/>
  <c r="B186"/>
  <c r="C186"/>
  <c r="D186"/>
  <c r="F186"/>
  <c r="G186"/>
  <c r="H186"/>
  <c r="I186"/>
  <c r="J186"/>
  <c r="K186"/>
  <c r="L186"/>
  <c r="M186"/>
  <c r="N186"/>
  <c r="A187"/>
  <c r="B187"/>
  <c r="C187"/>
  <c r="D187"/>
  <c r="F187"/>
  <c r="G187"/>
  <c r="H187"/>
  <c r="I187"/>
  <c r="J187"/>
  <c r="K187"/>
  <c r="L187"/>
  <c r="M187"/>
  <c r="N187"/>
  <c r="A188"/>
  <c r="B188"/>
  <c r="C188"/>
  <c r="D188"/>
  <c r="F188"/>
  <c r="G188"/>
  <c r="H188"/>
  <c r="I188"/>
  <c r="J188"/>
  <c r="K188"/>
  <c r="L188"/>
  <c r="M188"/>
  <c r="N188"/>
  <c r="A189"/>
  <c r="B189"/>
  <c r="C189"/>
  <c r="D189"/>
  <c r="F189"/>
  <c r="G189"/>
  <c r="H189"/>
  <c r="I189"/>
  <c r="J189"/>
  <c r="K189"/>
  <c r="L189"/>
  <c r="M189"/>
  <c r="N189"/>
  <c r="A190"/>
  <c r="B190"/>
  <c r="C190"/>
  <c r="D190"/>
  <c r="F190"/>
  <c r="G190"/>
  <c r="H190"/>
  <c r="I190"/>
  <c r="J190"/>
  <c r="K190"/>
  <c r="L190"/>
  <c r="M190"/>
  <c r="N190"/>
  <c r="A191"/>
  <c r="B191"/>
  <c r="C191"/>
  <c r="D191"/>
  <c r="F191"/>
  <c r="G191"/>
  <c r="H191"/>
  <c r="I191"/>
  <c r="J191"/>
  <c r="K191"/>
  <c r="L191"/>
  <c r="M191"/>
  <c r="N191"/>
  <c r="A192"/>
  <c r="B192"/>
  <c r="C192"/>
  <c r="D192"/>
  <c r="F192"/>
  <c r="G192"/>
  <c r="H192"/>
  <c r="I192"/>
  <c r="J192"/>
  <c r="K192"/>
  <c r="L192"/>
  <c r="M192"/>
  <c r="N192"/>
  <c r="A193"/>
  <c r="B193"/>
  <c r="C193"/>
  <c r="D193"/>
  <c r="F193"/>
  <c r="G193"/>
  <c r="H193"/>
  <c r="I193"/>
  <c r="J193"/>
  <c r="K193"/>
  <c r="L193"/>
  <c r="M193"/>
  <c r="N193"/>
  <c r="A194"/>
  <c r="B194"/>
  <c r="C194"/>
  <c r="D194"/>
  <c r="F194"/>
  <c r="G194"/>
  <c r="H194"/>
  <c r="I194"/>
  <c r="J194"/>
  <c r="K194"/>
  <c r="L194"/>
  <c r="M194"/>
  <c r="N194"/>
  <c r="A195"/>
  <c r="B195"/>
  <c r="C195"/>
  <c r="D195"/>
  <c r="F195"/>
  <c r="G195"/>
  <c r="H195"/>
  <c r="I195"/>
  <c r="J195"/>
  <c r="K195"/>
  <c r="L195"/>
  <c r="M195"/>
  <c r="N195"/>
  <c r="A196"/>
  <c r="B196"/>
  <c r="C196"/>
  <c r="D196"/>
  <c r="F196"/>
  <c r="G196"/>
  <c r="H196"/>
  <c r="I196"/>
  <c r="J196"/>
  <c r="K196"/>
  <c r="L196"/>
  <c r="M196"/>
  <c r="N196"/>
  <c r="A197"/>
  <c r="B197"/>
  <c r="C197"/>
  <c r="D197"/>
  <c r="F197"/>
  <c r="G197"/>
  <c r="H197"/>
  <c r="I197"/>
  <c r="J197"/>
  <c r="K197"/>
  <c r="L197"/>
  <c r="M197"/>
  <c r="N197"/>
  <c r="A198"/>
  <c r="B198"/>
  <c r="C198"/>
  <c r="D198"/>
  <c r="F198"/>
  <c r="G198"/>
  <c r="H198"/>
  <c r="I198"/>
  <c r="J198"/>
  <c r="K198"/>
  <c r="L198"/>
  <c r="M198"/>
  <c r="N198"/>
  <c r="A199"/>
  <c r="B199"/>
  <c r="C199"/>
  <c r="D199"/>
  <c r="F199"/>
  <c r="G199"/>
  <c r="H199"/>
  <c r="I199"/>
  <c r="J199"/>
  <c r="K199"/>
  <c r="L199"/>
  <c r="M199"/>
  <c r="N199"/>
  <c r="A200"/>
  <c r="B200"/>
  <c r="C200"/>
  <c r="D200"/>
  <c r="F200"/>
  <c r="G200"/>
  <c r="H200"/>
  <c r="I200"/>
  <c r="J200"/>
  <c r="K200"/>
  <c r="L200"/>
  <c r="M200"/>
  <c r="N200"/>
  <c r="A201"/>
  <c r="B201"/>
  <c r="C201"/>
  <c r="D201"/>
  <c r="F201"/>
  <c r="G201"/>
  <c r="H201"/>
  <c r="I201"/>
  <c r="J201"/>
  <c r="K201"/>
  <c r="L201"/>
  <c r="M201"/>
  <c r="N201"/>
  <c r="A202"/>
  <c r="B202"/>
  <c r="C202"/>
  <c r="D202"/>
  <c r="F202"/>
  <c r="G202"/>
  <c r="H202"/>
  <c r="I202"/>
  <c r="J202"/>
  <c r="K202"/>
  <c r="L202"/>
  <c r="M202"/>
  <c r="N202"/>
  <c r="A203"/>
  <c r="B203"/>
  <c r="C203"/>
  <c r="D203"/>
  <c r="F203"/>
  <c r="G203"/>
  <c r="H203"/>
  <c r="I203"/>
  <c r="J203"/>
  <c r="K203"/>
  <c r="L203"/>
  <c r="M203"/>
  <c r="N203"/>
  <c r="A204"/>
  <c r="B204"/>
  <c r="C204"/>
  <c r="D204"/>
  <c r="F204"/>
  <c r="G204"/>
  <c r="H204"/>
  <c r="I204"/>
  <c r="J204"/>
  <c r="K204"/>
  <c r="L204"/>
  <c r="M204"/>
  <c r="N204"/>
  <c r="A205"/>
  <c r="B205"/>
  <c r="C205"/>
  <c r="D205"/>
  <c r="F205"/>
  <c r="G205"/>
  <c r="H205"/>
  <c r="I205"/>
  <c r="J205"/>
  <c r="K205"/>
  <c r="L205"/>
  <c r="M205"/>
  <c r="N205"/>
  <c r="A206"/>
  <c r="B206"/>
  <c r="C206"/>
  <c r="D206"/>
  <c r="F206"/>
  <c r="G206"/>
  <c r="H206"/>
  <c r="I206"/>
  <c r="J206"/>
  <c r="K206"/>
  <c r="L206"/>
  <c r="M206"/>
  <c r="N206"/>
  <c r="A207"/>
  <c r="B207"/>
  <c r="C207"/>
  <c r="D207"/>
  <c r="F207"/>
  <c r="G207"/>
  <c r="H207"/>
  <c r="I207"/>
  <c r="J207"/>
  <c r="K207"/>
  <c r="L207"/>
  <c r="M207"/>
  <c r="N207"/>
  <c r="A208"/>
  <c r="B208"/>
  <c r="C208"/>
  <c r="D208"/>
  <c r="F208"/>
  <c r="G208"/>
  <c r="H208"/>
  <c r="I208"/>
  <c r="J208"/>
  <c r="K208"/>
  <c r="L208"/>
  <c r="M208"/>
  <c r="N208"/>
  <c r="A209"/>
  <c r="B209"/>
  <c r="C209"/>
  <c r="D209"/>
  <c r="F209"/>
  <c r="G209"/>
  <c r="H209"/>
  <c r="I209"/>
  <c r="J209"/>
  <c r="K209"/>
  <c r="L209"/>
  <c r="M209"/>
  <c r="N209"/>
  <c r="A210"/>
  <c r="B210"/>
  <c r="C210"/>
  <c r="D210"/>
  <c r="F210"/>
  <c r="G210"/>
  <c r="H210"/>
  <c r="I210"/>
  <c r="J210"/>
  <c r="K210"/>
  <c r="L210"/>
  <c r="M210"/>
  <c r="N210"/>
  <c r="A211"/>
  <c r="B211"/>
  <c r="C211"/>
  <c r="D211"/>
  <c r="F211"/>
  <c r="G211"/>
  <c r="H211"/>
  <c r="I211"/>
  <c r="J211"/>
  <c r="K211"/>
  <c r="L211"/>
  <c r="M211"/>
  <c r="N211"/>
  <c r="A212"/>
  <c r="B212"/>
  <c r="C212"/>
  <c r="D212"/>
  <c r="F212"/>
  <c r="G212"/>
  <c r="H212"/>
  <c r="I212"/>
  <c r="J212"/>
  <c r="K212"/>
  <c r="L212"/>
  <c r="M212"/>
  <c r="N212"/>
  <c r="A213"/>
  <c r="B213"/>
  <c r="C213"/>
  <c r="D213"/>
  <c r="F213"/>
  <c r="G213"/>
  <c r="H213"/>
  <c r="I213"/>
  <c r="J213"/>
  <c r="K213"/>
  <c r="L213"/>
  <c r="M213"/>
  <c r="N213"/>
  <c r="A214"/>
  <c r="B214"/>
  <c r="C214"/>
  <c r="D214"/>
  <c r="F214"/>
  <c r="G214"/>
  <c r="H214"/>
  <c r="I214"/>
  <c r="J214"/>
  <c r="K214"/>
  <c r="L214"/>
  <c r="M214"/>
  <c r="N214"/>
  <c r="A215"/>
  <c r="B215"/>
  <c r="C215"/>
  <c r="D215"/>
  <c r="F215"/>
  <c r="G215"/>
  <c r="H215"/>
  <c r="I215"/>
  <c r="J215"/>
  <c r="K215"/>
  <c r="L215"/>
  <c r="M215"/>
  <c r="N215"/>
  <c r="A216"/>
  <c r="B216"/>
  <c r="C216"/>
  <c r="D216"/>
  <c r="F216"/>
  <c r="G216"/>
  <c r="H216"/>
  <c r="I216"/>
  <c r="J216"/>
  <c r="K216"/>
  <c r="L216"/>
  <c r="M216"/>
  <c r="N216"/>
  <c r="A217"/>
  <c r="B217"/>
  <c r="C217"/>
  <c r="D217"/>
  <c r="F217"/>
  <c r="G217"/>
  <c r="H217"/>
  <c r="I217"/>
  <c r="J217"/>
  <c r="K217"/>
  <c r="L217"/>
  <c r="M217"/>
  <c r="N217"/>
  <c r="A218"/>
  <c r="B218"/>
  <c r="C218"/>
  <c r="D218"/>
  <c r="F218"/>
  <c r="G218"/>
  <c r="H218"/>
  <c r="I218"/>
  <c r="J218"/>
  <c r="K218"/>
  <c r="L218"/>
  <c r="M218"/>
  <c r="N218"/>
  <c r="A219"/>
  <c r="B219"/>
  <c r="C219"/>
  <c r="D219"/>
  <c r="F219"/>
  <c r="G219"/>
  <c r="H219"/>
  <c r="I219"/>
  <c r="J219"/>
  <c r="K219"/>
  <c r="L219"/>
  <c r="M219"/>
  <c r="N219"/>
  <c r="A220"/>
  <c r="B220"/>
  <c r="C220"/>
  <c r="D220"/>
  <c r="F220"/>
  <c r="G220"/>
  <c r="H220"/>
  <c r="I220"/>
  <c r="J220"/>
  <c r="K220"/>
  <c r="L220"/>
  <c r="M220"/>
  <c r="N220"/>
  <c r="A221"/>
  <c r="B221"/>
  <c r="C221"/>
  <c r="D221"/>
  <c r="F221"/>
  <c r="G221"/>
  <c r="H221"/>
  <c r="I221"/>
  <c r="J221"/>
  <c r="K221"/>
  <c r="L221"/>
  <c r="M221"/>
  <c r="N221"/>
  <c r="A222"/>
  <c r="B222"/>
  <c r="C222"/>
  <c r="D222"/>
  <c r="F222"/>
  <c r="G222"/>
  <c r="H222"/>
  <c r="I222"/>
  <c r="J222"/>
  <c r="K222"/>
  <c r="L222"/>
  <c r="M222"/>
  <c r="N222"/>
  <c r="A223"/>
  <c r="B223"/>
  <c r="C223"/>
  <c r="D223"/>
  <c r="F223"/>
  <c r="G223"/>
  <c r="H223"/>
  <c r="I223"/>
  <c r="J223"/>
  <c r="K223"/>
  <c r="L223"/>
  <c r="M223"/>
  <c r="N223"/>
  <c r="A224"/>
  <c r="B224"/>
  <c r="C224"/>
  <c r="D224"/>
  <c r="F224"/>
  <c r="G224"/>
  <c r="H224"/>
  <c r="I224"/>
  <c r="J224"/>
  <c r="K224"/>
  <c r="L224"/>
  <c r="M224"/>
  <c r="N224"/>
  <c r="A225"/>
  <c r="B225"/>
  <c r="C225"/>
  <c r="D225"/>
  <c r="F225"/>
  <c r="G225"/>
  <c r="H225"/>
  <c r="I225"/>
  <c r="J225"/>
  <c r="K225"/>
  <c r="L225"/>
  <c r="M225"/>
  <c r="N225"/>
  <c r="A226"/>
  <c r="B226"/>
  <c r="C226"/>
  <c r="D226"/>
  <c r="F226"/>
  <c r="G226"/>
  <c r="H226"/>
  <c r="I226"/>
  <c r="J226"/>
  <c r="K226"/>
  <c r="L226"/>
  <c r="M226"/>
  <c r="N226"/>
  <c r="A227"/>
  <c r="B227"/>
  <c r="C227"/>
  <c r="D227"/>
  <c r="F227"/>
  <c r="G227"/>
  <c r="H227"/>
  <c r="I227"/>
  <c r="J227"/>
  <c r="K227"/>
  <c r="L227"/>
  <c r="M227"/>
  <c r="N227"/>
  <c r="A228"/>
  <c r="B228"/>
  <c r="C228"/>
  <c r="D228"/>
  <c r="F228"/>
  <c r="G228"/>
  <c r="H228"/>
  <c r="I228"/>
  <c r="J228"/>
  <c r="K228"/>
  <c r="L228"/>
  <c r="M228"/>
  <c r="N228"/>
  <c r="A229"/>
  <c r="B229"/>
  <c r="C229"/>
  <c r="D229"/>
  <c r="F229"/>
  <c r="G229"/>
  <c r="H229"/>
  <c r="I229"/>
  <c r="J229"/>
  <c r="K229"/>
  <c r="L229"/>
  <c r="M229"/>
  <c r="N229"/>
  <c r="A230"/>
  <c r="B230"/>
  <c r="C230"/>
  <c r="D230"/>
  <c r="F230"/>
  <c r="G230"/>
  <c r="H230"/>
  <c r="I230"/>
  <c r="J230"/>
  <c r="K230"/>
  <c r="L230"/>
  <c r="M230"/>
  <c r="N230"/>
  <c r="A231"/>
  <c r="B231"/>
  <c r="C231"/>
  <c r="D231"/>
  <c r="F231"/>
  <c r="G231"/>
  <c r="H231"/>
  <c r="I231"/>
  <c r="J231"/>
  <c r="K231"/>
  <c r="L231"/>
  <c r="M231"/>
  <c r="N231"/>
  <c r="A232"/>
  <c r="B232"/>
  <c r="C232"/>
  <c r="D232"/>
  <c r="F232"/>
  <c r="G232"/>
  <c r="H232"/>
  <c r="I232"/>
  <c r="J232"/>
  <c r="K232"/>
  <c r="L232"/>
  <c r="M232"/>
  <c r="N232"/>
  <c r="A233"/>
  <c r="B233"/>
  <c r="C233"/>
  <c r="D233"/>
  <c r="F233"/>
  <c r="G233"/>
  <c r="H233"/>
  <c r="I233"/>
  <c r="J233"/>
  <c r="K233"/>
  <c r="L233"/>
  <c r="M233"/>
  <c r="N233"/>
  <c r="A234"/>
  <c r="B234"/>
  <c r="C234"/>
  <c r="D234"/>
  <c r="F234"/>
  <c r="G234"/>
  <c r="H234"/>
  <c r="I234"/>
  <c r="J234"/>
  <c r="K234"/>
  <c r="L234"/>
  <c r="M234"/>
  <c r="N234"/>
  <c r="A235"/>
  <c r="B235"/>
  <c r="C235"/>
  <c r="D235"/>
  <c r="F235"/>
  <c r="G235"/>
  <c r="H235"/>
  <c r="I235"/>
  <c r="J235"/>
  <c r="K235"/>
  <c r="L235"/>
  <c r="M235"/>
  <c r="N235"/>
  <c r="A236"/>
  <c r="B236"/>
  <c r="C236"/>
  <c r="D236"/>
  <c r="F236"/>
  <c r="G236"/>
  <c r="H236"/>
  <c r="I236"/>
  <c r="J236"/>
  <c r="K236"/>
  <c r="L236"/>
  <c r="M236"/>
  <c r="N236"/>
  <c r="A237"/>
  <c r="B237"/>
  <c r="C237"/>
  <c r="D237"/>
  <c r="F237"/>
  <c r="G237"/>
  <c r="H237"/>
  <c r="I237"/>
  <c r="J237"/>
  <c r="K237"/>
  <c r="L237"/>
  <c r="M237"/>
  <c r="N237"/>
  <c r="A238"/>
  <c r="B238"/>
  <c r="C238"/>
  <c r="D238"/>
  <c r="F238"/>
  <c r="G238"/>
  <c r="H238"/>
  <c r="I238"/>
  <c r="J238"/>
  <c r="K238"/>
  <c r="L238"/>
  <c r="M238"/>
  <c r="N238"/>
  <c r="A239"/>
  <c r="B239"/>
  <c r="C239"/>
  <c r="D239"/>
  <c r="F239"/>
  <c r="G239"/>
  <c r="H239"/>
  <c r="I239"/>
  <c r="J239"/>
  <c r="K239"/>
  <c r="L239"/>
  <c r="M239"/>
  <c r="N239"/>
  <c r="A240"/>
  <c r="B240"/>
  <c r="C240"/>
  <c r="D240"/>
  <c r="F240"/>
  <c r="G240"/>
  <c r="H240"/>
  <c r="I240"/>
  <c r="J240"/>
  <c r="K240"/>
  <c r="L240"/>
  <c r="M240"/>
  <c r="N240"/>
  <c r="A241"/>
  <c r="B241"/>
  <c r="C241"/>
  <c r="D241"/>
  <c r="F241"/>
  <c r="G241"/>
  <c r="H241"/>
  <c r="I241"/>
  <c r="J241"/>
  <c r="K241"/>
  <c r="L241"/>
  <c r="M241"/>
  <c r="N241"/>
  <c r="A242"/>
  <c r="B242"/>
  <c r="C242"/>
  <c r="D242"/>
  <c r="F242"/>
  <c r="G242"/>
  <c r="H242"/>
  <c r="I242"/>
  <c r="J242"/>
  <c r="K242"/>
  <c r="L242"/>
  <c r="M242"/>
  <c r="N242"/>
  <c r="A243"/>
  <c r="B243"/>
  <c r="C243"/>
  <c r="D243"/>
  <c r="F243"/>
  <c r="G243"/>
  <c r="H243"/>
  <c r="I243"/>
  <c r="J243"/>
  <c r="K243"/>
  <c r="L243"/>
  <c r="M243"/>
  <c r="N243"/>
  <c r="A244"/>
  <c r="B244"/>
  <c r="C244"/>
  <c r="D244"/>
  <c r="F244"/>
  <c r="G244"/>
  <c r="H244"/>
  <c r="I244"/>
  <c r="J244"/>
  <c r="K244"/>
  <c r="L244"/>
  <c r="M244"/>
  <c r="N244"/>
  <c r="A245"/>
  <c r="B245"/>
  <c r="C245"/>
  <c r="D245"/>
  <c r="F245"/>
  <c r="G245"/>
  <c r="H245"/>
  <c r="I245"/>
  <c r="J245"/>
  <c r="K245"/>
  <c r="L245"/>
  <c r="M245"/>
  <c r="N245"/>
  <c r="A246"/>
  <c r="B246"/>
  <c r="C246"/>
  <c r="D246"/>
  <c r="F246"/>
  <c r="G246"/>
  <c r="H246"/>
  <c r="I246"/>
  <c r="J246"/>
  <c r="K246"/>
  <c r="L246"/>
  <c r="M246"/>
  <c r="N246"/>
  <c r="A247"/>
  <c r="B247"/>
  <c r="C247"/>
  <c r="D247"/>
  <c r="F247"/>
  <c r="G247"/>
  <c r="H247"/>
  <c r="I247"/>
  <c r="J247"/>
  <c r="K247"/>
  <c r="L247"/>
  <c r="M247"/>
  <c r="N247"/>
  <c r="A248"/>
  <c r="B248"/>
  <c r="C248"/>
  <c r="D248"/>
  <c r="F248"/>
  <c r="G248"/>
  <c r="H248"/>
  <c r="I248"/>
  <c r="J248"/>
  <c r="K248"/>
  <c r="L248"/>
  <c r="M248"/>
  <c r="N248"/>
  <c r="A249"/>
  <c r="B249"/>
  <c r="C249"/>
  <c r="D249"/>
  <c r="F249"/>
  <c r="G249"/>
  <c r="H249"/>
  <c r="I249"/>
  <c r="J249"/>
  <c r="K249"/>
  <c r="L249"/>
  <c r="M249"/>
  <c r="N249"/>
  <c r="A250"/>
  <c r="B250"/>
  <c r="C250"/>
  <c r="D250"/>
  <c r="F250"/>
  <c r="G250"/>
  <c r="H250"/>
  <c r="I250"/>
  <c r="J250"/>
  <c r="K250"/>
  <c r="L250"/>
  <c r="M250"/>
  <c r="N250"/>
  <c r="A251"/>
  <c r="B251"/>
  <c r="C251"/>
  <c r="D251"/>
  <c r="F251"/>
  <c r="G251"/>
  <c r="H251"/>
  <c r="I251"/>
  <c r="J251"/>
  <c r="K251"/>
  <c r="L251"/>
  <c r="M251"/>
  <c r="N251"/>
  <c r="A252"/>
  <c r="B252"/>
  <c r="C252"/>
  <c r="D252"/>
  <c r="F252"/>
  <c r="G252"/>
  <c r="H252"/>
  <c r="I252"/>
  <c r="J252"/>
  <c r="K252"/>
  <c r="L252"/>
  <c r="M252"/>
  <c r="N252"/>
  <c r="A253"/>
  <c r="B253"/>
  <c r="C253"/>
  <c r="D253"/>
  <c r="F253"/>
  <c r="G253"/>
  <c r="H253"/>
  <c r="I253"/>
  <c r="J253"/>
  <c r="K253"/>
  <c r="L253"/>
  <c r="M253"/>
  <c r="N253"/>
  <c r="A254"/>
  <c r="B254"/>
  <c r="C254"/>
  <c r="D254"/>
  <c r="F254"/>
  <c r="G254"/>
  <c r="H254"/>
  <c r="I254"/>
  <c r="J254"/>
  <c r="K254"/>
  <c r="L254"/>
  <c r="M254"/>
  <c r="N254"/>
  <c r="A255"/>
  <c r="B255"/>
  <c r="C255"/>
  <c r="D255"/>
  <c r="F255"/>
  <c r="G255"/>
  <c r="H255"/>
  <c r="I255"/>
  <c r="J255"/>
  <c r="K255"/>
  <c r="L255"/>
  <c r="M255"/>
  <c r="N255"/>
  <c r="A256"/>
  <c r="B256"/>
  <c r="C256"/>
  <c r="D256"/>
  <c r="F256"/>
  <c r="G256"/>
  <c r="H256"/>
  <c r="I256"/>
  <c r="J256"/>
  <c r="K256"/>
  <c r="L256"/>
  <c r="M256"/>
  <c r="N256"/>
  <c r="A257"/>
  <c r="B257"/>
  <c r="C257"/>
  <c r="D257"/>
  <c r="F257"/>
  <c r="G257"/>
  <c r="H257"/>
  <c r="I257"/>
  <c r="J257"/>
  <c r="K257"/>
  <c r="L257"/>
  <c r="M257"/>
  <c r="N257"/>
  <c r="A258"/>
  <c r="B258"/>
  <c r="C258"/>
  <c r="D258"/>
  <c r="F258"/>
  <c r="G258"/>
  <c r="H258"/>
  <c r="I258"/>
  <c r="J258"/>
  <c r="K258"/>
  <c r="L258"/>
  <c r="M258"/>
  <c r="N258"/>
  <c r="A259"/>
  <c r="B259"/>
  <c r="C259"/>
  <c r="D259"/>
  <c r="F259"/>
  <c r="G259"/>
  <c r="H259"/>
  <c r="I259"/>
  <c r="J259"/>
  <c r="K259"/>
  <c r="L259"/>
  <c r="M259"/>
  <c r="N259"/>
  <c r="A260"/>
  <c r="B260"/>
  <c r="C260"/>
  <c r="D260"/>
  <c r="F260"/>
  <c r="G260"/>
  <c r="H260"/>
  <c r="I260"/>
  <c r="J260"/>
  <c r="K260"/>
  <c r="L260"/>
  <c r="M260"/>
  <c r="N260"/>
  <c r="A261"/>
  <c r="B261"/>
  <c r="C261"/>
  <c r="D261"/>
  <c r="F261"/>
  <c r="G261"/>
  <c r="H261"/>
  <c r="I261"/>
  <c r="J261"/>
  <c r="K261"/>
  <c r="L261"/>
  <c r="M261"/>
  <c r="N261"/>
  <c r="A262"/>
  <c r="B262"/>
  <c r="C262"/>
  <c r="D262"/>
  <c r="F262"/>
  <c r="G262"/>
  <c r="H262"/>
  <c r="I262"/>
  <c r="J262"/>
  <c r="K262"/>
  <c r="L262"/>
  <c r="M262"/>
  <c r="N262"/>
  <c r="A263"/>
  <c r="B263"/>
  <c r="C263"/>
  <c r="D263"/>
  <c r="F263"/>
  <c r="G263"/>
  <c r="H263"/>
  <c r="I263"/>
  <c r="J263"/>
  <c r="K263"/>
  <c r="L263"/>
  <c r="M263"/>
  <c r="N263"/>
  <c r="A264"/>
  <c r="B264"/>
  <c r="C264"/>
  <c r="D264"/>
  <c r="F264"/>
  <c r="G264"/>
  <c r="H264"/>
  <c r="I264"/>
  <c r="J264"/>
  <c r="K264"/>
  <c r="L264"/>
  <c r="M264"/>
  <c r="N264"/>
  <c r="A265"/>
  <c r="B265"/>
  <c r="C265"/>
  <c r="D265"/>
  <c r="F265"/>
  <c r="G265"/>
  <c r="H265"/>
  <c r="I265"/>
  <c r="J265"/>
  <c r="K265"/>
  <c r="L265"/>
  <c r="M265"/>
  <c r="N265"/>
  <c r="A266"/>
  <c r="B266"/>
  <c r="C266"/>
  <c r="D266"/>
  <c r="F266"/>
  <c r="G266"/>
  <c r="H266"/>
  <c r="I266"/>
  <c r="J266"/>
  <c r="K266"/>
  <c r="L266"/>
  <c r="M266"/>
  <c r="N266"/>
  <c r="A267"/>
  <c r="B267"/>
  <c r="C267"/>
  <c r="D267"/>
  <c r="F267"/>
  <c r="G267"/>
  <c r="H267"/>
  <c r="I267"/>
  <c r="J267"/>
  <c r="K267"/>
  <c r="L267"/>
  <c r="M267"/>
  <c r="N267"/>
  <c r="A268"/>
  <c r="B268"/>
  <c r="C268"/>
  <c r="D268"/>
  <c r="F268"/>
  <c r="G268"/>
  <c r="H268"/>
  <c r="I268"/>
  <c r="J268"/>
  <c r="K268"/>
  <c r="L268"/>
  <c r="M268"/>
  <c r="N268"/>
  <c r="A269"/>
  <c r="B269"/>
  <c r="C269"/>
  <c r="D269"/>
  <c r="F269"/>
  <c r="G269"/>
  <c r="H269"/>
  <c r="I269"/>
  <c r="J269"/>
  <c r="K269"/>
  <c r="L269"/>
  <c r="M269"/>
  <c r="N269"/>
  <c r="A270"/>
  <c r="B270"/>
  <c r="C270"/>
  <c r="D270"/>
  <c r="F270"/>
  <c r="G270"/>
  <c r="H270"/>
  <c r="I270"/>
  <c r="J270"/>
  <c r="K270"/>
  <c r="L270"/>
  <c r="M270"/>
  <c r="N270"/>
  <c r="A271"/>
  <c r="B271"/>
  <c r="C271"/>
  <c r="D271"/>
  <c r="F271"/>
  <c r="G271"/>
  <c r="H271"/>
  <c r="I271"/>
  <c r="J271"/>
  <c r="K271"/>
  <c r="L271"/>
  <c r="M271"/>
  <c r="N271"/>
  <c r="A272"/>
  <c r="B272"/>
  <c r="C272"/>
  <c r="D272"/>
  <c r="F272"/>
  <c r="G272"/>
  <c r="H272"/>
  <c r="I272"/>
  <c r="J272"/>
  <c r="K272"/>
  <c r="L272"/>
  <c r="M272"/>
  <c r="N272"/>
  <c r="A273"/>
  <c r="B273"/>
  <c r="C273"/>
  <c r="D273"/>
  <c r="F273"/>
  <c r="G273"/>
  <c r="H273"/>
  <c r="I273"/>
  <c r="J273"/>
  <c r="K273"/>
  <c r="L273"/>
  <c r="M273"/>
  <c r="N273"/>
  <c r="A274"/>
  <c r="B274"/>
  <c r="C274"/>
  <c r="D274"/>
  <c r="F274"/>
  <c r="G274"/>
  <c r="H274"/>
  <c r="I274"/>
  <c r="J274"/>
  <c r="K274"/>
  <c r="L274"/>
  <c r="M274"/>
  <c r="N274"/>
  <c r="A275"/>
  <c r="B275"/>
  <c r="C275"/>
  <c r="D275"/>
  <c r="F275"/>
  <c r="G275"/>
  <c r="H275"/>
  <c r="I275"/>
  <c r="J275"/>
  <c r="K275"/>
  <c r="L275"/>
  <c r="M275"/>
  <c r="N275"/>
  <c r="A276"/>
  <c r="B276"/>
  <c r="C276"/>
  <c r="D276"/>
  <c r="F276"/>
  <c r="G276"/>
  <c r="H276"/>
  <c r="I276"/>
  <c r="J276"/>
  <c r="K276"/>
  <c r="L276"/>
  <c r="M276"/>
  <c r="N276"/>
  <c r="A277"/>
  <c r="B277"/>
  <c r="C277"/>
  <c r="D277"/>
  <c r="F277"/>
  <c r="G277"/>
  <c r="H277"/>
  <c r="I277"/>
  <c r="J277"/>
  <c r="K277"/>
  <c r="L277"/>
  <c r="M277"/>
  <c r="N277"/>
  <c r="A278"/>
  <c r="B278"/>
  <c r="C278"/>
  <c r="D278"/>
  <c r="F278"/>
  <c r="G278"/>
  <c r="H278"/>
  <c r="I278"/>
  <c r="J278"/>
  <c r="K278"/>
  <c r="L278"/>
  <c r="M278"/>
  <c r="N278"/>
  <c r="A279"/>
  <c r="B279"/>
  <c r="C279"/>
  <c r="D279"/>
  <c r="F279"/>
  <c r="G279"/>
  <c r="H279"/>
  <c r="I279"/>
  <c r="J279"/>
  <c r="K279"/>
  <c r="L279"/>
  <c r="M279"/>
  <c r="N279"/>
  <c r="A280"/>
  <c r="B280"/>
  <c r="C280"/>
  <c r="D280"/>
  <c r="F280"/>
  <c r="G280"/>
  <c r="H280"/>
  <c r="I280"/>
  <c r="J280"/>
  <c r="K280"/>
  <c r="L280"/>
  <c r="M280"/>
  <c r="N280"/>
  <c r="A281"/>
  <c r="B281"/>
  <c r="C281"/>
  <c r="D281"/>
  <c r="F281"/>
  <c r="G281"/>
  <c r="H281"/>
  <c r="I281"/>
  <c r="J281"/>
  <c r="K281"/>
  <c r="L281"/>
  <c r="M281"/>
  <c r="N281"/>
  <c r="A282"/>
  <c r="B282"/>
  <c r="C282"/>
  <c r="D282"/>
  <c r="F282"/>
  <c r="G282"/>
  <c r="H282"/>
  <c r="I282"/>
  <c r="J282"/>
  <c r="K282"/>
  <c r="L282"/>
  <c r="M282"/>
  <c r="N282"/>
  <c r="A283"/>
  <c r="B283"/>
  <c r="C283"/>
  <c r="D283"/>
  <c r="F283"/>
  <c r="G283"/>
  <c r="H283"/>
  <c r="I283"/>
  <c r="J283"/>
  <c r="K283"/>
  <c r="L283"/>
  <c r="M283"/>
  <c r="N283"/>
  <c r="A284"/>
  <c r="B284"/>
  <c r="C284"/>
  <c r="D284"/>
  <c r="F284"/>
  <c r="G284"/>
  <c r="H284"/>
  <c r="I284"/>
  <c r="J284"/>
  <c r="K284"/>
  <c r="L284"/>
  <c r="M284"/>
  <c r="N284"/>
  <c r="A285"/>
  <c r="B285"/>
  <c r="C285"/>
  <c r="D285"/>
  <c r="F285"/>
  <c r="G285"/>
  <c r="H285"/>
  <c r="I285"/>
  <c r="J285"/>
  <c r="K285"/>
  <c r="L285"/>
  <c r="M285"/>
  <c r="N285"/>
  <c r="A286"/>
  <c r="B286"/>
  <c r="C286"/>
  <c r="D286"/>
  <c r="F286"/>
  <c r="G286"/>
  <c r="H286"/>
  <c r="I286"/>
  <c r="J286"/>
  <c r="K286"/>
  <c r="L286"/>
  <c r="M286"/>
  <c r="N286"/>
  <c r="A287"/>
  <c r="B287"/>
  <c r="C287"/>
  <c r="D287"/>
  <c r="F287"/>
  <c r="G287"/>
  <c r="H287"/>
  <c r="I287"/>
  <c r="J287"/>
  <c r="K287"/>
  <c r="L287"/>
  <c r="M287"/>
  <c r="N287"/>
  <c r="A288"/>
  <c r="B288"/>
  <c r="C288"/>
  <c r="D288"/>
  <c r="F288"/>
  <c r="G288"/>
  <c r="H288"/>
  <c r="I288"/>
  <c r="J288"/>
  <c r="K288"/>
  <c r="L288"/>
  <c r="M288"/>
  <c r="N288"/>
  <c r="A289"/>
  <c r="B289"/>
  <c r="C289"/>
  <c r="D289"/>
  <c r="F289"/>
  <c r="G289"/>
  <c r="H289"/>
  <c r="I289"/>
  <c r="J289"/>
  <c r="K289"/>
  <c r="L289"/>
  <c r="M289"/>
  <c r="N289"/>
  <c r="A290"/>
  <c r="B290"/>
  <c r="C290"/>
  <c r="D290"/>
  <c r="F290"/>
  <c r="G290"/>
  <c r="H290"/>
  <c r="I290"/>
  <c r="J290"/>
  <c r="K290"/>
  <c r="L290"/>
  <c r="M290"/>
  <c r="N290"/>
  <c r="A291"/>
  <c r="B291"/>
  <c r="C291"/>
  <c r="D291"/>
  <c r="F291"/>
  <c r="G291"/>
  <c r="H291"/>
  <c r="I291"/>
  <c r="J291"/>
  <c r="K291"/>
  <c r="L291"/>
  <c r="M291"/>
  <c r="N291"/>
  <c r="A292"/>
  <c r="B292"/>
  <c r="C292"/>
  <c r="D292"/>
  <c r="F292"/>
  <c r="G292"/>
  <c r="H292"/>
  <c r="I292"/>
  <c r="J292"/>
  <c r="K292"/>
  <c r="L292"/>
  <c r="M292"/>
  <c r="N292"/>
  <c r="A293"/>
  <c r="B293"/>
  <c r="C293"/>
  <c r="D293"/>
  <c r="F293"/>
  <c r="G293"/>
  <c r="H293"/>
  <c r="I293"/>
  <c r="J293"/>
  <c r="K293"/>
  <c r="L293"/>
  <c r="M293"/>
  <c r="N293"/>
  <c r="A294"/>
  <c r="B294"/>
  <c r="C294"/>
  <c r="D294"/>
  <c r="F294"/>
  <c r="G294"/>
  <c r="H294"/>
  <c r="I294"/>
  <c r="J294"/>
  <c r="K294"/>
  <c r="L294"/>
  <c r="M294"/>
  <c r="N294"/>
  <c r="A295"/>
  <c r="B295"/>
  <c r="C295"/>
  <c r="D295"/>
  <c r="F295"/>
  <c r="G295"/>
  <c r="H295"/>
  <c r="I295"/>
  <c r="J295"/>
  <c r="K295"/>
  <c r="L295"/>
  <c r="M295"/>
  <c r="N295"/>
  <c r="A296"/>
  <c r="B296"/>
  <c r="C296"/>
  <c r="D296"/>
  <c r="F296"/>
  <c r="G296"/>
  <c r="H296"/>
  <c r="I296"/>
  <c r="J296"/>
  <c r="K296"/>
  <c r="L296"/>
  <c r="M296"/>
  <c r="N296"/>
  <c r="A297"/>
  <c r="B297"/>
  <c r="C297"/>
  <c r="D297"/>
  <c r="F297"/>
  <c r="G297"/>
  <c r="H297"/>
  <c r="I297"/>
  <c r="J297"/>
  <c r="K297"/>
  <c r="L297"/>
  <c r="M297"/>
  <c r="N297"/>
  <c r="A298"/>
  <c r="B298"/>
  <c r="C298"/>
  <c r="D298"/>
  <c r="F298"/>
  <c r="G298"/>
  <c r="H298"/>
  <c r="I298"/>
  <c r="J298"/>
  <c r="K298"/>
  <c r="L298"/>
  <c r="M298"/>
  <c r="N298"/>
  <c r="A299"/>
  <c r="B299"/>
  <c r="C299"/>
  <c r="D299"/>
  <c r="F299"/>
  <c r="G299"/>
  <c r="H299"/>
  <c r="I299"/>
  <c r="J299"/>
  <c r="K299"/>
  <c r="L299"/>
  <c r="M299"/>
  <c r="N299"/>
  <c r="A300"/>
  <c r="B300"/>
  <c r="C300"/>
  <c r="D300"/>
  <c r="F300"/>
  <c r="G300"/>
  <c r="H300"/>
  <c r="I300"/>
  <c r="J300"/>
  <c r="K300"/>
  <c r="L300"/>
  <c r="M300"/>
  <c r="N300"/>
  <c r="A301"/>
  <c r="B301"/>
  <c r="C301"/>
  <c r="D301"/>
  <c r="F301"/>
  <c r="G301"/>
  <c r="H301"/>
  <c r="I301"/>
  <c r="J301"/>
  <c r="K301"/>
  <c r="L301"/>
  <c r="M301"/>
  <c r="N301"/>
  <c r="A302"/>
  <c r="B302"/>
  <c r="C302"/>
  <c r="D302"/>
  <c r="F302"/>
  <c r="G302"/>
  <c r="H302"/>
  <c r="I302"/>
  <c r="J302"/>
  <c r="K302"/>
  <c r="L302"/>
  <c r="M302"/>
  <c r="N302"/>
  <c r="A303"/>
  <c r="B303"/>
  <c r="C303"/>
  <c r="D303"/>
  <c r="F303"/>
  <c r="G303"/>
  <c r="H303"/>
  <c r="I303"/>
  <c r="J303"/>
  <c r="K303"/>
  <c r="L303"/>
  <c r="M303"/>
  <c r="N303"/>
  <c r="A304"/>
  <c r="B304"/>
  <c r="C304"/>
  <c r="D304"/>
  <c r="F304"/>
  <c r="G304"/>
  <c r="H304"/>
  <c r="I304"/>
  <c r="J304"/>
  <c r="K304"/>
  <c r="L304"/>
  <c r="M304"/>
  <c r="N304"/>
  <c r="A305"/>
  <c r="B305"/>
  <c r="C305"/>
  <c r="D305"/>
  <c r="F305"/>
  <c r="G305"/>
  <c r="H305"/>
  <c r="I305"/>
  <c r="J305"/>
  <c r="K305"/>
  <c r="L305"/>
  <c r="M305"/>
  <c r="N305"/>
  <c r="A306"/>
  <c r="B306"/>
  <c r="C306"/>
  <c r="D306"/>
  <c r="F306"/>
  <c r="G306"/>
  <c r="H306"/>
  <c r="I306"/>
  <c r="J306"/>
  <c r="K306"/>
  <c r="L306"/>
  <c r="M306"/>
  <c r="N306"/>
  <c r="A307"/>
  <c r="B307"/>
  <c r="C307"/>
  <c r="D307"/>
  <c r="F307"/>
  <c r="G307"/>
  <c r="H307"/>
  <c r="I307"/>
  <c r="J307"/>
  <c r="K307"/>
  <c r="L307"/>
  <c r="M307"/>
  <c r="N307"/>
  <c r="A308"/>
  <c r="B308"/>
  <c r="C308"/>
  <c r="D308"/>
  <c r="F308"/>
  <c r="G308"/>
  <c r="H308"/>
  <c r="I308"/>
  <c r="J308"/>
  <c r="K308"/>
  <c r="L308"/>
  <c r="M308"/>
  <c r="N308"/>
  <c r="A309"/>
  <c r="B309"/>
  <c r="C309"/>
  <c r="D309"/>
  <c r="F309"/>
  <c r="G309"/>
  <c r="H309"/>
  <c r="I309"/>
  <c r="J309"/>
  <c r="K309"/>
  <c r="L309"/>
  <c r="M309"/>
  <c r="N309"/>
  <c r="A310"/>
  <c r="B310"/>
  <c r="C310"/>
  <c r="D310"/>
  <c r="F310"/>
  <c r="G310"/>
  <c r="H310"/>
  <c r="I310"/>
  <c r="J310"/>
  <c r="K310"/>
  <c r="L310"/>
  <c r="M310"/>
  <c r="N310"/>
  <c r="A311"/>
  <c r="B311"/>
  <c r="C311"/>
  <c r="D311"/>
  <c r="F311"/>
  <c r="G311"/>
  <c r="H311"/>
  <c r="I311"/>
  <c r="J311"/>
  <c r="K311"/>
  <c r="L311"/>
  <c r="M311"/>
  <c r="N311"/>
  <c r="A312"/>
  <c r="B312"/>
  <c r="C312"/>
  <c r="D312"/>
  <c r="F312"/>
  <c r="G312"/>
  <c r="H312"/>
  <c r="I312"/>
  <c r="J312"/>
  <c r="K312"/>
  <c r="L312"/>
  <c r="M312"/>
  <c r="N312"/>
  <c r="A313"/>
  <c r="B313"/>
  <c r="C313"/>
  <c r="D313"/>
  <c r="F313"/>
  <c r="G313"/>
  <c r="H313"/>
  <c r="I313"/>
  <c r="J313"/>
  <c r="K313"/>
  <c r="L313"/>
  <c r="M313"/>
  <c r="N313"/>
  <c r="A314"/>
  <c r="B314"/>
  <c r="C314"/>
  <c r="D314"/>
  <c r="F314"/>
  <c r="G314"/>
  <c r="H314"/>
  <c r="I314"/>
  <c r="J314"/>
  <c r="K314"/>
  <c r="L314"/>
  <c r="M314"/>
  <c r="N314"/>
  <c r="A315"/>
  <c r="B315"/>
  <c r="C315"/>
  <c r="D315"/>
  <c r="F315"/>
  <c r="G315"/>
  <c r="H315"/>
  <c r="I315"/>
  <c r="J315"/>
  <c r="K315"/>
  <c r="L315"/>
  <c r="M315"/>
  <c r="N315"/>
  <c r="A316"/>
  <c r="B316"/>
  <c r="C316"/>
  <c r="D316"/>
  <c r="F316"/>
  <c r="G316"/>
  <c r="H316"/>
  <c r="I316"/>
  <c r="J316"/>
  <c r="K316"/>
  <c r="L316"/>
  <c r="M316"/>
  <c r="N316"/>
  <c r="A317"/>
  <c r="B317"/>
  <c r="C317"/>
  <c r="D317"/>
  <c r="F317"/>
  <c r="G317"/>
  <c r="H317"/>
  <c r="I317"/>
  <c r="J317"/>
  <c r="K317"/>
  <c r="L317"/>
  <c r="M317"/>
  <c r="N317"/>
  <c r="A318"/>
  <c r="B318"/>
  <c r="C318"/>
  <c r="D318"/>
  <c r="F318"/>
  <c r="G318"/>
  <c r="H318"/>
  <c r="I318"/>
  <c r="J318"/>
  <c r="K318"/>
  <c r="L318"/>
  <c r="M318"/>
  <c r="N318"/>
  <c r="A319"/>
  <c r="B319"/>
  <c r="C319"/>
  <c r="D319"/>
  <c r="F319"/>
  <c r="G319"/>
  <c r="H319"/>
  <c r="I319"/>
  <c r="J319"/>
  <c r="K319"/>
  <c r="L319"/>
  <c r="M319"/>
  <c r="N319"/>
  <c r="A320"/>
  <c r="B320"/>
  <c r="C320"/>
  <c r="D320"/>
  <c r="F320"/>
  <c r="G320"/>
  <c r="H320"/>
  <c r="I320"/>
  <c r="J320"/>
  <c r="K320"/>
  <c r="L320"/>
  <c r="M320"/>
  <c r="N320"/>
  <c r="A321"/>
  <c r="B321"/>
  <c r="C321"/>
  <c r="D321"/>
  <c r="F321"/>
  <c r="G321"/>
  <c r="H321"/>
  <c r="I321"/>
  <c r="J321"/>
  <c r="K321"/>
  <c r="L321"/>
  <c r="M321"/>
  <c r="N321"/>
  <c r="A322"/>
  <c r="B322"/>
  <c r="C322"/>
  <c r="D322"/>
  <c r="F322"/>
  <c r="G322"/>
  <c r="H322"/>
  <c r="I322"/>
  <c r="J322"/>
  <c r="K322"/>
  <c r="L322"/>
  <c r="M322"/>
  <c r="N322"/>
  <c r="A323"/>
  <c r="B323"/>
  <c r="C323"/>
  <c r="D323"/>
  <c r="F323"/>
  <c r="G323"/>
  <c r="H323"/>
  <c r="I323"/>
  <c r="J323"/>
  <c r="K323"/>
  <c r="L323"/>
  <c r="M323"/>
  <c r="N323"/>
  <c r="A324"/>
  <c r="B324"/>
  <c r="C324"/>
  <c r="D324"/>
  <c r="F324"/>
  <c r="G324"/>
  <c r="H324"/>
  <c r="I324"/>
  <c r="J324"/>
  <c r="K324"/>
  <c r="L324"/>
  <c r="M324"/>
  <c r="N324"/>
  <c r="A325"/>
  <c r="B325"/>
  <c r="C325"/>
  <c r="D325"/>
  <c r="F325"/>
  <c r="G325"/>
  <c r="H325"/>
  <c r="I325"/>
  <c r="J325"/>
  <c r="K325"/>
  <c r="L325"/>
  <c r="M325"/>
  <c r="N325"/>
  <c r="A326"/>
  <c r="B326"/>
  <c r="C326"/>
  <c r="D326"/>
  <c r="F326"/>
  <c r="G326"/>
  <c r="H326"/>
  <c r="I326"/>
  <c r="J326"/>
  <c r="K326"/>
  <c r="L326"/>
  <c r="M326"/>
  <c r="N326"/>
  <c r="A327"/>
  <c r="B327"/>
  <c r="C327"/>
  <c r="D327"/>
  <c r="F327"/>
  <c r="G327"/>
  <c r="H327"/>
  <c r="I327"/>
  <c r="J327"/>
  <c r="K327"/>
  <c r="L327"/>
  <c r="M327"/>
  <c r="N327"/>
  <c r="A328"/>
  <c r="B328"/>
  <c r="C328"/>
  <c r="D328"/>
  <c r="F328"/>
  <c r="G328"/>
  <c r="H328"/>
  <c r="I328"/>
  <c r="J328"/>
  <c r="K328"/>
  <c r="L328"/>
  <c r="M328"/>
  <c r="N328"/>
  <c r="A329"/>
  <c r="B329"/>
  <c r="C329"/>
  <c r="D329"/>
  <c r="F329"/>
  <c r="G329"/>
  <c r="H329"/>
  <c r="I329"/>
  <c r="J329"/>
  <c r="K329"/>
  <c r="L329"/>
  <c r="M329"/>
  <c r="N329"/>
  <c r="A330"/>
  <c r="B330"/>
  <c r="C330"/>
  <c r="D330"/>
  <c r="F330"/>
  <c r="G330"/>
  <c r="H330"/>
  <c r="I330"/>
  <c r="J330"/>
  <c r="K330"/>
  <c r="L330"/>
  <c r="M330"/>
  <c r="N330"/>
  <c r="A331"/>
  <c r="B331"/>
  <c r="C331"/>
  <c r="D331"/>
  <c r="F331"/>
  <c r="G331"/>
  <c r="H331"/>
  <c r="I331"/>
  <c r="J331"/>
  <c r="K331"/>
  <c r="L331"/>
  <c r="M331"/>
  <c r="N331"/>
  <c r="A332"/>
  <c r="B332"/>
  <c r="C332"/>
  <c r="D332"/>
  <c r="F332"/>
  <c r="G332"/>
  <c r="H332"/>
  <c r="I332"/>
  <c r="J332"/>
  <c r="K332"/>
  <c r="L332"/>
  <c r="M332"/>
  <c r="N332"/>
  <c r="A333"/>
  <c r="B333"/>
  <c r="C333"/>
  <c r="D333"/>
  <c r="F333"/>
  <c r="G333"/>
  <c r="H333"/>
  <c r="I333"/>
  <c r="J333"/>
  <c r="K333"/>
  <c r="L333"/>
  <c r="M333"/>
  <c r="N333"/>
  <c r="A334"/>
  <c r="B334"/>
  <c r="C334"/>
  <c r="D334"/>
  <c r="F334"/>
  <c r="G334"/>
  <c r="H334"/>
  <c r="I334"/>
  <c r="J334"/>
  <c r="K334"/>
  <c r="L334"/>
  <c r="M334"/>
  <c r="N334"/>
  <c r="A335"/>
  <c r="B335"/>
  <c r="C335"/>
  <c r="D335"/>
  <c r="F335"/>
  <c r="G335"/>
  <c r="H335"/>
  <c r="I335"/>
  <c r="J335"/>
  <c r="K335"/>
  <c r="L335"/>
  <c r="M335"/>
  <c r="N335"/>
  <c r="A336"/>
  <c r="B336"/>
  <c r="C336"/>
  <c r="D336"/>
  <c r="F336"/>
  <c r="G336"/>
  <c r="H336"/>
  <c r="I336"/>
  <c r="J336"/>
  <c r="K336"/>
  <c r="L336"/>
  <c r="M336"/>
  <c r="N336"/>
  <c r="A337"/>
  <c r="B337"/>
  <c r="C337"/>
  <c r="D337"/>
  <c r="F337"/>
  <c r="G337"/>
  <c r="H337"/>
  <c r="I337"/>
  <c r="J337"/>
  <c r="K337"/>
  <c r="L337"/>
  <c r="M337"/>
  <c r="N337"/>
  <c r="A338"/>
  <c r="B338"/>
  <c r="C338"/>
  <c r="D338"/>
  <c r="F338"/>
  <c r="G338"/>
  <c r="H338"/>
  <c r="I338"/>
  <c r="J338"/>
  <c r="K338"/>
  <c r="L338"/>
  <c r="M338"/>
  <c r="N338"/>
  <c r="A339"/>
  <c r="B339"/>
  <c r="C339"/>
  <c r="D339"/>
  <c r="F339"/>
  <c r="G339"/>
  <c r="H339"/>
  <c r="I339"/>
  <c r="J339"/>
  <c r="K339"/>
  <c r="L339"/>
  <c r="M339"/>
  <c r="N339"/>
  <c r="A340"/>
  <c r="B340"/>
  <c r="C340"/>
  <c r="D340"/>
  <c r="F340"/>
  <c r="G340"/>
  <c r="H340"/>
  <c r="I340"/>
  <c r="J340"/>
  <c r="K340"/>
  <c r="L340"/>
  <c r="M340"/>
  <c r="N340"/>
  <c r="A341"/>
  <c r="B341"/>
  <c r="C341"/>
  <c r="D341"/>
  <c r="F341"/>
  <c r="G341"/>
  <c r="H341"/>
  <c r="I341"/>
  <c r="J341"/>
  <c r="K341"/>
  <c r="L341"/>
  <c r="M341"/>
  <c r="N341"/>
  <c r="A342"/>
  <c r="B342"/>
  <c r="C342"/>
  <c r="D342"/>
  <c r="F342"/>
  <c r="G342"/>
  <c r="H342"/>
  <c r="I342"/>
  <c r="J342"/>
  <c r="K342"/>
  <c r="L342"/>
  <c r="M342"/>
  <c r="N342"/>
  <c r="A343"/>
  <c r="B343"/>
  <c r="C343"/>
  <c r="D343"/>
  <c r="F343"/>
  <c r="G343"/>
  <c r="H343"/>
  <c r="I343"/>
  <c r="J343"/>
  <c r="K343"/>
  <c r="L343"/>
  <c r="M343"/>
  <c r="N343"/>
  <c r="A344"/>
  <c r="B344"/>
  <c r="C344"/>
  <c r="D344"/>
  <c r="F344"/>
  <c r="G344"/>
  <c r="H344"/>
  <c r="I344"/>
  <c r="J344"/>
  <c r="K344"/>
  <c r="L344"/>
  <c r="M344"/>
  <c r="N344"/>
  <c r="A345"/>
  <c r="B345"/>
  <c r="C345"/>
  <c r="D345"/>
  <c r="F345"/>
  <c r="G345"/>
  <c r="H345"/>
  <c r="I345"/>
  <c r="J345"/>
  <c r="K345"/>
  <c r="L345"/>
  <c r="M345"/>
  <c r="N345"/>
  <c r="A346"/>
  <c r="B346"/>
  <c r="C346"/>
  <c r="D346"/>
  <c r="F346"/>
  <c r="G346"/>
  <c r="H346"/>
  <c r="I346"/>
  <c r="J346"/>
  <c r="K346"/>
  <c r="L346"/>
  <c r="M346"/>
  <c r="N346"/>
  <c r="A347"/>
  <c r="B347"/>
  <c r="C347"/>
  <c r="D347"/>
  <c r="F347"/>
  <c r="G347"/>
  <c r="H347"/>
  <c r="I347"/>
  <c r="J347"/>
  <c r="K347"/>
  <c r="L347"/>
  <c r="M347"/>
  <c r="N347"/>
  <c r="A348"/>
  <c r="B348"/>
  <c r="C348"/>
  <c r="D348"/>
  <c r="F348"/>
  <c r="G348"/>
  <c r="H348"/>
  <c r="I348"/>
  <c r="J348"/>
  <c r="K348"/>
  <c r="L348"/>
  <c r="M348"/>
  <c r="N348"/>
  <c r="A349"/>
  <c r="B349"/>
  <c r="C349"/>
  <c r="D349"/>
  <c r="F349"/>
  <c r="G349"/>
  <c r="H349"/>
  <c r="I349"/>
  <c r="J349"/>
  <c r="K349"/>
  <c r="L349"/>
  <c r="M349"/>
  <c r="N349"/>
  <c r="A350"/>
  <c r="B350"/>
  <c r="C350"/>
  <c r="D350"/>
  <c r="F350"/>
  <c r="G350"/>
  <c r="H350"/>
  <c r="I350"/>
  <c r="J350"/>
  <c r="K350"/>
  <c r="L350"/>
  <c r="M350"/>
  <c r="N350"/>
  <c r="A351"/>
  <c r="B351"/>
  <c r="C351"/>
  <c r="D351"/>
  <c r="F351"/>
  <c r="G351"/>
  <c r="H351"/>
  <c r="I351"/>
  <c r="J351"/>
  <c r="K351"/>
  <c r="L351"/>
  <c r="M351"/>
  <c r="N351"/>
  <c r="A352"/>
  <c r="B352"/>
  <c r="C352"/>
  <c r="D352"/>
  <c r="F352"/>
  <c r="G352"/>
  <c r="H352"/>
  <c r="I352"/>
  <c r="J352"/>
  <c r="K352"/>
  <c r="L352"/>
  <c r="M352"/>
  <c r="N352"/>
  <c r="A353"/>
  <c r="B353"/>
  <c r="C353"/>
  <c r="D353"/>
  <c r="F353"/>
  <c r="G353"/>
  <c r="H353"/>
  <c r="I353"/>
  <c r="J353"/>
  <c r="K353"/>
  <c r="L353"/>
  <c r="M353"/>
  <c r="N353"/>
  <c r="A354"/>
  <c r="B354"/>
  <c r="C354"/>
  <c r="D354"/>
  <c r="F354"/>
  <c r="G354"/>
  <c r="H354"/>
  <c r="I354"/>
  <c r="J354"/>
  <c r="K354"/>
  <c r="L354"/>
  <c r="M354"/>
  <c r="N354"/>
  <c r="A355"/>
  <c r="B355"/>
  <c r="C355"/>
  <c r="D355"/>
  <c r="F355"/>
  <c r="G355"/>
  <c r="H355"/>
  <c r="I355"/>
  <c r="J355"/>
  <c r="K355"/>
  <c r="L355"/>
  <c r="M355"/>
  <c r="N355"/>
  <c r="A356"/>
  <c r="B356"/>
  <c r="C356"/>
  <c r="D356"/>
  <c r="F356"/>
  <c r="G356"/>
  <c r="H356"/>
  <c r="I356"/>
  <c r="J356"/>
  <c r="K356"/>
  <c r="L356"/>
  <c r="M356"/>
  <c r="N356"/>
  <c r="A357"/>
  <c r="B357"/>
  <c r="C357"/>
  <c r="D357"/>
  <c r="F357"/>
  <c r="G357"/>
  <c r="H357"/>
  <c r="I357"/>
  <c r="J357"/>
  <c r="K357"/>
  <c r="L357"/>
  <c r="M357"/>
  <c r="N357"/>
  <c r="A358"/>
  <c r="B358"/>
  <c r="C358"/>
  <c r="D358"/>
  <c r="F358"/>
  <c r="G358"/>
  <c r="H358"/>
  <c r="I358"/>
  <c r="J358"/>
  <c r="K358"/>
  <c r="L358"/>
  <c r="M358"/>
  <c r="N358"/>
  <c r="A359"/>
  <c r="B359"/>
  <c r="C359"/>
  <c r="D359"/>
  <c r="F359"/>
  <c r="G359"/>
  <c r="H359"/>
  <c r="I359"/>
  <c r="J359"/>
  <c r="K359"/>
  <c r="L359"/>
  <c r="M359"/>
  <c r="N359"/>
  <c r="A360"/>
  <c r="B360"/>
  <c r="C360"/>
  <c r="D360"/>
  <c r="F360"/>
  <c r="G360"/>
  <c r="H360"/>
  <c r="I360"/>
  <c r="J360"/>
  <c r="K360"/>
  <c r="L360"/>
  <c r="M360"/>
  <c r="N360"/>
  <c r="A361"/>
  <c r="B361"/>
  <c r="C361"/>
  <c r="D361"/>
  <c r="F361"/>
  <c r="G361"/>
  <c r="H361"/>
  <c r="I361"/>
  <c r="J361"/>
  <c r="K361"/>
  <c r="L361"/>
  <c r="M361"/>
  <c r="N361"/>
  <c r="A362"/>
  <c r="B362"/>
  <c r="C362"/>
  <c r="D362"/>
  <c r="F362"/>
  <c r="G362"/>
  <c r="H362"/>
  <c r="I362"/>
  <c r="J362"/>
  <c r="K362"/>
  <c r="L362"/>
  <c r="M362"/>
  <c r="N362"/>
  <c r="A363"/>
  <c r="B363"/>
  <c r="C363"/>
  <c r="D363"/>
  <c r="F363"/>
  <c r="G363"/>
  <c r="H363"/>
  <c r="I363"/>
  <c r="J363"/>
  <c r="K363"/>
  <c r="L363"/>
  <c r="M363"/>
  <c r="N363"/>
  <c r="A364"/>
  <c r="B364"/>
  <c r="C364"/>
  <c r="D364"/>
  <c r="F364"/>
  <c r="G364"/>
  <c r="H364"/>
  <c r="I364"/>
  <c r="J364"/>
  <c r="K364"/>
  <c r="L364"/>
  <c r="M364"/>
  <c r="N364"/>
  <c r="A365"/>
  <c r="B365"/>
  <c r="C365"/>
  <c r="D365"/>
  <c r="F365"/>
  <c r="G365"/>
  <c r="H365"/>
  <c r="I365"/>
  <c r="J365"/>
  <c r="K365"/>
  <c r="L365"/>
  <c r="M365"/>
  <c r="N365"/>
  <c r="A366"/>
  <c r="B366"/>
  <c r="C366"/>
  <c r="D366"/>
  <c r="F366"/>
  <c r="G366"/>
  <c r="H366"/>
  <c r="I366"/>
  <c r="J366"/>
  <c r="K366"/>
  <c r="L366"/>
  <c r="M366"/>
  <c r="N366"/>
  <c r="A367"/>
  <c r="B367"/>
  <c r="C367"/>
  <c r="D367"/>
  <c r="F367"/>
  <c r="G367"/>
  <c r="H367"/>
  <c r="I367"/>
  <c r="J367"/>
  <c r="K367"/>
  <c r="L367"/>
  <c r="M367"/>
  <c r="N367"/>
  <c r="A368"/>
  <c r="B368"/>
  <c r="C368"/>
  <c r="D368"/>
  <c r="F368"/>
  <c r="G368"/>
  <c r="H368"/>
  <c r="I368"/>
  <c r="J368"/>
  <c r="K368"/>
  <c r="L368"/>
  <c r="M368"/>
  <c r="N368"/>
  <c r="A369"/>
  <c r="B369"/>
  <c r="C369"/>
  <c r="D369"/>
  <c r="F369"/>
  <c r="G369"/>
  <c r="H369"/>
  <c r="I369"/>
  <c r="J369"/>
  <c r="K369"/>
  <c r="L369"/>
  <c r="M369"/>
  <c r="N369"/>
  <c r="A370"/>
  <c r="B370"/>
  <c r="C370"/>
  <c r="D370"/>
  <c r="F370"/>
  <c r="G370"/>
  <c r="H370"/>
  <c r="I370"/>
  <c r="J370"/>
  <c r="K370"/>
  <c r="L370"/>
  <c r="M370"/>
  <c r="N370"/>
  <c r="A371"/>
  <c r="B371"/>
  <c r="C371"/>
  <c r="D371"/>
  <c r="F371"/>
  <c r="G371"/>
  <c r="H371"/>
  <c r="I371"/>
  <c r="J371"/>
  <c r="K371"/>
  <c r="L371"/>
  <c r="M371"/>
  <c r="N371"/>
  <c r="A372"/>
  <c r="B372"/>
  <c r="C372"/>
  <c r="D372"/>
  <c r="F372"/>
  <c r="G372"/>
  <c r="H372"/>
  <c r="I372"/>
  <c r="J372"/>
  <c r="K372"/>
  <c r="L372"/>
  <c r="M372"/>
  <c r="N372"/>
  <c r="A373"/>
  <c r="B373"/>
  <c r="C373"/>
  <c r="D373"/>
  <c r="F373"/>
  <c r="G373"/>
  <c r="H373"/>
  <c r="I373"/>
  <c r="J373"/>
  <c r="K373"/>
  <c r="L373"/>
  <c r="M373"/>
  <c r="N373"/>
  <c r="A374"/>
  <c r="B374"/>
  <c r="C374"/>
  <c r="D374"/>
  <c r="F374"/>
  <c r="G374"/>
  <c r="H374"/>
  <c r="I374"/>
  <c r="J374"/>
  <c r="K374"/>
  <c r="L374"/>
  <c r="M374"/>
  <c r="N374"/>
  <c r="A375"/>
  <c r="B375"/>
  <c r="C375"/>
  <c r="D375"/>
  <c r="F375"/>
  <c r="G375"/>
  <c r="H375"/>
  <c r="I375"/>
  <c r="J375"/>
  <c r="K375"/>
  <c r="L375"/>
  <c r="M375"/>
  <c r="N375"/>
  <c r="A376"/>
  <c r="B376"/>
  <c r="C376"/>
  <c r="D376"/>
  <c r="F376"/>
  <c r="G376"/>
  <c r="H376"/>
  <c r="I376"/>
  <c r="J376"/>
  <c r="K376"/>
  <c r="L376"/>
  <c r="M376"/>
  <c r="N376"/>
  <c r="A377"/>
  <c r="B377"/>
  <c r="C377"/>
  <c r="D377"/>
  <c r="F377"/>
  <c r="G377"/>
  <c r="H377"/>
  <c r="I377"/>
  <c r="J377"/>
  <c r="K377"/>
  <c r="L377"/>
  <c r="M377"/>
  <c r="N377"/>
  <c r="A378"/>
  <c r="B378"/>
  <c r="C378"/>
  <c r="D378"/>
  <c r="F378"/>
  <c r="G378"/>
  <c r="H378"/>
  <c r="I378"/>
  <c r="J378"/>
  <c r="K378"/>
  <c r="L378"/>
  <c r="M378"/>
  <c r="N378"/>
  <c r="A379"/>
  <c r="B379"/>
  <c r="C379"/>
  <c r="D379"/>
  <c r="F379"/>
  <c r="G379"/>
  <c r="H379"/>
  <c r="I379"/>
  <c r="J379"/>
  <c r="K379"/>
  <c r="L379"/>
  <c r="M379"/>
  <c r="N379"/>
  <c r="A380"/>
  <c r="B380"/>
  <c r="C380"/>
  <c r="D380"/>
  <c r="F380"/>
  <c r="G380"/>
  <c r="H380"/>
  <c r="I380"/>
  <c r="J380"/>
  <c r="K380"/>
  <c r="L380"/>
  <c r="M380"/>
  <c r="N380"/>
  <c r="A381"/>
  <c r="B381"/>
  <c r="C381"/>
  <c r="D381"/>
  <c r="F381"/>
  <c r="G381"/>
  <c r="H381"/>
  <c r="I381"/>
  <c r="J381"/>
  <c r="K381"/>
  <c r="L381"/>
  <c r="M381"/>
  <c r="N381"/>
  <c r="A382"/>
  <c r="B382"/>
  <c r="C382"/>
  <c r="D382"/>
  <c r="F382"/>
  <c r="G382"/>
  <c r="H382"/>
  <c r="I382"/>
  <c r="J382"/>
  <c r="K382"/>
  <c r="L382"/>
  <c r="M382"/>
  <c r="N382"/>
  <c r="A383"/>
  <c r="B383"/>
  <c r="C383"/>
  <c r="D383"/>
  <c r="F383"/>
  <c r="G383"/>
  <c r="H383"/>
  <c r="I383"/>
  <c r="J383"/>
  <c r="K383"/>
  <c r="L383"/>
  <c r="M383"/>
  <c r="N383"/>
  <c r="A384"/>
  <c r="B384"/>
  <c r="C384"/>
  <c r="D384"/>
  <c r="F384"/>
  <c r="G384"/>
  <c r="H384"/>
  <c r="I384"/>
  <c r="J384"/>
  <c r="K384"/>
  <c r="L384"/>
  <c r="M384"/>
  <c r="N384"/>
  <c r="A385"/>
  <c r="B385"/>
  <c r="C385"/>
  <c r="D385"/>
  <c r="F385"/>
  <c r="G385"/>
  <c r="H385"/>
  <c r="I385"/>
  <c r="J385"/>
  <c r="K385"/>
  <c r="L385"/>
  <c r="M385"/>
  <c r="N385"/>
  <c r="A386"/>
  <c r="B386"/>
  <c r="C386"/>
  <c r="D386"/>
  <c r="F386"/>
  <c r="G386"/>
  <c r="H386"/>
  <c r="I386"/>
  <c r="J386"/>
  <c r="K386"/>
  <c r="L386"/>
  <c r="M386"/>
  <c r="N386"/>
  <c r="A387"/>
  <c r="B387"/>
  <c r="C387"/>
  <c r="D387"/>
  <c r="F387"/>
  <c r="G387"/>
  <c r="H387"/>
  <c r="I387"/>
  <c r="J387"/>
  <c r="K387"/>
  <c r="L387"/>
  <c r="M387"/>
  <c r="N387"/>
  <c r="A388"/>
  <c r="B388"/>
  <c r="C388"/>
  <c r="D388"/>
  <c r="F388"/>
  <c r="G388"/>
  <c r="H388"/>
  <c r="I388"/>
  <c r="J388"/>
  <c r="K388"/>
  <c r="L388"/>
  <c r="M388"/>
  <c r="N388"/>
  <c r="A389"/>
  <c r="B389"/>
  <c r="C389"/>
  <c r="D389"/>
  <c r="F389"/>
  <c r="G389"/>
  <c r="H389"/>
  <c r="I389"/>
  <c r="J389"/>
  <c r="K389"/>
  <c r="L389"/>
  <c r="M389"/>
  <c r="N389"/>
  <c r="A390"/>
  <c r="B390"/>
  <c r="C390"/>
  <c r="D390"/>
  <c r="F390"/>
  <c r="G390"/>
  <c r="H390"/>
  <c r="I390"/>
  <c r="J390"/>
  <c r="K390"/>
  <c r="L390"/>
  <c r="M390"/>
  <c r="N390"/>
  <c r="A391"/>
  <c r="B391"/>
  <c r="C391"/>
  <c r="D391"/>
  <c r="F391"/>
  <c r="G391"/>
  <c r="H391"/>
  <c r="I391"/>
  <c r="J391"/>
  <c r="K391"/>
  <c r="L391"/>
  <c r="M391"/>
  <c r="N391"/>
  <c r="A392"/>
  <c r="B392"/>
  <c r="C392"/>
  <c r="D392"/>
  <c r="F392"/>
  <c r="G392"/>
  <c r="H392"/>
  <c r="I392"/>
  <c r="J392"/>
  <c r="K392"/>
  <c r="L392"/>
  <c r="M392"/>
  <c r="N392"/>
  <c r="A393"/>
  <c r="B393"/>
  <c r="C393"/>
  <c r="D393"/>
  <c r="F393"/>
  <c r="G393"/>
  <c r="H393"/>
  <c r="I393"/>
  <c r="J393"/>
  <c r="K393"/>
  <c r="L393"/>
  <c r="M393"/>
  <c r="N393"/>
  <c r="A394"/>
  <c r="B394"/>
  <c r="C394"/>
  <c r="D394"/>
  <c r="F394"/>
  <c r="G394"/>
  <c r="H394"/>
  <c r="I394"/>
  <c r="J394"/>
  <c r="K394"/>
  <c r="L394"/>
  <c r="M394"/>
  <c r="N394"/>
  <c r="A395"/>
  <c r="B395"/>
  <c r="C395"/>
  <c r="D395"/>
  <c r="F395"/>
  <c r="G395"/>
  <c r="H395"/>
  <c r="I395"/>
  <c r="J395"/>
  <c r="K395"/>
  <c r="L395"/>
  <c r="M395"/>
  <c r="N395"/>
  <c r="A396"/>
  <c r="B396"/>
  <c r="C396"/>
  <c r="D396"/>
  <c r="F396"/>
  <c r="G396"/>
  <c r="H396"/>
  <c r="I396"/>
  <c r="J396"/>
  <c r="K396"/>
  <c r="L396"/>
  <c r="M396"/>
  <c r="N396"/>
  <c r="A397"/>
  <c r="B397"/>
  <c r="C397"/>
  <c r="D397"/>
  <c r="F397"/>
  <c r="G397"/>
  <c r="H397"/>
  <c r="I397"/>
  <c r="J397"/>
  <c r="K397"/>
  <c r="L397"/>
  <c r="M397"/>
  <c r="N397"/>
  <c r="A398"/>
  <c r="B398"/>
  <c r="C398"/>
  <c r="D398"/>
  <c r="F398"/>
  <c r="G398"/>
  <c r="H398"/>
  <c r="I398"/>
  <c r="J398"/>
  <c r="K398"/>
  <c r="L398"/>
  <c r="M398"/>
  <c r="N398"/>
  <c r="A399"/>
  <c r="B399"/>
  <c r="C399"/>
  <c r="D399"/>
  <c r="F399"/>
  <c r="G399"/>
  <c r="H399"/>
  <c r="I399"/>
  <c r="J399"/>
  <c r="K399"/>
  <c r="L399"/>
  <c r="M399"/>
  <c r="N399"/>
  <c r="A400"/>
  <c r="B400"/>
  <c r="C400"/>
  <c r="D400"/>
  <c r="F400"/>
  <c r="G400"/>
  <c r="H400"/>
  <c r="I400"/>
  <c r="J400"/>
  <c r="K400"/>
  <c r="L400"/>
  <c r="M400"/>
  <c r="N400"/>
  <c r="A401"/>
  <c r="B401"/>
  <c r="C401"/>
  <c r="D401"/>
  <c r="F401"/>
  <c r="G401"/>
  <c r="H401"/>
  <c r="I401"/>
  <c r="J401"/>
  <c r="K401"/>
  <c r="L401"/>
  <c r="M401"/>
  <c r="N401"/>
  <c r="A402"/>
  <c r="B402"/>
  <c r="C402"/>
  <c r="D402"/>
  <c r="F402"/>
  <c r="G402"/>
  <c r="H402"/>
  <c r="I402"/>
  <c r="J402"/>
  <c r="K402"/>
  <c r="L402"/>
  <c r="M402"/>
  <c r="N402"/>
  <c r="A403"/>
  <c r="B403"/>
  <c r="C403"/>
  <c r="D403"/>
  <c r="F403"/>
  <c r="G403"/>
  <c r="H403"/>
  <c r="I403"/>
  <c r="J403"/>
  <c r="K403"/>
  <c r="L403"/>
  <c r="M403"/>
  <c r="N403"/>
  <c r="A404"/>
  <c r="B404"/>
  <c r="C404"/>
  <c r="D404"/>
  <c r="F404"/>
  <c r="G404"/>
  <c r="H404"/>
  <c r="I404"/>
  <c r="J404"/>
  <c r="K404"/>
  <c r="L404"/>
  <c r="M404"/>
  <c r="N404"/>
  <c r="A405"/>
  <c r="B405"/>
  <c r="C405"/>
  <c r="D405"/>
  <c r="F405"/>
  <c r="G405"/>
  <c r="H405"/>
  <c r="I405"/>
  <c r="J405"/>
  <c r="K405"/>
  <c r="L405"/>
  <c r="M405"/>
  <c r="N405"/>
  <c r="A406"/>
  <c r="B406"/>
  <c r="C406"/>
  <c r="D406"/>
  <c r="F406"/>
  <c r="G406"/>
  <c r="H406"/>
  <c r="I406"/>
  <c r="J406"/>
  <c r="K406"/>
  <c r="L406"/>
  <c r="M406"/>
  <c r="N406"/>
  <c r="A407"/>
  <c r="B407"/>
  <c r="C407"/>
  <c r="D407"/>
  <c r="F407"/>
  <c r="G407"/>
  <c r="H407"/>
  <c r="I407"/>
  <c r="J407"/>
  <c r="K407"/>
  <c r="L407"/>
  <c r="M407"/>
  <c r="N407"/>
  <c r="A408"/>
  <c r="B408"/>
  <c r="C408"/>
  <c r="D408"/>
  <c r="F408"/>
  <c r="G408"/>
  <c r="H408"/>
  <c r="I408"/>
  <c r="J408"/>
  <c r="K408"/>
  <c r="L408"/>
  <c r="M408"/>
  <c r="N408"/>
  <c r="A409"/>
  <c r="B409"/>
  <c r="C409"/>
  <c r="D409"/>
  <c r="F409"/>
  <c r="G409"/>
  <c r="H409"/>
  <c r="I409"/>
  <c r="J409"/>
  <c r="K409"/>
  <c r="L409"/>
  <c r="M409"/>
  <c r="N409"/>
  <c r="A410"/>
  <c r="B410"/>
  <c r="C410"/>
  <c r="D410"/>
  <c r="F410"/>
  <c r="G410"/>
  <c r="H410"/>
  <c r="I410"/>
  <c r="J410"/>
  <c r="K410"/>
  <c r="L410"/>
  <c r="M410"/>
  <c r="N410"/>
  <c r="A411"/>
  <c r="B411"/>
  <c r="C411"/>
  <c r="D411"/>
  <c r="F411"/>
  <c r="G411"/>
  <c r="H411"/>
  <c r="I411"/>
  <c r="J411"/>
  <c r="K411"/>
  <c r="L411"/>
  <c r="M411"/>
  <c r="N411"/>
  <c r="A412"/>
  <c r="B412"/>
  <c r="C412"/>
  <c r="D412"/>
  <c r="F412"/>
  <c r="G412"/>
  <c r="H412"/>
  <c r="I412"/>
  <c r="J412"/>
  <c r="K412"/>
  <c r="L412"/>
  <c r="M412"/>
  <c r="N412"/>
  <c r="A413"/>
  <c r="B413"/>
  <c r="C413"/>
  <c r="D413"/>
  <c r="F413"/>
  <c r="G413"/>
  <c r="H413"/>
  <c r="I413"/>
  <c r="J413"/>
  <c r="K413"/>
  <c r="L413"/>
  <c r="M413"/>
  <c r="N413"/>
  <c r="A414"/>
  <c r="B414"/>
  <c r="C414"/>
  <c r="D414"/>
  <c r="F414"/>
  <c r="G414"/>
  <c r="H414"/>
  <c r="I414"/>
  <c r="J414"/>
  <c r="K414"/>
  <c r="L414"/>
  <c r="M414"/>
  <c r="N414"/>
  <c r="A415"/>
  <c r="B415"/>
  <c r="C415"/>
  <c r="D415"/>
  <c r="F415"/>
  <c r="G415"/>
  <c r="H415"/>
  <c r="I415"/>
  <c r="J415"/>
  <c r="K415"/>
  <c r="L415"/>
  <c r="M415"/>
  <c r="N415"/>
  <c r="A416"/>
  <c r="B416"/>
  <c r="C416"/>
  <c r="D416"/>
  <c r="F416"/>
  <c r="G416"/>
  <c r="H416"/>
  <c r="I416"/>
  <c r="J416"/>
  <c r="K416"/>
  <c r="L416"/>
  <c r="M416"/>
  <c r="N416"/>
  <c r="A417"/>
  <c r="B417"/>
  <c r="C417"/>
  <c r="D417"/>
  <c r="F417"/>
  <c r="G417"/>
  <c r="H417"/>
  <c r="I417"/>
  <c r="J417"/>
  <c r="K417"/>
  <c r="L417"/>
  <c r="M417"/>
  <c r="N417"/>
  <c r="A418"/>
  <c r="B418"/>
  <c r="C418"/>
  <c r="D418"/>
  <c r="F418"/>
  <c r="G418"/>
  <c r="H418"/>
  <c r="I418"/>
  <c r="J418"/>
  <c r="K418"/>
  <c r="L418"/>
  <c r="M418"/>
  <c r="N418"/>
  <c r="A419"/>
  <c r="B419"/>
  <c r="C419"/>
  <c r="D419"/>
  <c r="F419"/>
  <c r="G419"/>
  <c r="H419"/>
  <c r="I419"/>
  <c r="J419"/>
  <c r="K419"/>
  <c r="L419"/>
  <c r="M419"/>
  <c r="N419"/>
  <c r="A420"/>
  <c r="B420"/>
  <c r="C420"/>
  <c r="D420"/>
  <c r="F420"/>
  <c r="G420"/>
  <c r="H420"/>
  <c r="I420"/>
  <c r="J420"/>
  <c r="K420"/>
  <c r="L420"/>
  <c r="M420"/>
  <c r="N420"/>
  <c r="A421"/>
  <c r="B421"/>
  <c r="C421"/>
  <c r="D421"/>
  <c r="F421"/>
  <c r="G421"/>
  <c r="H421"/>
  <c r="I421"/>
  <c r="J421"/>
  <c r="K421"/>
  <c r="L421"/>
  <c r="M421"/>
  <c r="N421"/>
  <c r="A422"/>
  <c r="B422"/>
  <c r="C422"/>
  <c r="D422"/>
  <c r="F422"/>
  <c r="G422"/>
  <c r="H422"/>
  <c r="I422"/>
  <c r="J422"/>
  <c r="K422"/>
  <c r="L422"/>
  <c r="M422"/>
  <c r="N422"/>
  <c r="A423"/>
  <c r="B423"/>
  <c r="C423"/>
  <c r="D423"/>
  <c r="F423"/>
  <c r="G423"/>
  <c r="H423"/>
  <c r="I423"/>
  <c r="J423"/>
  <c r="K423"/>
  <c r="L423"/>
  <c r="M423"/>
  <c r="N423"/>
  <c r="A424"/>
  <c r="B424"/>
  <c r="C424"/>
  <c r="D424"/>
  <c r="F424"/>
  <c r="G424"/>
  <c r="H424"/>
  <c r="I424"/>
  <c r="J424"/>
  <c r="K424"/>
  <c r="L424"/>
  <c r="M424"/>
  <c r="N424"/>
  <c r="A425"/>
  <c r="B425"/>
  <c r="C425"/>
  <c r="D425"/>
  <c r="F425"/>
  <c r="G425"/>
  <c r="H425"/>
  <c r="I425"/>
  <c r="J425"/>
  <c r="K425"/>
  <c r="L425"/>
  <c r="M425"/>
  <c r="N425"/>
  <c r="A426"/>
  <c r="B426"/>
  <c r="C426"/>
  <c r="D426"/>
  <c r="F426"/>
  <c r="G426"/>
  <c r="H426"/>
  <c r="I426"/>
  <c r="J426"/>
  <c r="K426"/>
  <c r="L426"/>
  <c r="M426"/>
  <c r="N426"/>
  <c r="A427"/>
  <c r="B427"/>
  <c r="C427"/>
  <c r="D427"/>
  <c r="F427"/>
  <c r="G427"/>
  <c r="H427"/>
  <c r="I427"/>
  <c r="J427"/>
  <c r="K427"/>
  <c r="L427"/>
  <c r="M427"/>
  <c r="N427"/>
  <c r="A428"/>
  <c r="B428"/>
  <c r="C428"/>
  <c r="D428"/>
  <c r="F428"/>
  <c r="G428"/>
  <c r="H428"/>
  <c r="I428"/>
  <c r="J428"/>
  <c r="K428"/>
  <c r="L428"/>
  <c r="M428"/>
  <c r="N428"/>
  <c r="A429"/>
  <c r="B429"/>
  <c r="C429"/>
  <c r="D429"/>
  <c r="F429"/>
  <c r="G429"/>
  <c r="H429"/>
  <c r="I429"/>
  <c r="J429"/>
  <c r="K429"/>
  <c r="L429"/>
  <c r="M429"/>
  <c r="N429"/>
  <c r="A430"/>
  <c r="B430"/>
  <c r="C430"/>
  <c r="D430"/>
  <c r="F430"/>
  <c r="G430"/>
  <c r="H430"/>
  <c r="I430"/>
  <c r="J430"/>
  <c r="K430"/>
  <c r="L430"/>
  <c r="M430"/>
  <c r="N430"/>
  <c r="A431"/>
  <c r="B431"/>
  <c r="C431"/>
  <c r="D431"/>
  <c r="F431"/>
  <c r="G431"/>
  <c r="H431"/>
  <c r="I431"/>
  <c r="J431"/>
  <c r="K431"/>
  <c r="L431"/>
  <c r="M431"/>
  <c r="N431"/>
  <c r="A432"/>
  <c r="B432"/>
  <c r="C432"/>
  <c r="D432"/>
  <c r="F432"/>
  <c r="G432"/>
  <c r="H432"/>
  <c r="I432"/>
  <c r="J432"/>
  <c r="K432"/>
  <c r="L432"/>
  <c r="M432"/>
  <c r="N432"/>
  <c r="A433"/>
  <c r="B433"/>
  <c r="C433"/>
  <c r="D433"/>
  <c r="F433"/>
  <c r="G433"/>
  <c r="H433"/>
  <c r="I433"/>
  <c r="J433"/>
  <c r="K433"/>
  <c r="L433"/>
  <c r="M433"/>
  <c r="N433"/>
  <c r="A434"/>
  <c r="B434"/>
  <c r="C434"/>
  <c r="D434"/>
  <c r="F434"/>
  <c r="G434"/>
  <c r="H434"/>
  <c r="I434"/>
  <c r="J434"/>
  <c r="K434"/>
  <c r="L434"/>
  <c r="M434"/>
  <c r="N434"/>
  <c r="A435"/>
  <c r="B435"/>
  <c r="C435"/>
  <c r="D435"/>
  <c r="F435"/>
  <c r="G435"/>
  <c r="H435"/>
  <c r="I435"/>
  <c r="J435"/>
  <c r="K435"/>
  <c r="L435"/>
  <c r="M435"/>
  <c r="N435"/>
  <c r="A436"/>
  <c r="B436"/>
  <c r="C436"/>
  <c r="D436"/>
  <c r="F436"/>
  <c r="G436"/>
  <c r="H436"/>
  <c r="I436"/>
  <c r="J436"/>
  <c r="K436"/>
  <c r="L436"/>
  <c r="M436"/>
  <c r="N436"/>
  <c r="A437"/>
  <c r="B437"/>
  <c r="C437"/>
  <c r="D437"/>
  <c r="F437"/>
  <c r="G437"/>
  <c r="H437"/>
  <c r="I437"/>
  <c r="J437"/>
  <c r="K437"/>
  <c r="L437"/>
  <c r="M437"/>
  <c r="N437"/>
  <c r="A438"/>
  <c r="B438"/>
  <c r="C438"/>
  <c r="D438"/>
  <c r="F438"/>
  <c r="G438"/>
  <c r="H438"/>
  <c r="I438"/>
  <c r="J438"/>
  <c r="K438"/>
  <c r="L438"/>
  <c r="M438"/>
  <c r="N438"/>
  <c r="A439"/>
  <c r="B439"/>
  <c r="C439"/>
  <c r="D439"/>
  <c r="F439"/>
  <c r="G439"/>
  <c r="H439"/>
  <c r="I439"/>
  <c r="J439"/>
  <c r="K439"/>
  <c r="L439"/>
  <c r="M439"/>
  <c r="N439"/>
  <c r="A440"/>
  <c r="B440"/>
  <c r="C440"/>
  <c r="D440"/>
  <c r="F440"/>
  <c r="G440"/>
  <c r="H440"/>
  <c r="I440"/>
  <c r="J440"/>
  <c r="K440"/>
  <c r="L440"/>
  <c r="M440"/>
  <c r="N440"/>
  <c r="A441"/>
  <c r="B441"/>
  <c r="C441"/>
  <c r="D441"/>
  <c r="F441"/>
  <c r="G441"/>
  <c r="H441"/>
  <c r="I441"/>
  <c r="J441"/>
  <c r="K441"/>
  <c r="L441"/>
  <c r="M441"/>
  <c r="N441"/>
  <c r="A442"/>
  <c r="B442"/>
  <c r="C442"/>
  <c r="D442"/>
  <c r="F442"/>
  <c r="G442"/>
  <c r="H442"/>
  <c r="I442"/>
  <c r="J442"/>
  <c r="K442"/>
  <c r="L442"/>
  <c r="M442"/>
  <c r="N442"/>
  <c r="A443"/>
  <c r="B443"/>
  <c r="C443"/>
  <c r="D443"/>
  <c r="F443"/>
  <c r="G443"/>
  <c r="H443"/>
  <c r="I443"/>
  <c r="J443"/>
  <c r="K443"/>
  <c r="L443"/>
  <c r="M443"/>
  <c r="N443"/>
  <c r="A444"/>
  <c r="B444"/>
  <c r="C444"/>
  <c r="D444"/>
  <c r="F444"/>
  <c r="G444"/>
  <c r="H444"/>
  <c r="I444"/>
  <c r="J444"/>
  <c r="K444"/>
  <c r="L444"/>
  <c r="M444"/>
  <c r="N444"/>
  <c r="A445"/>
  <c r="B445"/>
  <c r="C445"/>
  <c r="D445"/>
  <c r="F445"/>
  <c r="G445"/>
  <c r="H445"/>
  <c r="I445"/>
  <c r="J445"/>
  <c r="K445"/>
  <c r="L445"/>
  <c r="M445"/>
  <c r="N445"/>
  <c r="A446"/>
  <c r="B446"/>
  <c r="C446"/>
  <c r="D446"/>
  <c r="F446"/>
  <c r="G446"/>
  <c r="H446"/>
  <c r="I446"/>
  <c r="J446"/>
  <c r="K446"/>
  <c r="L446"/>
  <c r="M446"/>
  <c r="N446"/>
  <c r="A447"/>
  <c r="B447"/>
  <c r="C447"/>
  <c r="D447"/>
  <c r="F447"/>
  <c r="G447"/>
  <c r="H447"/>
  <c r="I447"/>
  <c r="J447"/>
  <c r="K447"/>
  <c r="L447"/>
  <c r="M447"/>
  <c r="N447"/>
  <c r="A448"/>
  <c r="B448"/>
  <c r="C448"/>
  <c r="D448"/>
  <c r="F448"/>
  <c r="G448"/>
  <c r="H448"/>
  <c r="I448"/>
  <c r="J448"/>
  <c r="K448"/>
  <c r="L448"/>
  <c r="M448"/>
  <c r="N448"/>
  <c r="A449"/>
  <c r="B449"/>
  <c r="C449"/>
  <c r="D449"/>
  <c r="F449"/>
  <c r="G449"/>
  <c r="H449"/>
  <c r="I449"/>
  <c r="J449"/>
  <c r="K449"/>
  <c r="L449"/>
  <c r="M449"/>
  <c r="N449"/>
  <c r="A450"/>
  <c r="B450"/>
  <c r="C450"/>
  <c r="D450"/>
  <c r="F450"/>
  <c r="G450"/>
  <c r="H450"/>
  <c r="I450"/>
  <c r="J450"/>
  <c r="K450"/>
  <c r="L450"/>
  <c r="M450"/>
  <c r="N450"/>
  <c r="A451"/>
  <c r="B451"/>
  <c r="C451"/>
  <c r="D451"/>
  <c r="F451"/>
  <c r="G451"/>
  <c r="H451"/>
  <c r="I451"/>
  <c r="J451"/>
  <c r="K451"/>
  <c r="L451"/>
  <c r="M451"/>
  <c r="N451"/>
  <c r="A452"/>
  <c r="B452"/>
  <c r="C452"/>
  <c r="D452"/>
  <c r="F452"/>
  <c r="G452"/>
  <c r="H452"/>
  <c r="I452"/>
  <c r="J452"/>
  <c r="K452"/>
  <c r="L452"/>
  <c r="M452"/>
  <c r="N452"/>
  <c r="A453"/>
  <c r="B453"/>
  <c r="C453"/>
  <c r="D453"/>
  <c r="F453"/>
  <c r="G453"/>
  <c r="H453"/>
  <c r="I453"/>
  <c r="J453"/>
  <c r="K453"/>
  <c r="L453"/>
  <c r="M453"/>
  <c r="N453"/>
  <c r="A454"/>
  <c r="B454"/>
  <c r="C454"/>
  <c r="D454"/>
  <c r="F454"/>
  <c r="G454"/>
  <c r="H454"/>
  <c r="I454"/>
  <c r="J454"/>
  <c r="K454"/>
  <c r="L454"/>
  <c r="M454"/>
  <c r="N454"/>
  <c r="A455"/>
  <c r="B455"/>
  <c r="C455"/>
  <c r="D455"/>
  <c r="F455"/>
  <c r="G455"/>
  <c r="H455"/>
  <c r="I455"/>
  <c r="J455"/>
  <c r="K455"/>
  <c r="L455"/>
  <c r="M455"/>
  <c r="N455"/>
  <c r="A456"/>
  <c r="B456"/>
  <c r="C456"/>
  <c r="D456"/>
  <c r="F456"/>
  <c r="G456"/>
  <c r="H456"/>
  <c r="I456"/>
  <c r="J456"/>
  <c r="K456"/>
  <c r="L456"/>
  <c r="M456"/>
  <c r="N456"/>
  <c r="A457"/>
  <c r="B457"/>
  <c r="C457"/>
  <c r="D457"/>
  <c r="F457"/>
  <c r="G457"/>
  <c r="H457"/>
  <c r="I457"/>
  <c r="J457"/>
  <c r="K457"/>
  <c r="L457"/>
  <c r="M457"/>
  <c r="N457"/>
  <c r="A458"/>
  <c r="B458"/>
  <c r="C458"/>
  <c r="D458"/>
  <c r="F458"/>
  <c r="G458"/>
  <c r="H458"/>
  <c r="I458"/>
  <c r="J458"/>
  <c r="K458"/>
  <c r="L458"/>
  <c r="M458"/>
  <c r="N458"/>
  <c r="A459"/>
  <c r="B459"/>
  <c r="C459"/>
  <c r="D459"/>
  <c r="F459"/>
  <c r="G459"/>
  <c r="H459"/>
  <c r="I459"/>
  <c r="J459"/>
  <c r="K459"/>
  <c r="L459"/>
  <c r="M459"/>
  <c r="N459"/>
  <c r="A460"/>
  <c r="B460"/>
  <c r="C460"/>
  <c r="D460"/>
  <c r="F460"/>
  <c r="G460"/>
  <c r="H460"/>
  <c r="I460"/>
  <c r="J460"/>
  <c r="K460"/>
  <c r="L460"/>
  <c r="M460"/>
  <c r="N460"/>
  <c r="A461"/>
  <c r="B461"/>
  <c r="C461"/>
  <c r="D461"/>
  <c r="F461"/>
  <c r="G461"/>
  <c r="H461"/>
  <c r="I461"/>
  <c r="J461"/>
  <c r="K461"/>
  <c r="L461"/>
  <c r="M461"/>
  <c r="N461"/>
  <c r="A462"/>
  <c r="B462"/>
  <c r="C462"/>
  <c r="D462"/>
  <c r="F462"/>
  <c r="G462"/>
  <c r="H462"/>
  <c r="I462"/>
  <c r="J462"/>
  <c r="K462"/>
  <c r="L462"/>
  <c r="M462"/>
  <c r="N462"/>
  <c r="A463"/>
  <c r="B463"/>
  <c r="C463"/>
  <c r="D463"/>
  <c r="F463"/>
  <c r="G463"/>
  <c r="H463"/>
  <c r="I463"/>
  <c r="J463"/>
  <c r="K463"/>
  <c r="L463"/>
  <c r="M463"/>
  <c r="N463"/>
  <c r="A464"/>
  <c r="B464"/>
  <c r="C464"/>
  <c r="D464"/>
  <c r="F464"/>
  <c r="G464"/>
  <c r="H464"/>
  <c r="I464"/>
  <c r="J464"/>
  <c r="K464"/>
  <c r="L464"/>
  <c r="M464"/>
  <c r="N464"/>
  <c r="A465"/>
  <c r="B465"/>
  <c r="C465"/>
  <c r="D465"/>
  <c r="F465"/>
  <c r="G465"/>
  <c r="H465"/>
  <c r="I465"/>
  <c r="J465"/>
  <c r="K465"/>
  <c r="L465"/>
  <c r="M465"/>
  <c r="N465"/>
  <c r="A466"/>
  <c r="B466"/>
  <c r="C466"/>
  <c r="D466"/>
  <c r="F466"/>
  <c r="G466"/>
  <c r="H466"/>
  <c r="I466"/>
  <c r="J466"/>
  <c r="K466"/>
  <c r="L466"/>
  <c r="M466"/>
  <c r="N466"/>
  <c r="A467"/>
  <c r="B467"/>
  <c r="C467"/>
  <c r="D467"/>
  <c r="F467"/>
  <c r="G467"/>
  <c r="H467"/>
  <c r="I467"/>
  <c r="J467"/>
  <c r="K467"/>
  <c r="L467"/>
  <c r="M467"/>
  <c r="N467"/>
  <c r="A468"/>
  <c r="B468"/>
  <c r="C468"/>
  <c r="D468"/>
  <c r="F468"/>
  <c r="G468"/>
  <c r="H468"/>
  <c r="I468"/>
  <c r="J468"/>
  <c r="K468"/>
  <c r="L468"/>
  <c r="M468"/>
  <c r="N468"/>
  <c r="A469"/>
  <c r="B469"/>
  <c r="C469"/>
  <c r="D469"/>
  <c r="F469"/>
  <c r="G469"/>
  <c r="H469"/>
  <c r="I469"/>
  <c r="J469"/>
  <c r="K469"/>
  <c r="L469"/>
  <c r="M469"/>
  <c r="N469"/>
  <c r="A470"/>
  <c r="B470"/>
  <c r="C470"/>
  <c r="D470"/>
  <c r="F470"/>
  <c r="G470"/>
  <c r="H470"/>
  <c r="I470"/>
  <c r="J470"/>
  <c r="K470"/>
  <c r="L470"/>
  <c r="M470"/>
  <c r="N470"/>
  <c r="A471"/>
  <c r="B471"/>
  <c r="C471"/>
  <c r="D471"/>
  <c r="F471"/>
  <c r="G471"/>
  <c r="H471"/>
  <c r="I471"/>
  <c r="J471"/>
  <c r="K471"/>
  <c r="L471"/>
  <c r="M471"/>
  <c r="N471"/>
  <c r="A472"/>
  <c r="B472"/>
  <c r="C472"/>
  <c r="D472"/>
  <c r="F472"/>
  <c r="G472"/>
  <c r="H472"/>
  <c r="I472"/>
  <c r="J472"/>
  <c r="K472"/>
  <c r="L472"/>
  <c r="M472"/>
  <c r="N472"/>
  <c r="A473"/>
  <c r="B473"/>
  <c r="C473"/>
  <c r="D473"/>
  <c r="F473"/>
  <c r="G473"/>
  <c r="H473"/>
  <c r="I473"/>
  <c r="J473"/>
  <c r="K473"/>
  <c r="L473"/>
  <c r="M473"/>
  <c r="N473"/>
  <c r="A474"/>
  <c r="B474"/>
  <c r="C474"/>
  <c r="D474"/>
  <c r="F474"/>
  <c r="G474"/>
  <c r="H474"/>
  <c r="I474"/>
  <c r="J474"/>
  <c r="K474"/>
  <c r="L474"/>
  <c r="M474"/>
  <c r="N474"/>
  <c r="A475"/>
  <c r="B475"/>
  <c r="C475"/>
  <c r="D475"/>
  <c r="F475"/>
  <c r="G475"/>
  <c r="H475"/>
  <c r="I475"/>
  <c r="J475"/>
  <c r="K475"/>
  <c r="L475"/>
  <c r="M475"/>
  <c r="N475"/>
  <c r="A476"/>
  <c r="B476"/>
  <c r="C476"/>
  <c r="D476"/>
  <c r="F476"/>
  <c r="G476"/>
  <c r="H476"/>
  <c r="I476"/>
  <c r="J476"/>
  <c r="K476"/>
  <c r="L476"/>
  <c r="M476"/>
  <c r="N476"/>
  <c r="A477"/>
  <c r="B477"/>
  <c r="C477"/>
  <c r="D477"/>
  <c r="F477"/>
  <c r="G477"/>
  <c r="H477"/>
  <c r="I477"/>
  <c r="J477"/>
  <c r="K477"/>
  <c r="L477"/>
  <c r="M477"/>
  <c r="N477"/>
  <c r="A478"/>
  <c r="B478"/>
  <c r="C478"/>
  <c r="D478"/>
  <c r="F478"/>
  <c r="G478"/>
  <c r="H478"/>
  <c r="I478"/>
  <c r="J478"/>
  <c r="K478"/>
  <c r="L478"/>
  <c r="M478"/>
  <c r="N478"/>
  <c r="A479"/>
  <c r="B479"/>
  <c r="C479"/>
  <c r="D479"/>
  <c r="F479"/>
  <c r="G479"/>
  <c r="H479"/>
  <c r="I479"/>
  <c r="J479"/>
  <c r="K479"/>
  <c r="L479"/>
  <c r="M479"/>
  <c r="N479"/>
  <c r="A480"/>
  <c r="B480"/>
  <c r="C480"/>
  <c r="D480"/>
  <c r="F480"/>
  <c r="G480"/>
  <c r="H480"/>
  <c r="I480"/>
  <c r="J480"/>
  <c r="K480"/>
  <c r="L480"/>
  <c r="M480"/>
  <c r="N480"/>
  <c r="A481"/>
  <c r="B481"/>
  <c r="C481"/>
  <c r="D481"/>
  <c r="F481"/>
  <c r="G481"/>
  <c r="H481"/>
  <c r="I481"/>
  <c r="J481"/>
  <c r="K481"/>
  <c r="L481"/>
  <c r="M481"/>
  <c r="N481"/>
  <c r="A482"/>
  <c r="B482"/>
  <c r="C482"/>
  <c r="D482"/>
  <c r="F482"/>
  <c r="G482"/>
  <c r="H482"/>
  <c r="I482"/>
  <c r="J482"/>
  <c r="K482"/>
  <c r="L482"/>
  <c r="M482"/>
  <c r="N482"/>
  <c r="A483"/>
  <c r="B483"/>
  <c r="C483"/>
  <c r="D483"/>
  <c r="F483"/>
  <c r="G483"/>
  <c r="H483"/>
  <c r="I483"/>
  <c r="J483"/>
  <c r="K483"/>
  <c r="L483"/>
  <c r="M483"/>
  <c r="N483"/>
  <c r="A484"/>
  <c r="B484"/>
  <c r="C484"/>
  <c r="D484"/>
  <c r="F484"/>
  <c r="G484"/>
  <c r="H484"/>
  <c r="I484"/>
  <c r="J484"/>
  <c r="K484"/>
  <c r="L484"/>
  <c r="M484"/>
  <c r="N484"/>
  <c r="A485"/>
  <c r="B485"/>
  <c r="C485"/>
  <c r="D485"/>
  <c r="F485"/>
  <c r="G485"/>
  <c r="H485"/>
  <c r="I485"/>
  <c r="J485"/>
  <c r="K485"/>
  <c r="L485"/>
  <c r="M485"/>
  <c r="N485"/>
  <c r="A486"/>
  <c r="B486"/>
  <c r="C486"/>
  <c r="D486"/>
  <c r="F486"/>
  <c r="G486"/>
  <c r="H486"/>
  <c r="I486"/>
  <c r="J486"/>
  <c r="K486"/>
  <c r="L486"/>
  <c r="M486"/>
  <c r="N486"/>
  <c r="A487"/>
  <c r="B487"/>
  <c r="C487"/>
  <c r="D487"/>
  <c r="F487"/>
  <c r="G487"/>
  <c r="H487"/>
  <c r="I487"/>
  <c r="J487"/>
  <c r="K487"/>
  <c r="L487"/>
  <c r="M487"/>
  <c r="N487"/>
  <c r="A488"/>
  <c r="B488"/>
  <c r="C488"/>
  <c r="D488"/>
  <c r="F488"/>
  <c r="G488"/>
  <c r="H488"/>
  <c r="I488"/>
  <c r="J488"/>
  <c r="K488"/>
  <c r="L488"/>
  <c r="M488"/>
  <c r="N488"/>
  <c r="A489"/>
  <c r="B489"/>
  <c r="C489"/>
  <c r="D489"/>
  <c r="F489"/>
  <c r="G489"/>
  <c r="H489"/>
  <c r="I489"/>
  <c r="J489"/>
  <c r="K489"/>
  <c r="L489"/>
  <c r="M489"/>
  <c r="N489"/>
  <c r="A490"/>
  <c r="B490"/>
  <c r="C490"/>
  <c r="D490"/>
  <c r="F490"/>
  <c r="G490"/>
  <c r="H490"/>
  <c r="I490"/>
  <c r="J490"/>
  <c r="K490"/>
  <c r="L490"/>
  <c r="M490"/>
  <c r="N490"/>
  <c r="A491"/>
  <c r="B491"/>
  <c r="C491"/>
  <c r="D491"/>
  <c r="F491"/>
  <c r="G491"/>
  <c r="H491"/>
  <c r="I491"/>
  <c r="J491"/>
  <c r="K491"/>
  <c r="L491"/>
  <c r="M491"/>
  <c r="N491"/>
  <c r="A492"/>
  <c r="B492"/>
  <c r="C492"/>
  <c r="D492"/>
  <c r="F492"/>
  <c r="G492"/>
  <c r="H492"/>
  <c r="I492"/>
  <c r="J492"/>
  <c r="K492"/>
  <c r="L492"/>
  <c r="M492"/>
  <c r="N492"/>
  <c r="A493"/>
  <c r="B493"/>
  <c r="C493"/>
  <c r="D493"/>
  <c r="F493"/>
  <c r="G493"/>
  <c r="H493"/>
  <c r="I493"/>
  <c r="J493"/>
  <c r="K493"/>
  <c r="L493"/>
  <c r="M493"/>
  <c r="N493"/>
  <c r="A494"/>
  <c r="B494"/>
  <c r="C494"/>
  <c r="D494"/>
  <c r="F494"/>
  <c r="G494"/>
  <c r="H494"/>
  <c r="I494"/>
  <c r="J494"/>
  <c r="K494"/>
  <c r="L494"/>
  <c r="M494"/>
  <c r="N494"/>
  <c r="A495"/>
  <c r="B495"/>
  <c r="C495"/>
  <c r="D495"/>
  <c r="F495"/>
  <c r="G495"/>
  <c r="H495"/>
  <c r="I495"/>
  <c r="J495"/>
  <c r="K495"/>
  <c r="L495"/>
  <c r="M495"/>
  <c r="N495"/>
  <c r="A496"/>
  <c r="B496"/>
  <c r="C496"/>
  <c r="D496"/>
  <c r="F496"/>
  <c r="G496"/>
  <c r="H496"/>
  <c r="I496"/>
  <c r="J496"/>
  <c r="K496"/>
  <c r="L496"/>
  <c r="M496"/>
  <c r="N496"/>
  <c r="A497"/>
  <c r="B497"/>
  <c r="C497"/>
  <c r="D497"/>
  <c r="F497"/>
  <c r="G497"/>
  <c r="H497"/>
  <c r="I497"/>
  <c r="J497"/>
  <c r="K497"/>
  <c r="L497"/>
  <c r="M497"/>
  <c r="N497"/>
  <c r="A498"/>
  <c r="B498"/>
  <c r="C498"/>
  <c r="D498"/>
  <c r="F498"/>
  <c r="G498"/>
  <c r="H498"/>
  <c r="I498"/>
  <c r="J498"/>
  <c r="K498"/>
  <c r="L498"/>
  <c r="M498"/>
  <c r="N498"/>
  <c r="A499"/>
  <c r="B499"/>
  <c r="C499"/>
  <c r="D499"/>
  <c r="F499"/>
  <c r="G499"/>
  <c r="H499"/>
  <c r="I499"/>
  <c r="J499"/>
  <c r="K499"/>
  <c r="L499"/>
  <c r="M499"/>
  <c r="N499"/>
  <c r="A500"/>
  <c r="B500"/>
  <c r="C500"/>
  <c r="D500"/>
  <c r="F500"/>
  <c r="G500"/>
  <c r="H500"/>
  <c r="I500"/>
  <c r="J500"/>
  <c r="K500"/>
  <c r="L500"/>
  <c r="M500"/>
  <c r="N500"/>
  <c r="A501"/>
  <c r="B501"/>
  <c r="C501"/>
  <c r="D501"/>
  <c r="F501"/>
  <c r="G501"/>
  <c r="H501"/>
  <c r="I501"/>
  <c r="J501"/>
  <c r="K501"/>
  <c r="L501"/>
  <c r="M501"/>
  <c r="N501"/>
  <c r="A502"/>
  <c r="B502"/>
  <c r="C502"/>
  <c r="D502"/>
  <c r="F502"/>
  <c r="G502"/>
  <c r="H502"/>
  <c r="I502"/>
  <c r="J502"/>
  <c r="K502"/>
  <c r="L502"/>
  <c r="M502"/>
  <c r="N502"/>
  <c r="A503"/>
  <c r="B503"/>
  <c r="C503"/>
  <c r="D503"/>
  <c r="F503"/>
  <c r="G503"/>
  <c r="H503"/>
  <c r="I503"/>
  <c r="J503"/>
  <c r="K503"/>
  <c r="L503"/>
  <c r="M503"/>
  <c r="N503"/>
  <c r="A504"/>
  <c r="B504"/>
  <c r="C504"/>
  <c r="D504"/>
  <c r="F504"/>
  <c r="G504"/>
  <c r="H504"/>
  <c r="I504"/>
  <c r="J504"/>
  <c r="K504"/>
  <c r="L504"/>
  <c r="M504"/>
  <c r="N504"/>
  <c r="A505"/>
  <c r="B505"/>
  <c r="C505"/>
  <c r="D505"/>
  <c r="F505"/>
  <c r="G505"/>
  <c r="H505"/>
  <c r="I505"/>
  <c r="J505"/>
  <c r="K505"/>
  <c r="L505"/>
  <c r="M505"/>
  <c r="N505"/>
  <c r="A506"/>
  <c r="B506"/>
  <c r="C506"/>
  <c r="D506"/>
  <c r="F506"/>
  <c r="G506"/>
  <c r="H506"/>
  <c r="I506"/>
  <c r="J506"/>
  <c r="K506"/>
  <c r="L506"/>
  <c r="M506"/>
  <c r="N506"/>
  <c r="A507"/>
  <c r="B507"/>
  <c r="C507"/>
  <c r="D507"/>
  <c r="F507"/>
  <c r="G507"/>
  <c r="H507"/>
  <c r="I507"/>
  <c r="J507"/>
  <c r="K507"/>
  <c r="L507"/>
  <c r="M507"/>
  <c r="N507"/>
  <c r="A508"/>
  <c r="B508"/>
  <c r="C508"/>
  <c r="D508"/>
  <c r="F508"/>
  <c r="G508"/>
  <c r="H508"/>
  <c r="I508"/>
  <c r="J508"/>
  <c r="K508"/>
  <c r="L508"/>
  <c r="M508"/>
  <c r="N508"/>
  <c r="A509"/>
  <c r="B509"/>
  <c r="C509"/>
  <c r="D509"/>
  <c r="F509"/>
  <c r="G509"/>
  <c r="H509"/>
  <c r="I509"/>
  <c r="J509"/>
  <c r="K509"/>
  <c r="L509"/>
  <c r="M509"/>
  <c r="N509"/>
  <c r="A510"/>
  <c r="B510"/>
  <c r="C510"/>
  <c r="D510"/>
  <c r="F510"/>
  <c r="G510"/>
  <c r="H510"/>
  <c r="I510"/>
  <c r="J510"/>
  <c r="K510"/>
  <c r="L510"/>
  <c r="M510"/>
  <c r="N510"/>
  <c r="A511"/>
  <c r="B511"/>
  <c r="C511"/>
  <c r="D511"/>
  <c r="F511"/>
  <c r="G511"/>
  <c r="H511"/>
  <c r="I511"/>
  <c r="J511"/>
  <c r="K511"/>
  <c r="L511"/>
  <c r="M511"/>
  <c r="N511"/>
  <c r="A512"/>
  <c r="B512"/>
  <c r="C512"/>
  <c r="D512"/>
  <c r="F512"/>
  <c r="G512"/>
  <c r="H512"/>
  <c r="I512"/>
  <c r="J512"/>
  <c r="K512"/>
  <c r="L512"/>
  <c r="M512"/>
  <c r="N512"/>
  <c r="A513"/>
  <c r="B513"/>
  <c r="C513"/>
  <c r="D513"/>
  <c r="F513"/>
  <c r="G513"/>
  <c r="H513"/>
  <c r="I513"/>
  <c r="J513"/>
  <c r="K513"/>
  <c r="L513"/>
  <c r="M513"/>
  <c r="N513"/>
  <c r="A514"/>
  <c r="B514"/>
  <c r="C514"/>
  <c r="D514"/>
  <c r="F514"/>
  <c r="G514"/>
  <c r="H514"/>
  <c r="I514"/>
  <c r="J514"/>
  <c r="K514"/>
  <c r="L514"/>
  <c r="M514"/>
  <c r="N514"/>
  <c r="A515"/>
  <c r="B515"/>
  <c r="C515"/>
  <c r="D515"/>
  <c r="F515"/>
  <c r="G515"/>
  <c r="H515"/>
  <c r="I515"/>
  <c r="J515"/>
  <c r="K515"/>
  <c r="L515"/>
  <c r="M515"/>
  <c r="N515"/>
  <c r="A516"/>
  <c r="B516"/>
  <c r="C516"/>
  <c r="D516"/>
  <c r="F516"/>
  <c r="G516"/>
  <c r="H516"/>
  <c r="I516"/>
  <c r="J516"/>
  <c r="K516"/>
  <c r="L516"/>
  <c r="M516"/>
  <c r="N516"/>
  <c r="A517"/>
  <c r="B517"/>
  <c r="C517"/>
  <c r="D517"/>
  <c r="F517"/>
  <c r="G517"/>
  <c r="H517"/>
  <c r="I517"/>
  <c r="J517"/>
  <c r="K517"/>
  <c r="L517"/>
  <c r="M517"/>
  <c r="N517"/>
  <c r="A518"/>
  <c r="B518"/>
  <c r="C518"/>
  <c r="D518"/>
  <c r="F518"/>
  <c r="G518"/>
  <c r="H518"/>
  <c r="I518"/>
  <c r="J518"/>
  <c r="K518"/>
  <c r="L518"/>
  <c r="M518"/>
  <c r="N518"/>
  <c r="A519"/>
  <c r="B519"/>
  <c r="C519"/>
  <c r="D519"/>
  <c r="F519"/>
  <c r="G519"/>
  <c r="H519"/>
  <c r="I519"/>
  <c r="J519"/>
  <c r="K519"/>
  <c r="L519"/>
  <c r="M519"/>
  <c r="N519"/>
  <c r="A520"/>
  <c r="B520"/>
  <c r="C520"/>
  <c r="D520"/>
  <c r="F520"/>
  <c r="G520"/>
  <c r="H520"/>
  <c r="I520"/>
  <c r="J520"/>
  <c r="K520"/>
  <c r="L520"/>
  <c r="M520"/>
  <c r="N520"/>
  <c r="A521"/>
  <c r="B521"/>
  <c r="C521"/>
  <c r="D521"/>
  <c r="F521"/>
  <c r="G521"/>
  <c r="H521"/>
  <c r="I521"/>
  <c r="J521"/>
  <c r="K521"/>
  <c r="L521"/>
  <c r="M521"/>
  <c r="N521"/>
  <c r="A522"/>
  <c r="B522"/>
  <c r="C522"/>
  <c r="D522"/>
  <c r="F522"/>
  <c r="G522"/>
  <c r="H522"/>
  <c r="I522"/>
  <c r="J522"/>
  <c r="K522"/>
  <c r="L522"/>
  <c r="M522"/>
  <c r="N522"/>
  <c r="A523"/>
  <c r="B523"/>
  <c r="C523"/>
  <c r="D523"/>
  <c r="F523"/>
  <c r="G523"/>
  <c r="H523"/>
  <c r="I523"/>
  <c r="J523"/>
  <c r="K523"/>
  <c r="L523"/>
  <c r="M523"/>
  <c r="N523"/>
  <c r="A524"/>
  <c r="B524"/>
  <c r="C524"/>
  <c r="D524"/>
  <c r="F524"/>
  <c r="G524"/>
  <c r="H524"/>
  <c r="I524"/>
  <c r="J524"/>
  <c r="K524"/>
  <c r="L524"/>
  <c r="M524"/>
  <c r="N524"/>
  <c r="A525"/>
  <c r="B525"/>
  <c r="C525"/>
  <c r="D525"/>
  <c r="F525"/>
  <c r="G525"/>
  <c r="H525"/>
  <c r="I525"/>
  <c r="J525"/>
  <c r="K525"/>
  <c r="L525"/>
  <c r="M525"/>
  <c r="N525"/>
  <c r="A526"/>
  <c r="B526"/>
  <c r="C526"/>
  <c r="D526"/>
  <c r="F526"/>
  <c r="G526"/>
  <c r="H526"/>
  <c r="I526"/>
  <c r="J526"/>
  <c r="K526"/>
  <c r="L526"/>
  <c r="M526"/>
  <c r="N526"/>
  <c r="A527"/>
  <c r="B527"/>
  <c r="C527"/>
  <c r="D527"/>
  <c r="F527"/>
  <c r="G527"/>
  <c r="H527"/>
  <c r="I527"/>
  <c r="J527"/>
  <c r="K527"/>
  <c r="L527"/>
  <c r="M527"/>
  <c r="N527"/>
  <c r="A528"/>
  <c r="B528"/>
  <c r="C528"/>
  <c r="D528"/>
  <c r="F528"/>
  <c r="G528"/>
  <c r="H528"/>
  <c r="I528"/>
  <c r="J528"/>
  <c r="K528"/>
  <c r="L528"/>
  <c r="M528"/>
  <c r="N528"/>
  <c r="A529"/>
  <c r="B529"/>
  <c r="C529"/>
  <c r="D529"/>
  <c r="F529"/>
  <c r="G529"/>
  <c r="H529"/>
  <c r="I529"/>
  <c r="J529"/>
  <c r="K529"/>
  <c r="L529"/>
  <c r="M529"/>
  <c r="N529"/>
  <c r="A530"/>
  <c r="B530"/>
  <c r="C530"/>
  <c r="D530"/>
  <c r="F530"/>
  <c r="G530"/>
  <c r="H530"/>
  <c r="I530"/>
  <c r="J530"/>
  <c r="K530"/>
  <c r="L530"/>
  <c r="M530"/>
  <c r="N530"/>
  <c r="A531"/>
  <c r="B531"/>
  <c r="C531"/>
  <c r="D531"/>
  <c r="F531"/>
  <c r="G531"/>
  <c r="H531"/>
  <c r="I531"/>
  <c r="J531"/>
  <c r="K531"/>
  <c r="L531"/>
  <c r="M531"/>
  <c r="N531"/>
  <c r="A532"/>
  <c r="B532"/>
  <c r="C532"/>
  <c r="D532"/>
  <c r="F532"/>
  <c r="G532"/>
  <c r="H532"/>
  <c r="I532"/>
  <c r="J532"/>
  <c r="K532"/>
  <c r="L532"/>
  <c r="M532"/>
  <c r="N532"/>
  <c r="A533"/>
  <c r="B533"/>
  <c r="C533"/>
  <c r="D533"/>
  <c r="F533"/>
  <c r="G533"/>
  <c r="H533"/>
  <c r="I533"/>
  <c r="J533"/>
  <c r="K533"/>
  <c r="L533"/>
  <c r="M533"/>
  <c r="N533"/>
  <c r="A534"/>
  <c r="B534"/>
  <c r="C534"/>
  <c r="D534"/>
  <c r="F534"/>
  <c r="G534"/>
  <c r="H534"/>
  <c r="I534"/>
  <c r="J534"/>
  <c r="K534"/>
  <c r="L534"/>
  <c r="M534"/>
  <c r="N534"/>
  <c r="A535"/>
  <c r="B535"/>
  <c r="C535"/>
  <c r="D535"/>
  <c r="F535"/>
  <c r="G535"/>
  <c r="H535"/>
  <c r="I535"/>
  <c r="J535"/>
  <c r="K535"/>
  <c r="L535"/>
  <c r="M535"/>
  <c r="N535"/>
  <c r="A536"/>
  <c r="B536"/>
  <c r="C536"/>
  <c r="D536"/>
  <c r="F536"/>
  <c r="G536"/>
  <c r="H536"/>
  <c r="I536"/>
  <c r="J536"/>
  <c r="K536"/>
  <c r="L536"/>
  <c r="M536"/>
  <c r="N536"/>
  <c r="A537"/>
  <c r="B537"/>
  <c r="C537"/>
  <c r="D537"/>
  <c r="F537"/>
  <c r="G537"/>
  <c r="H537"/>
  <c r="I537"/>
  <c r="J537"/>
  <c r="K537"/>
  <c r="L537"/>
  <c r="M537"/>
  <c r="N537"/>
  <c r="A538"/>
  <c r="B538"/>
  <c r="C538"/>
  <c r="D538"/>
  <c r="F538"/>
  <c r="G538"/>
  <c r="H538"/>
  <c r="I538"/>
  <c r="J538"/>
  <c r="K538"/>
  <c r="L538"/>
  <c r="M538"/>
  <c r="N538"/>
  <c r="A539"/>
  <c r="B539"/>
  <c r="C539"/>
  <c r="D539"/>
  <c r="F539"/>
  <c r="G539"/>
  <c r="H539"/>
  <c r="I539"/>
  <c r="J539"/>
  <c r="K539"/>
  <c r="L539"/>
  <c r="M539"/>
  <c r="N539"/>
  <c r="A540"/>
  <c r="B540"/>
  <c r="C540"/>
  <c r="D540"/>
  <c r="F540"/>
  <c r="G540"/>
  <c r="H540"/>
  <c r="I540"/>
  <c r="J540"/>
  <c r="K540"/>
  <c r="L540"/>
  <c r="M540"/>
  <c r="N540"/>
  <c r="A541"/>
  <c r="B541"/>
  <c r="C541"/>
  <c r="D541"/>
  <c r="F541"/>
  <c r="G541"/>
  <c r="H541"/>
  <c r="I541"/>
  <c r="J541"/>
  <c r="K541"/>
  <c r="L541"/>
  <c r="M541"/>
  <c r="N541"/>
  <c r="A542"/>
  <c r="B542"/>
  <c r="C542"/>
  <c r="D542"/>
  <c r="F542"/>
  <c r="G542"/>
  <c r="H542"/>
  <c r="I542"/>
  <c r="J542"/>
  <c r="K542"/>
  <c r="L542"/>
  <c r="M542"/>
  <c r="N542"/>
  <c r="A543"/>
  <c r="B543"/>
  <c r="C543"/>
  <c r="D543"/>
  <c r="F543"/>
  <c r="G543"/>
  <c r="H543"/>
  <c r="I543"/>
  <c r="J543"/>
  <c r="K543"/>
  <c r="L543"/>
  <c r="M543"/>
  <c r="N543"/>
  <c r="A544"/>
  <c r="B544"/>
  <c r="C544"/>
  <c r="D544"/>
  <c r="F544"/>
  <c r="G544"/>
  <c r="H544"/>
  <c r="I544"/>
  <c r="J544"/>
  <c r="K544"/>
  <c r="L544"/>
  <c r="M544"/>
  <c r="N544"/>
  <c r="A545"/>
  <c r="B545"/>
  <c r="C545"/>
  <c r="D545"/>
  <c r="F545"/>
  <c r="G545"/>
  <c r="H545"/>
  <c r="I545"/>
  <c r="J545"/>
  <c r="K545"/>
  <c r="L545"/>
  <c r="M545"/>
  <c r="N545"/>
  <c r="A546"/>
  <c r="B546"/>
  <c r="C546"/>
  <c r="D546"/>
  <c r="F546"/>
  <c r="G546"/>
  <c r="H546"/>
  <c r="I546"/>
  <c r="J546"/>
  <c r="K546"/>
  <c r="L546"/>
  <c r="M546"/>
  <c r="N546"/>
  <c r="A547"/>
  <c r="B547"/>
  <c r="C547"/>
  <c r="D547"/>
  <c r="F547"/>
  <c r="G547"/>
  <c r="H547"/>
  <c r="I547"/>
  <c r="J547"/>
  <c r="K547"/>
  <c r="L547"/>
  <c r="M547"/>
  <c r="N547"/>
  <c r="A548"/>
  <c r="B548"/>
  <c r="C548"/>
  <c r="D548"/>
  <c r="F548"/>
  <c r="G548"/>
  <c r="H548"/>
  <c r="I548"/>
  <c r="J548"/>
  <c r="K548"/>
  <c r="L548"/>
  <c r="M548"/>
  <c r="N548"/>
  <c r="A549"/>
  <c r="B549"/>
  <c r="C549"/>
  <c r="D549"/>
  <c r="F549"/>
  <c r="G549"/>
  <c r="H549"/>
  <c r="I549"/>
  <c r="J549"/>
  <c r="K549"/>
  <c r="L549"/>
  <c r="M549"/>
  <c r="N549"/>
  <c r="A550"/>
  <c r="B550"/>
  <c r="C550"/>
  <c r="D550"/>
  <c r="F550"/>
  <c r="G550"/>
  <c r="H550"/>
  <c r="I550"/>
  <c r="J550"/>
  <c r="K550"/>
  <c r="L550"/>
  <c r="M550"/>
  <c r="N550"/>
  <c r="A551"/>
  <c r="B551"/>
  <c r="C551"/>
  <c r="D551"/>
  <c r="F551"/>
  <c r="G551"/>
  <c r="H551"/>
  <c r="I551"/>
  <c r="J551"/>
  <c r="K551"/>
  <c r="L551"/>
  <c r="M551"/>
  <c r="N551"/>
  <c r="A552"/>
  <c r="B552"/>
  <c r="C552"/>
  <c r="D552"/>
  <c r="F552"/>
  <c r="G552"/>
  <c r="H552"/>
  <c r="I552"/>
  <c r="J552"/>
  <c r="K552"/>
  <c r="L552"/>
  <c r="M552"/>
  <c r="N552"/>
  <c r="A553"/>
  <c r="B553"/>
  <c r="C553"/>
  <c r="D553"/>
  <c r="F553"/>
  <c r="G553"/>
  <c r="H553"/>
  <c r="I553"/>
  <c r="J553"/>
  <c r="K553"/>
  <c r="L553"/>
  <c r="M553"/>
  <c r="N553"/>
  <c r="A554"/>
  <c r="B554"/>
  <c r="C554"/>
  <c r="D554"/>
  <c r="F554"/>
  <c r="G554"/>
  <c r="H554"/>
  <c r="I554"/>
  <c r="J554"/>
  <c r="K554"/>
  <c r="L554"/>
  <c r="M554"/>
  <c r="N554"/>
  <c r="A555"/>
  <c r="B555"/>
  <c r="C555"/>
  <c r="D555"/>
  <c r="F555"/>
  <c r="G555"/>
  <c r="H555"/>
  <c r="I555"/>
  <c r="J555"/>
  <c r="K555"/>
  <c r="L555"/>
  <c r="M555"/>
  <c r="N555"/>
  <c r="A556"/>
  <c r="B556"/>
  <c r="C556"/>
  <c r="D556"/>
  <c r="F556"/>
  <c r="G556"/>
  <c r="H556"/>
  <c r="I556"/>
  <c r="J556"/>
  <c r="K556"/>
  <c r="L556"/>
  <c r="M556"/>
  <c r="N556"/>
  <c r="A557"/>
  <c r="B557"/>
  <c r="C557"/>
  <c r="D557"/>
  <c r="F557"/>
  <c r="G557"/>
  <c r="H557"/>
  <c r="I557"/>
  <c r="J557"/>
  <c r="K557"/>
  <c r="L557"/>
  <c r="M557"/>
  <c r="N557"/>
  <c r="A558"/>
  <c r="B558"/>
  <c r="C558"/>
  <c r="D558"/>
  <c r="F558"/>
  <c r="G558"/>
  <c r="H558"/>
  <c r="I558"/>
  <c r="J558"/>
  <c r="K558"/>
  <c r="L558"/>
  <c r="M558"/>
  <c r="N558"/>
  <c r="A559"/>
  <c r="B559"/>
  <c r="C559"/>
  <c r="D559"/>
  <c r="F559"/>
  <c r="G559"/>
  <c r="H559"/>
  <c r="I559"/>
  <c r="J559"/>
  <c r="K559"/>
  <c r="L559"/>
  <c r="M559"/>
  <c r="N559"/>
  <c r="A560"/>
  <c r="B560"/>
  <c r="C560"/>
  <c r="D560"/>
  <c r="F560"/>
  <c r="G560"/>
  <c r="H560"/>
  <c r="I560"/>
  <c r="J560"/>
  <c r="K560"/>
  <c r="L560"/>
  <c r="M560"/>
  <c r="N560"/>
  <c r="A561"/>
  <c r="B561"/>
  <c r="C561"/>
  <c r="D561"/>
  <c r="F561"/>
  <c r="G561"/>
  <c r="H561"/>
  <c r="I561"/>
  <c r="J561"/>
  <c r="K561"/>
  <c r="L561"/>
  <c r="M561"/>
  <c r="N561"/>
  <c r="A562"/>
  <c r="B562"/>
  <c r="C562"/>
  <c r="D562"/>
  <c r="F562"/>
  <c r="G562"/>
  <c r="H562"/>
  <c r="I562"/>
  <c r="J562"/>
  <c r="K562"/>
  <c r="L562"/>
  <c r="M562"/>
  <c r="N562"/>
  <c r="A563"/>
  <c r="B563"/>
  <c r="C563"/>
  <c r="D563"/>
  <c r="F563"/>
  <c r="G563"/>
  <c r="H563"/>
  <c r="I563"/>
  <c r="J563"/>
  <c r="K563"/>
  <c r="L563"/>
  <c r="M563"/>
  <c r="N563"/>
  <c r="A564"/>
  <c r="B564"/>
  <c r="C564"/>
  <c r="D564"/>
  <c r="F564"/>
  <c r="G564"/>
  <c r="H564"/>
  <c r="I564"/>
  <c r="J564"/>
  <c r="K564"/>
  <c r="L564"/>
  <c r="M564"/>
  <c r="N564"/>
  <c r="A565"/>
  <c r="B565"/>
  <c r="C565"/>
  <c r="D565"/>
  <c r="F565"/>
  <c r="G565"/>
  <c r="H565"/>
  <c r="I565"/>
  <c r="J565"/>
  <c r="K565"/>
  <c r="L565"/>
  <c r="M565"/>
  <c r="N565"/>
  <c r="A566"/>
  <c r="B566"/>
  <c r="C566"/>
  <c r="D566"/>
  <c r="F566"/>
  <c r="G566"/>
  <c r="H566"/>
  <c r="I566"/>
  <c r="J566"/>
  <c r="K566"/>
  <c r="L566"/>
  <c r="M566"/>
  <c r="N566"/>
  <c r="A567"/>
  <c r="B567"/>
  <c r="C567"/>
  <c r="D567"/>
  <c r="F567"/>
  <c r="G567"/>
  <c r="H567"/>
  <c r="I567"/>
  <c r="J567"/>
  <c r="K567"/>
  <c r="L567"/>
  <c r="M567"/>
  <c r="N567"/>
  <c r="A568"/>
  <c r="B568"/>
  <c r="C568"/>
  <c r="D568"/>
  <c r="F568"/>
  <c r="G568"/>
  <c r="H568"/>
  <c r="I568"/>
  <c r="J568"/>
  <c r="K568"/>
  <c r="L568"/>
  <c r="M568"/>
  <c r="N568"/>
  <c r="A569"/>
  <c r="B569"/>
  <c r="C569"/>
  <c r="D569"/>
  <c r="F569"/>
  <c r="G569"/>
  <c r="H569"/>
  <c r="I569"/>
  <c r="J569"/>
  <c r="K569"/>
  <c r="L569"/>
  <c r="M569"/>
  <c r="N569"/>
  <c r="A570"/>
  <c r="B570"/>
  <c r="C570"/>
  <c r="D570"/>
  <c r="F570"/>
  <c r="G570"/>
  <c r="H570"/>
  <c r="I570"/>
  <c r="J570"/>
  <c r="K570"/>
  <c r="L570"/>
  <c r="M570"/>
  <c r="N570"/>
  <c r="A571"/>
  <c r="B571"/>
  <c r="C571"/>
  <c r="D571"/>
  <c r="F571"/>
  <c r="G571"/>
  <c r="H571"/>
  <c r="I571"/>
  <c r="J571"/>
  <c r="K571"/>
  <c r="L571"/>
  <c r="M571"/>
  <c r="N571"/>
  <c r="A572"/>
  <c r="B572"/>
  <c r="C572"/>
  <c r="D572"/>
  <c r="F572"/>
  <c r="G572"/>
  <c r="H572"/>
  <c r="I572"/>
  <c r="J572"/>
  <c r="K572"/>
  <c r="L572"/>
  <c r="M572"/>
  <c r="N572"/>
  <c r="A573"/>
  <c r="B573"/>
  <c r="C573"/>
  <c r="D573"/>
  <c r="F573"/>
  <c r="G573"/>
  <c r="H573"/>
  <c r="I573"/>
  <c r="J573"/>
  <c r="K573"/>
  <c r="L573"/>
  <c r="M573"/>
  <c r="N573"/>
  <c r="A574"/>
  <c r="B574"/>
  <c r="C574"/>
  <c r="D574"/>
  <c r="F574"/>
  <c r="G574"/>
  <c r="H574"/>
  <c r="I574"/>
  <c r="J574"/>
  <c r="K574"/>
  <c r="L574"/>
  <c r="M574"/>
  <c r="N574"/>
  <c r="A575"/>
  <c r="B575"/>
  <c r="C575"/>
  <c r="D575"/>
  <c r="F575"/>
  <c r="G575"/>
  <c r="H575"/>
  <c r="I575"/>
  <c r="J575"/>
  <c r="K575"/>
  <c r="L575"/>
  <c r="M575"/>
  <c r="N575"/>
  <c r="A576"/>
  <c r="B576"/>
  <c r="C576"/>
  <c r="D576"/>
  <c r="F576"/>
  <c r="G576"/>
  <c r="H576"/>
  <c r="I576"/>
  <c r="J576"/>
  <c r="K576"/>
  <c r="L576"/>
  <c r="M576"/>
  <c r="N576"/>
  <c r="A577"/>
  <c r="B577"/>
  <c r="C577"/>
  <c r="D577"/>
  <c r="F577"/>
  <c r="G577"/>
  <c r="H577"/>
  <c r="I577"/>
  <c r="J577"/>
  <c r="K577"/>
  <c r="L577"/>
  <c r="M577"/>
  <c r="N577"/>
  <c r="A578"/>
  <c r="B578"/>
  <c r="C578"/>
  <c r="D578"/>
  <c r="F578"/>
  <c r="G578"/>
  <c r="H578"/>
  <c r="I578"/>
  <c r="J578"/>
  <c r="K578"/>
  <c r="L578"/>
  <c r="M578"/>
  <c r="N578"/>
  <c r="A579"/>
  <c r="B579"/>
  <c r="C579"/>
  <c r="D579"/>
  <c r="F579"/>
  <c r="G579"/>
  <c r="H579"/>
  <c r="I579"/>
  <c r="J579"/>
  <c r="K579"/>
  <c r="L579"/>
  <c r="M579"/>
  <c r="N579"/>
  <c r="A580"/>
  <c r="B580"/>
  <c r="C580"/>
  <c r="D580"/>
  <c r="F580"/>
  <c r="G580"/>
  <c r="H580"/>
  <c r="I580"/>
  <c r="J580"/>
  <c r="K580"/>
  <c r="L580"/>
  <c r="M580"/>
  <c r="N580"/>
  <c r="A581"/>
  <c r="B581"/>
  <c r="C581"/>
  <c r="D581"/>
  <c r="F581"/>
  <c r="G581"/>
  <c r="H581"/>
  <c r="I581"/>
  <c r="J581"/>
  <c r="K581"/>
  <c r="L581"/>
  <c r="M581"/>
  <c r="N581"/>
  <c r="A582"/>
  <c r="B582"/>
  <c r="C582"/>
  <c r="D582"/>
  <c r="F582"/>
  <c r="G582"/>
  <c r="H582"/>
  <c r="I582"/>
  <c r="J582"/>
  <c r="K582"/>
  <c r="L582"/>
  <c r="M582"/>
  <c r="N582"/>
  <c r="A583"/>
  <c r="B583"/>
  <c r="C583"/>
  <c r="D583"/>
  <c r="F583"/>
  <c r="G583"/>
  <c r="H583"/>
  <c r="I583"/>
  <c r="J583"/>
  <c r="K583"/>
  <c r="L583"/>
  <c r="M583"/>
  <c r="N583"/>
  <c r="A584"/>
  <c r="B584"/>
  <c r="C584"/>
  <c r="D584"/>
  <c r="F584"/>
  <c r="G584"/>
  <c r="H584"/>
  <c r="I584"/>
  <c r="J584"/>
  <c r="K584"/>
  <c r="L584"/>
  <c r="M584"/>
  <c r="N584"/>
  <c r="A585"/>
  <c r="B585"/>
  <c r="C585"/>
  <c r="D585"/>
  <c r="F585"/>
  <c r="G585"/>
  <c r="H585"/>
  <c r="I585"/>
  <c r="J585"/>
  <c r="K585"/>
  <c r="L585"/>
  <c r="M585"/>
  <c r="N585"/>
  <c r="A586"/>
  <c r="B586"/>
  <c r="C586"/>
  <c r="D586"/>
  <c r="F586"/>
  <c r="G586"/>
  <c r="H586"/>
  <c r="I586"/>
  <c r="J586"/>
  <c r="K586"/>
  <c r="L586"/>
  <c r="M586"/>
  <c r="N586"/>
  <c r="A587"/>
  <c r="B587"/>
  <c r="C587"/>
  <c r="D587"/>
  <c r="F587"/>
  <c r="G587"/>
  <c r="H587"/>
  <c r="I587"/>
  <c r="J587"/>
  <c r="K587"/>
  <c r="L587"/>
  <c r="M587"/>
  <c r="N587"/>
  <c r="A588"/>
  <c r="B588"/>
  <c r="C588"/>
  <c r="D588"/>
  <c r="F588"/>
  <c r="G588"/>
  <c r="H588"/>
  <c r="I588"/>
  <c r="J588"/>
  <c r="K588"/>
  <c r="L588"/>
  <c r="M588"/>
  <c r="N588"/>
  <c r="A589"/>
  <c r="B589"/>
  <c r="C589"/>
  <c r="D589"/>
  <c r="F589"/>
  <c r="G589"/>
  <c r="H589"/>
  <c r="I589"/>
  <c r="J589"/>
  <c r="K589"/>
  <c r="L589"/>
  <c r="M589"/>
  <c r="N589"/>
  <c r="A590"/>
  <c r="B590"/>
  <c r="C590"/>
  <c r="D590"/>
  <c r="F590"/>
  <c r="G590"/>
  <c r="H590"/>
  <c r="I590"/>
  <c r="J590"/>
  <c r="K590"/>
  <c r="L590"/>
  <c r="M590"/>
  <c r="N590"/>
  <c r="A591"/>
  <c r="B591"/>
  <c r="C591"/>
  <c r="D591"/>
  <c r="F591"/>
  <c r="G591"/>
  <c r="H591"/>
  <c r="I591"/>
  <c r="J591"/>
  <c r="K591"/>
  <c r="L591"/>
  <c r="M591"/>
  <c r="N591"/>
  <c r="A592"/>
  <c r="B592"/>
  <c r="C592"/>
  <c r="D592"/>
  <c r="F592"/>
  <c r="G592"/>
  <c r="H592"/>
  <c r="I592"/>
  <c r="J592"/>
  <c r="K592"/>
  <c r="L592"/>
  <c r="M592"/>
  <c r="N592"/>
  <c r="A593"/>
  <c r="B593"/>
  <c r="C593"/>
  <c r="D593"/>
  <c r="F593"/>
  <c r="G593"/>
  <c r="H593"/>
  <c r="I593"/>
  <c r="J593"/>
  <c r="K593"/>
  <c r="L593"/>
  <c r="M593"/>
  <c r="N593"/>
  <c r="A594"/>
  <c r="B594"/>
  <c r="C594"/>
  <c r="D594"/>
  <c r="F594"/>
  <c r="G594"/>
  <c r="H594"/>
  <c r="I594"/>
  <c r="J594"/>
  <c r="K594"/>
  <c r="L594"/>
  <c r="M594"/>
  <c r="N594"/>
  <c r="A595"/>
  <c r="B595"/>
  <c r="C595"/>
  <c r="D595"/>
  <c r="F595"/>
  <c r="G595"/>
  <c r="H595"/>
  <c r="I595"/>
  <c r="J595"/>
  <c r="K595"/>
  <c r="L595"/>
  <c r="M595"/>
  <c r="N595"/>
  <c r="A596"/>
  <c r="B596"/>
  <c r="C596"/>
  <c r="D596"/>
  <c r="F596"/>
  <c r="G596"/>
  <c r="H596"/>
  <c r="I596"/>
  <c r="J596"/>
  <c r="K596"/>
  <c r="L596"/>
  <c r="M596"/>
  <c r="N596"/>
  <c r="A597"/>
  <c r="B597"/>
  <c r="C597"/>
  <c r="D597"/>
  <c r="F597"/>
  <c r="G597"/>
  <c r="H597"/>
  <c r="I597"/>
  <c r="J597"/>
  <c r="K597"/>
  <c r="L597"/>
  <c r="M597"/>
  <c r="N597"/>
  <c r="A598"/>
  <c r="B598"/>
  <c r="C598"/>
  <c r="D598"/>
  <c r="F598"/>
  <c r="G598"/>
  <c r="H598"/>
  <c r="I598"/>
  <c r="J598"/>
  <c r="K598"/>
  <c r="L598"/>
  <c r="M598"/>
  <c r="N598"/>
  <c r="A599"/>
  <c r="B599"/>
  <c r="C599"/>
  <c r="D599"/>
  <c r="F599"/>
  <c r="G599"/>
  <c r="H599"/>
  <c r="I599"/>
  <c r="J599"/>
  <c r="K599"/>
  <c r="L599"/>
  <c r="M599"/>
  <c r="N599"/>
  <c r="A600"/>
  <c r="B600"/>
  <c r="C600"/>
  <c r="D600"/>
  <c r="F600"/>
  <c r="G600"/>
  <c r="H600"/>
  <c r="I600"/>
  <c r="J600"/>
  <c r="K600"/>
  <c r="L600"/>
  <c r="M600"/>
  <c r="N600"/>
  <c r="A601"/>
  <c r="B601"/>
  <c r="C601"/>
  <c r="D601"/>
  <c r="F601"/>
  <c r="G601"/>
  <c r="H601"/>
  <c r="I601"/>
  <c r="J601"/>
  <c r="K601"/>
  <c r="L601"/>
  <c r="M601"/>
  <c r="N601"/>
  <c r="A602"/>
  <c r="B602"/>
  <c r="C602"/>
  <c r="D602"/>
  <c r="F602"/>
  <c r="G602"/>
  <c r="H602"/>
  <c r="I602"/>
  <c r="J602"/>
  <c r="K602"/>
  <c r="L602"/>
  <c r="M602"/>
  <c r="N602"/>
  <c r="A603"/>
  <c r="B603"/>
  <c r="C603"/>
  <c r="D603"/>
  <c r="F603"/>
  <c r="G603"/>
  <c r="H603"/>
  <c r="I603"/>
  <c r="J603"/>
  <c r="K603"/>
  <c r="L603"/>
  <c r="M603"/>
  <c r="N603"/>
  <c r="A604"/>
  <c r="B604"/>
  <c r="C604"/>
  <c r="D604"/>
  <c r="F604"/>
  <c r="G604"/>
  <c r="H604"/>
  <c r="I604"/>
  <c r="J604"/>
  <c r="K604"/>
  <c r="L604"/>
  <c r="M604"/>
  <c r="N604"/>
  <c r="A605"/>
  <c r="B605"/>
  <c r="C605"/>
  <c r="D605"/>
  <c r="F605"/>
  <c r="G605"/>
  <c r="H605"/>
  <c r="I605"/>
  <c r="J605"/>
  <c r="K605"/>
  <c r="L605"/>
  <c r="M605"/>
  <c r="N605"/>
  <c r="A606"/>
  <c r="B606"/>
  <c r="C606"/>
  <c r="D606"/>
  <c r="F606"/>
  <c r="G606"/>
  <c r="H606"/>
  <c r="I606"/>
  <c r="J606"/>
  <c r="K606"/>
  <c r="L606"/>
  <c r="M606"/>
  <c r="N606"/>
  <c r="A607"/>
  <c r="B607"/>
  <c r="C607"/>
  <c r="D607"/>
  <c r="F607"/>
  <c r="G607"/>
  <c r="H607"/>
  <c r="I607"/>
  <c r="J607"/>
  <c r="K607"/>
  <c r="L607"/>
  <c r="M607"/>
  <c r="N607"/>
  <c r="A608"/>
  <c r="B608"/>
  <c r="C608"/>
  <c r="D608"/>
  <c r="F608"/>
  <c r="G608"/>
  <c r="H608"/>
  <c r="I608"/>
  <c r="J608"/>
  <c r="K608"/>
  <c r="L608"/>
  <c r="M608"/>
  <c r="N608"/>
  <c r="A609"/>
  <c r="B609"/>
  <c r="C609"/>
  <c r="D609"/>
  <c r="F609"/>
  <c r="G609"/>
  <c r="H609"/>
  <c r="I609"/>
  <c r="J609"/>
  <c r="K609"/>
  <c r="L609"/>
  <c r="M609"/>
  <c r="N609"/>
  <c r="A610"/>
  <c r="B610"/>
  <c r="C610"/>
  <c r="D610"/>
  <c r="F610"/>
  <c r="G610"/>
  <c r="H610"/>
  <c r="I610"/>
  <c r="J610"/>
  <c r="K610"/>
  <c r="L610"/>
  <c r="M610"/>
  <c r="N610"/>
  <c r="A611"/>
  <c r="B611"/>
  <c r="C611"/>
  <c r="D611"/>
  <c r="F611"/>
  <c r="G611"/>
  <c r="H611"/>
  <c r="I611"/>
  <c r="J611"/>
  <c r="K611"/>
  <c r="L611"/>
  <c r="M611"/>
  <c r="N611"/>
  <c r="A612"/>
  <c r="B612"/>
  <c r="C612"/>
  <c r="D612"/>
  <c r="F612"/>
  <c r="G612"/>
  <c r="H612"/>
  <c r="I612"/>
  <c r="J612"/>
  <c r="K612"/>
  <c r="L612"/>
  <c r="M612"/>
  <c r="N612"/>
  <c r="A613"/>
  <c r="B613"/>
  <c r="C613"/>
  <c r="D613"/>
  <c r="F613"/>
  <c r="G613"/>
  <c r="H613"/>
  <c r="I613"/>
  <c r="J613"/>
  <c r="K613"/>
  <c r="L613"/>
  <c r="M613"/>
  <c r="N613"/>
  <c r="A614"/>
  <c r="B614"/>
  <c r="C614"/>
  <c r="D614"/>
  <c r="F614"/>
  <c r="G614"/>
  <c r="H614"/>
  <c r="I614"/>
  <c r="J614"/>
  <c r="K614"/>
  <c r="L614"/>
  <c r="M614"/>
  <c r="N614"/>
  <c r="A615"/>
  <c r="B615"/>
  <c r="C615"/>
  <c r="D615"/>
  <c r="F615"/>
  <c r="G615"/>
  <c r="H615"/>
  <c r="I615"/>
  <c r="J615"/>
  <c r="K615"/>
  <c r="L615"/>
  <c r="M615"/>
  <c r="N615"/>
  <c r="A616"/>
  <c r="B616"/>
  <c r="C616"/>
  <c r="D616"/>
  <c r="F616"/>
  <c r="G616"/>
  <c r="H616"/>
  <c r="I616"/>
  <c r="J616"/>
  <c r="K616"/>
  <c r="L616"/>
  <c r="M616"/>
  <c r="N616"/>
  <c r="A617"/>
  <c r="B617"/>
  <c r="C617"/>
  <c r="D617"/>
  <c r="F617"/>
  <c r="G617"/>
  <c r="H617"/>
  <c r="I617"/>
  <c r="J617"/>
  <c r="K617"/>
  <c r="L617"/>
  <c r="M617"/>
  <c r="N617"/>
  <c r="A618"/>
  <c r="B618"/>
  <c r="C618"/>
  <c r="D618"/>
  <c r="F618"/>
  <c r="G618"/>
  <c r="H618"/>
  <c r="I618"/>
  <c r="J618"/>
  <c r="K618"/>
  <c r="L618"/>
  <c r="M618"/>
  <c r="N618"/>
  <c r="A619"/>
  <c r="B619"/>
  <c r="C619"/>
  <c r="D619"/>
  <c r="F619"/>
  <c r="G619"/>
  <c r="H619"/>
  <c r="I619"/>
  <c r="J619"/>
  <c r="K619"/>
  <c r="L619"/>
  <c r="M619"/>
  <c r="N619"/>
  <c r="A620"/>
  <c r="B620"/>
  <c r="C620"/>
  <c r="D620"/>
  <c r="F620"/>
  <c r="G620"/>
  <c r="H620"/>
  <c r="I620"/>
  <c r="J620"/>
  <c r="K620"/>
  <c r="L620"/>
  <c r="M620"/>
  <c r="N620"/>
  <c r="A621"/>
  <c r="B621"/>
  <c r="C621"/>
  <c r="D621"/>
  <c r="F621"/>
  <c r="G621"/>
  <c r="H621"/>
  <c r="I621"/>
  <c r="J621"/>
  <c r="K621"/>
  <c r="L621"/>
  <c r="M621"/>
  <c r="N621"/>
  <c r="A622"/>
  <c r="B622"/>
  <c r="C622"/>
  <c r="D622"/>
  <c r="F622"/>
  <c r="G622"/>
  <c r="H622"/>
  <c r="I622"/>
  <c r="J622"/>
  <c r="K622"/>
  <c r="L622"/>
  <c r="M622"/>
  <c r="N622"/>
  <c r="A623"/>
  <c r="B623"/>
  <c r="C623"/>
  <c r="D623"/>
  <c r="F623"/>
  <c r="G623"/>
  <c r="H623"/>
  <c r="I623"/>
  <c r="J623"/>
  <c r="K623"/>
  <c r="L623"/>
  <c r="M623"/>
  <c r="N623"/>
  <c r="A624"/>
  <c r="B624"/>
  <c r="C624"/>
  <c r="D624"/>
  <c r="F624"/>
  <c r="G624"/>
  <c r="H624"/>
  <c r="I624"/>
  <c r="J624"/>
  <c r="K624"/>
  <c r="L624"/>
  <c r="M624"/>
  <c r="N624"/>
  <c r="A625"/>
  <c r="B625"/>
  <c r="C625"/>
  <c r="D625"/>
  <c r="F625"/>
  <c r="G625"/>
  <c r="H625"/>
  <c r="I625"/>
  <c r="J625"/>
  <c r="K625"/>
  <c r="L625"/>
  <c r="M625"/>
  <c r="N625"/>
  <c r="A626"/>
  <c r="B626"/>
  <c r="C626"/>
  <c r="D626"/>
  <c r="F626"/>
  <c r="G626"/>
  <c r="H626"/>
  <c r="I626"/>
  <c r="J626"/>
  <c r="K626"/>
  <c r="L626"/>
  <c r="M626"/>
  <c r="N626"/>
  <c r="A627"/>
  <c r="B627"/>
  <c r="C627"/>
  <c r="D627"/>
  <c r="F627"/>
  <c r="G627"/>
  <c r="H627"/>
  <c r="I627"/>
  <c r="J627"/>
  <c r="K627"/>
  <c r="L627"/>
  <c r="M627"/>
  <c r="N627"/>
  <c r="A628"/>
  <c r="B628"/>
  <c r="C628"/>
  <c r="D628"/>
  <c r="F628"/>
  <c r="G628"/>
  <c r="H628"/>
  <c r="I628"/>
  <c r="J628"/>
  <c r="K628"/>
  <c r="L628"/>
  <c r="M628"/>
  <c r="N628"/>
  <c r="A629"/>
  <c r="B629"/>
  <c r="C629"/>
  <c r="D629"/>
  <c r="F629"/>
  <c r="G629"/>
  <c r="H629"/>
  <c r="I629"/>
  <c r="J629"/>
  <c r="K629"/>
  <c r="L629"/>
  <c r="M629"/>
  <c r="N629"/>
  <c r="A630"/>
  <c r="B630"/>
  <c r="C630"/>
  <c r="D630"/>
  <c r="F630"/>
  <c r="G630"/>
  <c r="H630"/>
  <c r="I630"/>
  <c r="J630"/>
  <c r="K630"/>
  <c r="L630"/>
  <c r="M630"/>
  <c r="N630"/>
  <c r="A631"/>
  <c r="B631"/>
  <c r="C631"/>
  <c r="D631"/>
  <c r="F631"/>
  <c r="G631"/>
  <c r="H631"/>
  <c r="I631"/>
  <c r="J631"/>
  <c r="K631"/>
  <c r="L631"/>
  <c r="M631"/>
  <c r="N631"/>
  <c r="A632"/>
  <c r="B632"/>
  <c r="C632"/>
  <c r="D632"/>
  <c r="F632"/>
  <c r="G632"/>
  <c r="H632"/>
  <c r="I632"/>
  <c r="J632"/>
  <c r="K632"/>
  <c r="L632"/>
  <c r="M632"/>
  <c r="N632"/>
  <c r="A633"/>
  <c r="B633"/>
  <c r="C633"/>
  <c r="D633"/>
  <c r="F633"/>
  <c r="G633"/>
  <c r="H633"/>
  <c r="I633"/>
  <c r="J633"/>
  <c r="K633"/>
  <c r="L633"/>
  <c r="M633"/>
  <c r="N633"/>
  <c r="A634"/>
  <c r="B634"/>
  <c r="C634"/>
  <c r="D634"/>
  <c r="F634"/>
  <c r="G634"/>
  <c r="H634"/>
  <c r="I634"/>
  <c r="J634"/>
  <c r="K634"/>
  <c r="L634"/>
  <c r="M634"/>
  <c r="N634"/>
  <c r="A635"/>
  <c r="B635"/>
  <c r="C635"/>
  <c r="D635"/>
  <c r="F635"/>
  <c r="G635"/>
  <c r="H635"/>
  <c r="I635"/>
  <c r="J635"/>
  <c r="K635"/>
  <c r="L635"/>
  <c r="M635"/>
  <c r="N635"/>
  <c r="A636"/>
  <c r="B636"/>
  <c r="C636"/>
  <c r="D636"/>
  <c r="F636"/>
  <c r="G636"/>
  <c r="H636"/>
  <c r="I636"/>
  <c r="J636"/>
  <c r="K636"/>
  <c r="L636"/>
  <c r="M636"/>
  <c r="N636"/>
  <c r="A637"/>
  <c r="B637"/>
  <c r="C637"/>
  <c r="D637"/>
  <c r="F637"/>
  <c r="G637"/>
  <c r="H637"/>
  <c r="I637"/>
  <c r="J637"/>
  <c r="K637"/>
  <c r="L637"/>
  <c r="M637"/>
  <c r="N637"/>
  <c r="A638"/>
  <c r="B638"/>
  <c r="C638"/>
  <c r="D638"/>
  <c r="F638"/>
  <c r="G638"/>
  <c r="H638"/>
  <c r="I638"/>
  <c r="J638"/>
  <c r="K638"/>
  <c r="L638"/>
  <c r="M638"/>
  <c r="N638"/>
  <c r="A639"/>
  <c r="B639"/>
  <c r="C639"/>
  <c r="D639"/>
  <c r="F639"/>
  <c r="G639"/>
  <c r="H639"/>
  <c r="I639"/>
  <c r="J639"/>
  <c r="K639"/>
  <c r="L639"/>
  <c r="M639"/>
  <c r="N639"/>
  <c r="A640"/>
  <c r="B640"/>
  <c r="C640"/>
  <c r="D640"/>
  <c r="F640"/>
  <c r="G640"/>
  <c r="H640"/>
  <c r="I640"/>
  <c r="J640"/>
  <c r="K640"/>
  <c r="L640"/>
  <c r="M640"/>
  <c r="N640"/>
  <c r="A641"/>
  <c r="B641"/>
  <c r="C641"/>
  <c r="D641"/>
  <c r="F641"/>
  <c r="G641"/>
  <c r="H641"/>
  <c r="I641"/>
  <c r="J641"/>
  <c r="K641"/>
  <c r="L641"/>
  <c r="M641"/>
  <c r="N641"/>
  <c r="A642"/>
  <c r="B642"/>
  <c r="C642"/>
  <c r="D642"/>
  <c r="F642"/>
  <c r="G642"/>
  <c r="H642"/>
  <c r="I642"/>
  <c r="J642"/>
  <c r="K642"/>
  <c r="L642"/>
  <c r="M642"/>
  <c r="N642"/>
  <c r="A643"/>
  <c r="B643"/>
  <c r="C643"/>
  <c r="D643"/>
  <c r="F643"/>
  <c r="G643"/>
  <c r="H643"/>
  <c r="I643"/>
  <c r="J643"/>
  <c r="K643"/>
  <c r="L643"/>
  <c r="M643"/>
  <c r="N643"/>
  <c r="A644"/>
  <c r="B644"/>
  <c r="C644"/>
  <c r="D644"/>
  <c r="F644"/>
  <c r="G644"/>
  <c r="H644"/>
  <c r="I644"/>
  <c r="J644"/>
  <c r="K644"/>
  <c r="L644"/>
  <c r="M644"/>
  <c r="N644"/>
  <c r="A645"/>
  <c r="B645"/>
  <c r="C645"/>
  <c r="D645"/>
  <c r="F645"/>
  <c r="G645"/>
  <c r="H645"/>
  <c r="I645"/>
  <c r="J645"/>
  <c r="K645"/>
  <c r="L645"/>
  <c r="M645"/>
  <c r="N645"/>
  <c r="A646"/>
  <c r="B646"/>
  <c r="C646"/>
  <c r="D646"/>
  <c r="F646"/>
  <c r="G646"/>
  <c r="H646"/>
  <c r="I646"/>
  <c r="J646"/>
  <c r="K646"/>
  <c r="L646"/>
  <c r="M646"/>
  <c r="N646"/>
  <c r="A647"/>
  <c r="B647"/>
  <c r="C647"/>
  <c r="D647"/>
  <c r="F647"/>
  <c r="G647"/>
  <c r="H647"/>
  <c r="I647"/>
  <c r="J647"/>
  <c r="K647"/>
  <c r="L647"/>
  <c r="M647"/>
  <c r="N647"/>
  <c r="A648"/>
  <c r="B648"/>
  <c r="C648"/>
  <c r="D648"/>
  <c r="F648"/>
  <c r="G648"/>
  <c r="H648"/>
  <c r="I648"/>
  <c r="J648"/>
  <c r="K648"/>
  <c r="L648"/>
  <c r="M648"/>
  <c r="N648"/>
  <c r="A649"/>
  <c r="B649"/>
  <c r="C649"/>
  <c r="D649"/>
  <c r="F649"/>
  <c r="G649"/>
  <c r="H649"/>
  <c r="I649"/>
  <c r="J649"/>
  <c r="K649"/>
  <c r="L649"/>
  <c r="M649"/>
  <c r="N649"/>
  <c r="A650"/>
  <c r="B650"/>
  <c r="C650"/>
  <c r="D650"/>
  <c r="F650"/>
  <c r="G650"/>
  <c r="H650"/>
  <c r="I650"/>
  <c r="J650"/>
  <c r="K650"/>
  <c r="L650"/>
  <c r="M650"/>
  <c r="N650"/>
  <c r="A651"/>
  <c r="B651"/>
  <c r="C651"/>
  <c r="D651"/>
  <c r="F651"/>
  <c r="G651"/>
  <c r="H651"/>
  <c r="I651"/>
  <c r="J651"/>
  <c r="K651"/>
  <c r="L651"/>
  <c r="M651"/>
  <c r="N651"/>
  <c r="A652"/>
  <c r="B652"/>
  <c r="C652"/>
  <c r="D652"/>
  <c r="F652"/>
  <c r="G652"/>
  <c r="H652"/>
  <c r="I652"/>
  <c r="J652"/>
  <c r="K652"/>
  <c r="L652"/>
  <c r="M652"/>
  <c r="N652"/>
  <c r="A653"/>
  <c r="B653"/>
  <c r="C653"/>
  <c r="D653"/>
  <c r="F653"/>
  <c r="G653"/>
  <c r="H653"/>
  <c r="I653"/>
  <c r="J653"/>
  <c r="K653"/>
  <c r="L653"/>
  <c r="M653"/>
  <c r="N653"/>
  <c r="A654"/>
  <c r="B654"/>
  <c r="C654"/>
  <c r="D654"/>
  <c r="F654"/>
  <c r="G654"/>
  <c r="H654"/>
  <c r="I654"/>
  <c r="J654"/>
  <c r="K654"/>
  <c r="L654"/>
  <c r="M654"/>
  <c r="N654"/>
  <c r="A655"/>
  <c r="B655"/>
  <c r="C655"/>
  <c r="D655"/>
  <c r="F655"/>
  <c r="G655"/>
  <c r="H655"/>
  <c r="I655"/>
  <c r="J655"/>
  <c r="K655"/>
  <c r="L655"/>
  <c r="M655"/>
  <c r="N655"/>
  <c r="A656"/>
  <c r="B656"/>
  <c r="C656"/>
  <c r="D656"/>
  <c r="F656"/>
  <c r="G656"/>
  <c r="H656"/>
  <c r="I656"/>
  <c r="J656"/>
  <c r="K656"/>
  <c r="L656"/>
  <c r="M656"/>
  <c r="N656"/>
  <c r="A657"/>
  <c r="B657"/>
  <c r="C657"/>
  <c r="D657"/>
  <c r="F657"/>
  <c r="G657"/>
  <c r="H657"/>
  <c r="I657"/>
  <c r="J657"/>
  <c r="K657"/>
  <c r="L657"/>
  <c r="M657"/>
  <c r="N657"/>
  <c r="A658"/>
  <c r="B658"/>
  <c r="C658"/>
  <c r="D658"/>
  <c r="F658"/>
  <c r="G658"/>
  <c r="H658"/>
  <c r="I658"/>
  <c r="J658"/>
  <c r="K658"/>
  <c r="L658"/>
  <c r="M658"/>
  <c r="N658"/>
  <c r="A659"/>
  <c r="B659"/>
  <c r="C659"/>
  <c r="D659"/>
  <c r="F659"/>
  <c r="G659"/>
  <c r="H659"/>
  <c r="I659"/>
  <c r="J659"/>
  <c r="K659"/>
  <c r="L659"/>
  <c r="M659"/>
  <c r="N659"/>
  <c r="A660"/>
  <c r="B660"/>
  <c r="C660"/>
  <c r="D660"/>
  <c r="F660"/>
  <c r="G660"/>
  <c r="H660"/>
  <c r="I660"/>
  <c r="J660"/>
  <c r="K660"/>
  <c r="L660"/>
  <c r="M660"/>
  <c r="N660"/>
  <c r="A661"/>
  <c r="B661"/>
  <c r="C661"/>
  <c r="D661"/>
  <c r="F661"/>
  <c r="G661"/>
  <c r="H661"/>
  <c r="I661"/>
  <c r="J661"/>
  <c r="K661"/>
  <c r="L661"/>
  <c r="M661"/>
  <c r="N661"/>
  <c r="A662"/>
  <c r="B662"/>
  <c r="C662"/>
  <c r="D662"/>
  <c r="F662"/>
  <c r="G662"/>
  <c r="H662"/>
  <c r="I662"/>
  <c r="J662"/>
  <c r="K662"/>
  <c r="L662"/>
  <c r="M662"/>
  <c r="N662"/>
  <c r="A663"/>
  <c r="B663"/>
  <c r="C663"/>
  <c r="D663"/>
  <c r="F663"/>
  <c r="G663"/>
  <c r="H663"/>
  <c r="I663"/>
  <c r="J663"/>
  <c r="K663"/>
  <c r="L663"/>
  <c r="M663"/>
  <c r="N663"/>
  <c r="A664"/>
  <c r="B664"/>
  <c r="C664"/>
  <c r="D664"/>
  <c r="F664"/>
  <c r="G664"/>
  <c r="H664"/>
  <c r="I664"/>
  <c r="J664"/>
  <c r="K664"/>
  <c r="L664"/>
  <c r="M664"/>
  <c r="N664"/>
  <c r="A665"/>
  <c r="B665"/>
  <c r="C665"/>
  <c r="D665"/>
  <c r="F665"/>
  <c r="G665"/>
  <c r="H665"/>
  <c r="I665"/>
  <c r="J665"/>
  <c r="K665"/>
  <c r="L665"/>
  <c r="M665"/>
  <c r="N665"/>
  <c r="A666"/>
  <c r="B666"/>
  <c r="C666"/>
  <c r="D666"/>
  <c r="F666"/>
  <c r="G666"/>
  <c r="H666"/>
  <c r="I666"/>
  <c r="J666"/>
  <c r="K666"/>
  <c r="L666"/>
  <c r="M666"/>
  <c r="N666"/>
  <c r="A667"/>
  <c r="B667"/>
  <c r="C667"/>
  <c r="D667"/>
  <c r="F667"/>
  <c r="G667"/>
  <c r="H667"/>
  <c r="I667"/>
  <c r="J667"/>
  <c r="K667"/>
  <c r="L667"/>
  <c r="M667"/>
  <c r="N667"/>
  <c r="A668"/>
  <c r="B668"/>
  <c r="C668"/>
  <c r="D668"/>
  <c r="F668"/>
  <c r="G668"/>
  <c r="H668"/>
  <c r="I668"/>
  <c r="J668"/>
  <c r="K668"/>
  <c r="L668"/>
  <c r="M668"/>
  <c r="N668"/>
  <c r="A669"/>
  <c r="B669"/>
  <c r="C669"/>
  <c r="D669"/>
  <c r="F669"/>
  <c r="G669"/>
  <c r="H669"/>
  <c r="I669"/>
  <c r="J669"/>
  <c r="K669"/>
  <c r="L669"/>
  <c r="M669"/>
  <c r="N669"/>
  <c r="A670"/>
  <c r="B670"/>
  <c r="C670"/>
  <c r="D670"/>
  <c r="F670"/>
  <c r="G670"/>
  <c r="H670"/>
  <c r="I670"/>
  <c r="J670"/>
  <c r="K670"/>
  <c r="L670"/>
  <c r="M670"/>
  <c r="N670"/>
  <c r="A671"/>
  <c r="B671"/>
  <c r="C671"/>
  <c r="D671"/>
  <c r="F671"/>
  <c r="G671"/>
  <c r="H671"/>
  <c r="I671"/>
  <c r="J671"/>
  <c r="K671"/>
  <c r="L671"/>
  <c r="M671"/>
  <c r="N671"/>
  <c r="A672"/>
  <c r="B672"/>
  <c r="C672"/>
  <c r="D672"/>
  <c r="F672"/>
  <c r="G672"/>
  <c r="H672"/>
  <c r="I672"/>
  <c r="J672"/>
  <c r="K672"/>
  <c r="L672"/>
  <c r="M672"/>
  <c r="N672"/>
  <c r="A673"/>
  <c r="B673"/>
  <c r="C673"/>
  <c r="D673"/>
  <c r="F673"/>
  <c r="G673"/>
  <c r="H673"/>
  <c r="I673"/>
  <c r="J673"/>
  <c r="K673"/>
  <c r="L673"/>
  <c r="M673"/>
  <c r="N673"/>
  <c r="A674"/>
  <c r="B674"/>
  <c r="C674"/>
  <c r="D674"/>
  <c r="F674"/>
  <c r="G674"/>
  <c r="H674"/>
  <c r="I674"/>
  <c r="J674"/>
  <c r="K674"/>
  <c r="L674"/>
  <c r="M674"/>
  <c r="N674"/>
  <c r="A675"/>
  <c r="B675"/>
  <c r="C675"/>
  <c r="D675"/>
  <c r="F675"/>
  <c r="G675"/>
  <c r="H675"/>
  <c r="I675"/>
  <c r="J675"/>
  <c r="K675"/>
  <c r="L675"/>
  <c r="M675"/>
  <c r="N675"/>
  <c r="A676"/>
  <c r="B676"/>
  <c r="C676"/>
  <c r="D676"/>
  <c r="F676"/>
  <c r="G676"/>
  <c r="H676"/>
  <c r="I676"/>
  <c r="J676"/>
  <c r="K676"/>
  <c r="L676"/>
  <c r="M676"/>
  <c r="N676"/>
  <c r="A677"/>
  <c r="B677"/>
  <c r="C677"/>
  <c r="D677"/>
  <c r="F677"/>
  <c r="G677"/>
  <c r="H677"/>
  <c r="I677"/>
  <c r="J677"/>
  <c r="K677"/>
  <c r="L677"/>
  <c r="M677"/>
  <c r="N677"/>
  <c r="A678"/>
  <c r="B678"/>
  <c r="C678"/>
  <c r="D678"/>
  <c r="F678"/>
  <c r="G678"/>
  <c r="H678"/>
  <c r="I678"/>
  <c r="J678"/>
  <c r="K678"/>
  <c r="L678"/>
  <c r="M678"/>
  <c r="N678"/>
  <c r="A679"/>
  <c r="B679"/>
  <c r="C679"/>
  <c r="D679"/>
  <c r="F679"/>
  <c r="G679"/>
  <c r="H679"/>
  <c r="I679"/>
  <c r="J679"/>
  <c r="K679"/>
  <c r="L679"/>
  <c r="M679"/>
  <c r="N679"/>
  <c r="A680"/>
  <c r="B680"/>
  <c r="C680"/>
  <c r="D680"/>
  <c r="F680"/>
  <c r="G680"/>
  <c r="H680"/>
  <c r="I680"/>
  <c r="J680"/>
  <c r="K680"/>
  <c r="L680"/>
  <c r="M680"/>
  <c r="N680"/>
  <c r="A681"/>
  <c r="B681"/>
  <c r="C681"/>
  <c r="D681"/>
  <c r="F681"/>
  <c r="G681"/>
  <c r="H681"/>
  <c r="I681"/>
  <c r="J681"/>
  <c r="K681"/>
  <c r="L681"/>
  <c r="M681"/>
  <c r="N681"/>
  <c r="A682"/>
  <c r="B682"/>
  <c r="C682"/>
  <c r="D682"/>
  <c r="F682"/>
  <c r="G682"/>
  <c r="H682"/>
  <c r="I682"/>
  <c r="J682"/>
  <c r="K682"/>
  <c r="L682"/>
  <c r="M682"/>
  <c r="N682"/>
  <c r="A683"/>
  <c r="B683"/>
  <c r="C683"/>
  <c r="D683"/>
  <c r="F683"/>
  <c r="G683"/>
  <c r="H683"/>
  <c r="I683"/>
  <c r="J683"/>
  <c r="K683"/>
  <c r="L683"/>
  <c r="M683"/>
  <c r="N683"/>
  <c r="A684"/>
  <c r="B684"/>
  <c r="C684"/>
  <c r="D684"/>
  <c r="F684"/>
  <c r="G684"/>
  <c r="H684"/>
  <c r="I684"/>
  <c r="J684"/>
  <c r="K684"/>
  <c r="L684"/>
  <c r="M684"/>
  <c r="N684"/>
  <c r="A685"/>
  <c r="B685"/>
  <c r="C685"/>
  <c r="D685"/>
  <c r="F685"/>
  <c r="G685"/>
  <c r="H685"/>
  <c r="I685"/>
  <c r="J685"/>
  <c r="K685"/>
  <c r="L685"/>
  <c r="M685"/>
  <c r="N685"/>
  <c r="A686"/>
  <c r="B686"/>
  <c r="C686"/>
  <c r="D686"/>
  <c r="F686"/>
  <c r="G686"/>
  <c r="H686"/>
  <c r="I686"/>
  <c r="J686"/>
  <c r="K686"/>
  <c r="L686"/>
  <c r="M686"/>
  <c r="N686"/>
  <c r="A687"/>
  <c r="B687"/>
  <c r="C687"/>
  <c r="D687"/>
  <c r="F687"/>
  <c r="G687"/>
  <c r="H687"/>
  <c r="I687"/>
  <c r="J687"/>
  <c r="K687"/>
  <c r="L687"/>
  <c r="M687"/>
  <c r="N687"/>
  <c r="A688"/>
  <c r="B688"/>
  <c r="C688"/>
  <c r="D688"/>
  <c r="F688"/>
  <c r="G688"/>
  <c r="H688"/>
  <c r="I688"/>
  <c r="J688"/>
  <c r="K688"/>
  <c r="L688"/>
  <c r="M688"/>
  <c r="N688"/>
  <c r="A689"/>
  <c r="B689"/>
  <c r="C689"/>
  <c r="D689"/>
  <c r="F689"/>
  <c r="G689"/>
  <c r="H689"/>
  <c r="I689"/>
  <c r="J689"/>
  <c r="K689"/>
  <c r="L689"/>
  <c r="M689"/>
  <c r="N689"/>
  <c r="A690"/>
  <c r="B690"/>
  <c r="C690"/>
  <c r="D690"/>
  <c r="F690"/>
  <c r="G690"/>
  <c r="H690"/>
  <c r="I690"/>
  <c r="J690"/>
  <c r="K690"/>
  <c r="L690"/>
  <c r="M690"/>
  <c r="N690"/>
  <c r="A691"/>
  <c r="B691"/>
  <c r="C691"/>
  <c r="D691"/>
  <c r="F691"/>
  <c r="G691"/>
  <c r="H691"/>
  <c r="I691"/>
  <c r="J691"/>
  <c r="K691"/>
  <c r="L691"/>
  <c r="M691"/>
  <c r="N691"/>
  <c r="A692"/>
  <c r="B692"/>
  <c r="C692"/>
  <c r="D692"/>
  <c r="F692"/>
  <c r="G692"/>
  <c r="H692"/>
  <c r="I692"/>
  <c r="J692"/>
  <c r="K692"/>
  <c r="L692"/>
  <c r="M692"/>
  <c r="N692"/>
  <c r="A693"/>
  <c r="B693"/>
  <c r="C693"/>
  <c r="D693"/>
  <c r="F693"/>
  <c r="G693"/>
  <c r="H693"/>
  <c r="I693"/>
  <c r="J693"/>
  <c r="K693"/>
  <c r="L693"/>
  <c r="M693"/>
  <c r="N693"/>
  <c r="A694"/>
  <c r="B694"/>
  <c r="C694"/>
  <c r="D694"/>
  <c r="F694"/>
  <c r="G694"/>
  <c r="H694"/>
  <c r="I694"/>
  <c r="J694"/>
  <c r="K694"/>
  <c r="L694"/>
  <c r="M694"/>
  <c r="N694"/>
  <c r="A695"/>
  <c r="B695"/>
  <c r="C695"/>
  <c r="D695"/>
  <c r="F695"/>
  <c r="G695"/>
  <c r="H695"/>
  <c r="I695"/>
  <c r="J695"/>
  <c r="K695"/>
  <c r="L695"/>
  <c r="M695"/>
  <c r="N695"/>
  <c r="A696"/>
  <c r="B696"/>
  <c r="C696"/>
  <c r="D696"/>
  <c r="F696"/>
  <c r="G696"/>
  <c r="H696"/>
  <c r="I696"/>
  <c r="J696"/>
  <c r="K696"/>
  <c r="L696"/>
  <c r="M696"/>
  <c r="N696"/>
  <c r="A697"/>
  <c r="B697"/>
  <c r="C697"/>
  <c r="D697"/>
  <c r="F697"/>
  <c r="G697"/>
  <c r="H697"/>
  <c r="I697"/>
  <c r="J697"/>
  <c r="K697"/>
  <c r="L697"/>
  <c r="M697"/>
  <c r="N697"/>
  <c r="A698"/>
  <c r="B698"/>
  <c r="C698"/>
  <c r="D698"/>
  <c r="F698"/>
  <c r="G698"/>
  <c r="H698"/>
  <c r="I698"/>
  <c r="J698"/>
  <c r="K698"/>
  <c r="L698"/>
  <c r="M698"/>
  <c r="N698"/>
  <c r="A699"/>
  <c r="B699"/>
  <c r="C699"/>
  <c r="D699"/>
  <c r="F699"/>
  <c r="G699"/>
  <c r="H699"/>
  <c r="I699"/>
  <c r="J699"/>
  <c r="K699"/>
  <c r="L699"/>
  <c r="M699"/>
  <c r="N699"/>
  <c r="A700"/>
  <c r="B700"/>
  <c r="C700"/>
  <c r="D700"/>
  <c r="F700"/>
  <c r="G700"/>
  <c r="H700"/>
  <c r="I700"/>
  <c r="J700"/>
  <c r="K700"/>
  <c r="L700"/>
  <c r="M700"/>
  <c r="N700"/>
  <c r="A701"/>
  <c r="B701"/>
  <c r="C701"/>
  <c r="D701"/>
  <c r="F701"/>
  <c r="G701"/>
  <c r="H701"/>
  <c r="I701"/>
  <c r="J701"/>
  <c r="K701"/>
  <c r="L701"/>
  <c r="M701"/>
  <c r="N701"/>
  <c r="A702"/>
  <c r="B702"/>
  <c r="C702"/>
  <c r="D702"/>
  <c r="F702"/>
  <c r="G702"/>
  <c r="H702"/>
  <c r="I702"/>
  <c r="J702"/>
  <c r="K702"/>
  <c r="L702"/>
  <c r="M702"/>
  <c r="N702"/>
  <c r="A703"/>
  <c r="B703"/>
  <c r="C703"/>
  <c r="D703"/>
  <c r="F703"/>
  <c r="G703"/>
  <c r="H703"/>
  <c r="I703"/>
  <c r="J703"/>
  <c r="K703"/>
  <c r="L703"/>
  <c r="M703"/>
  <c r="N703"/>
  <c r="A704"/>
  <c r="B704"/>
  <c r="C704"/>
  <c r="D704"/>
  <c r="F704"/>
  <c r="G704"/>
  <c r="H704"/>
  <c r="I704"/>
  <c r="J704"/>
  <c r="K704"/>
  <c r="L704"/>
  <c r="M704"/>
  <c r="N704"/>
  <c r="A705"/>
  <c r="B705"/>
  <c r="C705"/>
  <c r="D705"/>
  <c r="F705"/>
  <c r="G705"/>
  <c r="H705"/>
  <c r="I705"/>
  <c r="J705"/>
  <c r="K705"/>
  <c r="L705"/>
  <c r="M705"/>
  <c r="N705"/>
  <c r="A706"/>
  <c r="B706"/>
  <c r="C706"/>
  <c r="D706"/>
  <c r="F706"/>
  <c r="G706"/>
  <c r="H706"/>
  <c r="I706"/>
  <c r="J706"/>
  <c r="K706"/>
  <c r="L706"/>
  <c r="M706"/>
  <c r="N706"/>
  <c r="A707"/>
  <c r="B707"/>
  <c r="C707"/>
  <c r="D707"/>
  <c r="F707"/>
  <c r="G707"/>
  <c r="H707"/>
  <c r="I707"/>
  <c r="J707"/>
  <c r="K707"/>
  <c r="L707"/>
  <c r="M707"/>
  <c r="N707"/>
  <c r="A708"/>
  <c r="B708"/>
  <c r="C708"/>
  <c r="D708"/>
  <c r="F708"/>
  <c r="G708"/>
  <c r="H708"/>
  <c r="I708"/>
  <c r="J708"/>
  <c r="K708"/>
  <c r="L708"/>
  <c r="M708"/>
  <c r="N708"/>
  <c r="A709"/>
  <c r="B709"/>
  <c r="C709"/>
  <c r="D709"/>
  <c r="F709"/>
  <c r="G709"/>
  <c r="H709"/>
  <c r="I709"/>
  <c r="J709"/>
  <c r="K709"/>
  <c r="L709"/>
  <c r="M709"/>
  <c r="N709"/>
  <c r="A710"/>
  <c r="B710"/>
  <c r="C710"/>
  <c r="D710"/>
  <c r="F710"/>
  <c r="G710"/>
  <c r="H710"/>
  <c r="I710"/>
  <c r="J710"/>
  <c r="K710"/>
  <c r="L710"/>
  <c r="M710"/>
  <c r="N710"/>
  <c r="A711"/>
  <c r="B711"/>
  <c r="C711"/>
  <c r="D711"/>
  <c r="F711"/>
  <c r="G711"/>
  <c r="H711"/>
  <c r="I711"/>
  <c r="J711"/>
  <c r="K711"/>
  <c r="L711"/>
  <c r="M711"/>
  <c r="N711"/>
  <c r="A712"/>
  <c r="B712"/>
  <c r="C712"/>
  <c r="D712"/>
  <c r="F712"/>
  <c r="G712"/>
  <c r="H712"/>
  <c r="I712"/>
  <c r="J712"/>
  <c r="K712"/>
  <c r="L712"/>
  <c r="M712"/>
  <c r="N712"/>
  <c r="A713"/>
  <c r="B713"/>
  <c r="C713"/>
  <c r="D713"/>
  <c r="F713"/>
  <c r="G713"/>
  <c r="H713"/>
  <c r="I713"/>
  <c r="J713"/>
  <c r="K713"/>
  <c r="L713"/>
  <c r="M713"/>
  <c r="N713"/>
  <c r="A714"/>
  <c r="B714"/>
  <c r="C714"/>
  <c r="D714"/>
  <c r="F714"/>
  <c r="G714"/>
  <c r="H714"/>
  <c r="I714"/>
  <c r="J714"/>
  <c r="K714"/>
  <c r="L714"/>
  <c r="M714"/>
  <c r="N714"/>
  <c r="A715"/>
  <c r="B715"/>
  <c r="C715"/>
  <c r="D715"/>
  <c r="F715"/>
  <c r="G715"/>
  <c r="H715"/>
  <c r="I715"/>
  <c r="J715"/>
  <c r="K715"/>
  <c r="L715"/>
  <c r="M715"/>
  <c r="N715"/>
  <c r="A716"/>
  <c r="B716"/>
  <c r="C716"/>
  <c r="D716"/>
  <c r="F716"/>
  <c r="G716"/>
  <c r="H716"/>
  <c r="I716"/>
  <c r="J716"/>
  <c r="K716"/>
  <c r="L716"/>
  <c r="M716"/>
  <c r="N716"/>
  <c r="A717"/>
  <c r="B717"/>
  <c r="C717"/>
  <c r="D717"/>
  <c r="F717"/>
  <c r="G717"/>
  <c r="H717"/>
  <c r="I717"/>
  <c r="J717"/>
  <c r="K717"/>
  <c r="L717"/>
  <c r="M717"/>
  <c r="N717"/>
  <c r="A718"/>
  <c r="B718"/>
  <c r="C718"/>
  <c r="D718"/>
  <c r="F718"/>
  <c r="G718"/>
  <c r="H718"/>
  <c r="I718"/>
  <c r="J718"/>
  <c r="K718"/>
  <c r="L718"/>
  <c r="M718"/>
  <c r="N718"/>
  <c r="A719"/>
  <c r="B719"/>
  <c r="C719"/>
  <c r="D719"/>
  <c r="F719"/>
  <c r="G719"/>
  <c r="H719"/>
  <c r="I719"/>
  <c r="J719"/>
  <c r="K719"/>
  <c r="L719"/>
  <c r="M719"/>
  <c r="N719"/>
  <c r="A720"/>
  <c r="B720"/>
  <c r="C720"/>
  <c r="D720"/>
  <c r="F720"/>
  <c r="G720"/>
  <c r="H720"/>
  <c r="I720"/>
  <c r="J720"/>
  <c r="K720"/>
  <c r="L720"/>
  <c r="M720"/>
  <c r="N720"/>
  <c r="A721"/>
  <c r="B721"/>
  <c r="C721"/>
  <c r="D721"/>
  <c r="F721"/>
  <c r="G721"/>
  <c r="H721"/>
  <c r="I721"/>
  <c r="J721"/>
  <c r="K721"/>
  <c r="L721"/>
  <c r="M721"/>
  <c r="N721"/>
  <c r="A722"/>
  <c r="B722"/>
  <c r="C722"/>
  <c r="D722"/>
  <c r="F722"/>
  <c r="G722"/>
  <c r="H722"/>
  <c r="I722"/>
  <c r="J722"/>
  <c r="K722"/>
  <c r="L722"/>
  <c r="M722"/>
  <c r="N722"/>
  <c r="A723"/>
  <c r="B723"/>
  <c r="C723"/>
  <c r="D723"/>
  <c r="F723"/>
  <c r="G723"/>
  <c r="H723"/>
  <c r="I723"/>
  <c r="J723"/>
  <c r="K723"/>
  <c r="L723"/>
  <c r="M723"/>
  <c r="N723"/>
  <c r="A724"/>
  <c r="B724"/>
  <c r="C724"/>
  <c r="D724"/>
  <c r="F724"/>
  <c r="G724"/>
  <c r="H724"/>
  <c r="I724"/>
  <c r="J724"/>
  <c r="K724"/>
  <c r="L724"/>
  <c r="M724"/>
  <c r="N724"/>
  <c r="A725"/>
  <c r="B725"/>
  <c r="C725"/>
  <c r="D725"/>
  <c r="F725"/>
  <c r="G725"/>
  <c r="H725"/>
  <c r="I725"/>
  <c r="J725"/>
  <c r="K725"/>
  <c r="L725"/>
  <c r="M725"/>
  <c r="N725"/>
  <c r="A726"/>
  <c r="B726"/>
  <c r="C726"/>
  <c r="D726"/>
  <c r="F726"/>
  <c r="G726"/>
  <c r="H726"/>
  <c r="I726"/>
  <c r="J726"/>
  <c r="K726"/>
  <c r="L726"/>
  <c r="M726"/>
  <c r="N726"/>
  <c r="A727"/>
  <c r="B727"/>
  <c r="C727"/>
  <c r="D727"/>
  <c r="F727"/>
  <c r="G727"/>
  <c r="H727"/>
  <c r="I727"/>
  <c r="J727"/>
  <c r="K727"/>
  <c r="L727"/>
  <c r="M727"/>
  <c r="N727"/>
  <c r="A728"/>
  <c r="B728"/>
  <c r="C728"/>
  <c r="D728"/>
  <c r="F728"/>
  <c r="G728"/>
  <c r="H728"/>
  <c r="I728"/>
  <c r="J728"/>
  <c r="K728"/>
  <c r="L728"/>
  <c r="M728"/>
  <c r="N728"/>
  <c r="A729"/>
  <c r="B729"/>
  <c r="C729"/>
  <c r="D729"/>
  <c r="F729"/>
  <c r="G729"/>
  <c r="H729"/>
  <c r="I729"/>
  <c r="J729"/>
  <c r="K729"/>
  <c r="L729"/>
  <c r="M729"/>
  <c r="N729"/>
  <c r="A730"/>
  <c r="B730"/>
  <c r="C730"/>
  <c r="D730"/>
  <c r="F730"/>
  <c r="G730"/>
  <c r="H730"/>
  <c r="I730"/>
  <c r="J730"/>
  <c r="K730"/>
  <c r="L730"/>
  <c r="M730"/>
  <c r="N730"/>
  <c r="A731"/>
  <c r="B731"/>
  <c r="C731"/>
  <c r="D731"/>
  <c r="F731"/>
  <c r="G731"/>
  <c r="H731"/>
  <c r="I731"/>
  <c r="J731"/>
  <c r="K731"/>
  <c r="L731"/>
  <c r="M731"/>
  <c r="N731"/>
  <c r="A732"/>
  <c r="B732"/>
  <c r="C732"/>
  <c r="D732"/>
  <c r="F732"/>
  <c r="G732"/>
  <c r="H732"/>
  <c r="I732"/>
  <c r="J732"/>
  <c r="K732"/>
  <c r="L732"/>
  <c r="M732"/>
  <c r="N732"/>
  <c r="A733"/>
  <c r="B733"/>
  <c r="C733"/>
  <c r="D733"/>
  <c r="F733"/>
  <c r="G733"/>
  <c r="H733"/>
  <c r="I733"/>
  <c r="J733"/>
  <c r="K733"/>
  <c r="L733"/>
  <c r="M733"/>
  <c r="N733"/>
  <c r="A734"/>
  <c r="B734"/>
  <c r="C734"/>
  <c r="D734"/>
  <c r="F734"/>
  <c r="G734"/>
  <c r="H734"/>
  <c r="I734"/>
  <c r="J734"/>
  <c r="K734"/>
  <c r="L734"/>
  <c r="M734"/>
  <c r="N734"/>
  <c r="A735"/>
  <c r="B735"/>
  <c r="C735"/>
  <c r="D735"/>
  <c r="F735"/>
  <c r="G735"/>
  <c r="H735"/>
  <c r="I735"/>
  <c r="J735"/>
  <c r="K735"/>
  <c r="L735"/>
  <c r="M735"/>
  <c r="N735"/>
  <c r="A736"/>
  <c r="B736"/>
  <c r="C736"/>
  <c r="D736"/>
  <c r="F736"/>
  <c r="G736"/>
  <c r="H736"/>
  <c r="I736"/>
  <c r="J736"/>
  <c r="K736"/>
  <c r="L736"/>
  <c r="M736"/>
  <c r="N736"/>
  <c r="A737"/>
  <c r="B737"/>
  <c r="C737"/>
  <c r="D737"/>
  <c r="F737"/>
  <c r="G737"/>
  <c r="H737"/>
  <c r="I737"/>
  <c r="J737"/>
  <c r="K737"/>
  <c r="L737"/>
  <c r="M737"/>
  <c r="N737"/>
  <c r="A738"/>
  <c r="B738"/>
  <c r="C738"/>
  <c r="D738"/>
  <c r="F738"/>
  <c r="G738"/>
  <c r="H738"/>
  <c r="I738"/>
  <c r="J738"/>
  <c r="K738"/>
  <c r="L738"/>
  <c r="M738"/>
  <c r="N738"/>
  <c r="A739"/>
  <c r="B739"/>
  <c r="C739"/>
  <c r="D739"/>
  <c r="F739"/>
  <c r="G739"/>
  <c r="H739"/>
  <c r="I739"/>
  <c r="J739"/>
  <c r="K739"/>
  <c r="L739"/>
  <c r="M739"/>
  <c r="N739"/>
  <c r="A740"/>
  <c r="B740"/>
  <c r="C740"/>
  <c r="D740"/>
  <c r="F740"/>
  <c r="G740"/>
  <c r="H740"/>
  <c r="I740"/>
  <c r="J740"/>
  <c r="K740"/>
  <c r="L740"/>
  <c r="M740"/>
  <c r="N740"/>
  <c r="A741"/>
  <c r="B741"/>
  <c r="C741"/>
  <c r="D741"/>
  <c r="F741"/>
  <c r="G741"/>
  <c r="H741"/>
  <c r="I741"/>
  <c r="J741"/>
  <c r="K741"/>
  <c r="L741"/>
  <c r="M741"/>
  <c r="N741"/>
  <c r="A742"/>
  <c r="B742"/>
  <c r="C742"/>
  <c r="D742"/>
  <c r="F742"/>
  <c r="G742"/>
  <c r="H742"/>
  <c r="I742"/>
  <c r="J742"/>
  <c r="K742"/>
  <c r="L742"/>
  <c r="M742"/>
  <c r="N742"/>
  <c r="A743"/>
  <c r="B743"/>
  <c r="C743"/>
  <c r="D743"/>
  <c r="F743"/>
  <c r="G743"/>
  <c r="H743"/>
  <c r="I743"/>
  <c r="J743"/>
  <c r="K743"/>
  <c r="L743"/>
  <c r="M743"/>
  <c r="N743"/>
  <c r="A744"/>
  <c r="B744"/>
  <c r="C744"/>
  <c r="D744"/>
  <c r="F744"/>
  <c r="G744"/>
  <c r="H744"/>
  <c r="I744"/>
  <c r="J744"/>
  <c r="K744"/>
  <c r="L744"/>
  <c r="M744"/>
  <c r="N744"/>
  <c r="A745"/>
  <c r="B745"/>
  <c r="C745"/>
  <c r="D745"/>
  <c r="F745"/>
  <c r="G745"/>
  <c r="H745"/>
  <c r="I745"/>
  <c r="J745"/>
  <c r="K745"/>
  <c r="L745"/>
  <c r="M745"/>
  <c r="N745"/>
  <c r="A746"/>
  <c r="B746"/>
  <c r="C746"/>
  <c r="D746"/>
  <c r="F746"/>
  <c r="G746"/>
  <c r="H746"/>
  <c r="I746"/>
  <c r="J746"/>
  <c r="K746"/>
  <c r="L746"/>
  <c r="M746"/>
  <c r="N746"/>
  <c r="A747"/>
  <c r="B747"/>
  <c r="C747"/>
  <c r="D747"/>
  <c r="F747"/>
  <c r="G747"/>
  <c r="H747"/>
  <c r="I747"/>
  <c r="J747"/>
  <c r="K747"/>
  <c r="L747"/>
  <c r="M747"/>
  <c r="N747"/>
  <c r="A748"/>
  <c r="B748"/>
  <c r="C748"/>
  <c r="D748"/>
  <c r="F748"/>
  <c r="G748"/>
  <c r="H748"/>
  <c r="I748"/>
  <c r="J748"/>
  <c r="K748"/>
  <c r="L748"/>
  <c r="M748"/>
  <c r="N748"/>
  <c r="A749"/>
  <c r="B749"/>
  <c r="C749"/>
  <c r="D749"/>
  <c r="F749"/>
  <c r="G749"/>
  <c r="H749"/>
  <c r="I749"/>
  <c r="J749"/>
  <c r="K749"/>
  <c r="L749"/>
  <c r="M749"/>
  <c r="N749"/>
  <c r="A750"/>
  <c r="B750"/>
  <c r="C750"/>
  <c r="D750"/>
  <c r="F750"/>
  <c r="G750"/>
  <c r="H750"/>
  <c r="I750"/>
  <c r="J750"/>
  <c r="K750"/>
  <c r="L750"/>
  <c r="M750"/>
  <c r="N750"/>
  <c r="A751"/>
  <c r="B751"/>
  <c r="C751"/>
  <c r="D751"/>
  <c r="F751"/>
  <c r="G751"/>
  <c r="H751"/>
  <c r="I751"/>
  <c r="J751"/>
  <c r="K751"/>
  <c r="L751"/>
  <c r="M751"/>
  <c r="N751"/>
  <c r="A752"/>
  <c r="B752"/>
  <c r="C752"/>
  <c r="D752"/>
  <c r="F752"/>
  <c r="G752"/>
  <c r="H752"/>
  <c r="I752"/>
  <c r="J752"/>
  <c r="K752"/>
  <c r="L752"/>
  <c r="M752"/>
  <c r="N752"/>
  <c r="A753"/>
  <c r="B753"/>
  <c r="C753"/>
  <c r="D753"/>
  <c r="F753"/>
  <c r="G753"/>
  <c r="H753"/>
  <c r="I753"/>
  <c r="J753"/>
  <c r="K753"/>
  <c r="L753"/>
  <c r="M753"/>
  <c r="N753"/>
  <c r="A754"/>
  <c r="B754"/>
  <c r="C754"/>
  <c r="D754"/>
  <c r="F754"/>
  <c r="G754"/>
  <c r="H754"/>
  <c r="I754"/>
  <c r="J754"/>
  <c r="K754"/>
  <c r="L754"/>
  <c r="M754"/>
  <c r="N754"/>
  <c r="A755"/>
  <c r="B755"/>
  <c r="C755"/>
  <c r="D755"/>
  <c r="F755"/>
  <c r="G755"/>
  <c r="H755"/>
  <c r="I755"/>
  <c r="J755"/>
  <c r="K755"/>
  <c r="L755"/>
  <c r="M755"/>
  <c r="N755"/>
  <c r="A756"/>
  <c r="B756"/>
  <c r="C756"/>
  <c r="D756"/>
  <c r="F756"/>
  <c r="G756"/>
  <c r="H756"/>
  <c r="I756"/>
  <c r="J756"/>
  <c r="K756"/>
  <c r="L756"/>
  <c r="M756"/>
  <c r="N756"/>
  <c r="A757"/>
  <c r="B757"/>
  <c r="C757"/>
  <c r="D757"/>
  <c r="F757"/>
  <c r="G757"/>
  <c r="H757"/>
  <c r="I757"/>
  <c r="J757"/>
  <c r="K757"/>
  <c r="L757"/>
  <c r="M757"/>
  <c r="N757"/>
  <c r="A758"/>
  <c r="B758"/>
  <c r="C758"/>
  <c r="D758"/>
  <c r="F758"/>
  <c r="G758"/>
  <c r="H758"/>
  <c r="I758"/>
  <c r="J758"/>
  <c r="K758"/>
  <c r="L758"/>
  <c r="M758"/>
  <c r="N758"/>
  <c r="A759"/>
  <c r="B759"/>
  <c r="C759"/>
  <c r="D759"/>
  <c r="F759"/>
  <c r="G759"/>
  <c r="H759"/>
  <c r="I759"/>
  <c r="J759"/>
  <c r="K759"/>
  <c r="L759"/>
  <c r="M759"/>
  <c r="N759"/>
  <c r="A760"/>
  <c r="B760"/>
  <c r="C760"/>
  <c r="D760"/>
  <c r="F760"/>
  <c r="G760"/>
  <c r="H760"/>
  <c r="I760"/>
  <c r="J760"/>
  <c r="K760"/>
  <c r="L760"/>
  <c r="M760"/>
  <c r="N760"/>
  <c r="A761"/>
  <c r="B761"/>
  <c r="C761"/>
  <c r="D761"/>
  <c r="F761"/>
  <c r="G761"/>
  <c r="H761"/>
  <c r="I761"/>
  <c r="J761"/>
  <c r="K761"/>
  <c r="L761"/>
  <c r="M761"/>
  <c r="N761"/>
  <c r="A762"/>
  <c r="B762"/>
  <c r="C762"/>
  <c r="D762"/>
  <c r="F762"/>
  <c r="G762"/>
  <c r="H762"/>
  <c r="I762"/>
  <c r="J762"/>
  <c r="K762"/>
  <c r="L762"/>
  <c r="M762"/>
  <c r="N762"/>
  <c r="A763"/>
  <c r="B763"/>
  <c r="C763"/>
  <c r="D763"/>
  <c r="F763"/>
  <c r="G763"/>
  <c r="H763"/>
  <c r="I763"/>
  <c r="J763"/>
  <c r="K763"/>
  <c r="L763"/>
  <c r="M763"/>
  <c r="N763"/>
  <c r="A764"/>
  <c r="B764"/>
  <c r="C764"/>
  <c r="D764"/>
  <c r="F764"/>
  <c r="G764"/>
  <c r="H764"/>
  <c r="I764"/>
  <c r="J764"/>
  <c r="K764"/>
  <c r="L764"/>
  <c r="M764"/>
  <c r="N764"/>
  <c r="A765"/>
  <c r="B765"/>
  <c r="C765"/>
  <c r="D765"/>
  <c r="F765"/>
  <c r="G765"/>
  <c r="H765"/>
  <c r="I765"/>
  <c r="J765"/>
  <c r="K765"/>
  <c r="L765"/>
  <c r="M765"/>
  <c r="N765"/>
  <c r="A766"/>
  <c r="B766"/>
  <c r="C766"/>
  <c r="D766"/>
  <c r="F766"/>
  <c r="G766"/>
  <c r="H766"/>
  <c r="I766"/>
  <c r="J766"/>
  <c r="K766"/>
  <c r="L766"/>
  <c r="M766"/>
  <c r="N766"/>
  <c r="A767"/>
  <c r="B767"/>
  <c r="C767"/>
  <c r="D767"/>
  <c r="F767"/>
  <c r="G767"/>
  <c r="H767"/>
  <c r="I767"/>
  <c r="J767"/>
  <c r="K767"/>
  <c r="L767"/>
  <c r="M767"/>
  <c r="N767"/>
  <c r="A768"/>
  <c r="B768"/>
  <c r="C768"/>
  <c r="D768"/>
  <c r="F768"/>
  <c r="G768"/>
  <c r="H768"/>
  <c r="I768"/>
  <c r="J768"/>
  <c r="K768"/>
  <c r="L768"/>
  <c r="M768"/>
  <c r="N768"/>
  <c r="A769"/>
  <c r="B769"/>
  <c r="C769"/>
  <c r="D769"/>
  <c r="F769"/>
  <c r="G769"/>
  <c r="H769"/>
  <c r="I769"/>
  <c r="J769"/>
  <c r="K769"/>
  <c r="L769"/>
  <c r="M769"/>
  <c r="N769"/>
  <c r="A770"/>
  <c r="B770"/>
  <c r="C770"/>
  <c r="D770"/>
  <c r="F770"/>
  <c r="G770"/>
  <c r="H770"/>
  <c r="I770"/>
  <c r="J770"/>
  <c r="K770"/>
  <c r="L770"/>
  <c r="M770"/>
  <c r="N770"/>
  <c r="A771"/>
  <c r="B771"/>
  <c r="C771"/>
  <c r="D771"/>
  <c r="F771"/>
  <c r="G771"/>
  <c r="H771"/>
  <c r="I771"/>
  <c r="J771"/>
  <c r="K771"/>
  <c r="L771"/>
  <c r="M771"/>
  <c r="N771"/>
  <c r="A772"/>
  <c r="B772"/>
  <c r="C772"/>
  <c r="D772"/>
  <c r="F772"/>
  <c r="G772"/>
  <c r="H772"/>
  <c r="I772"/>
  <c r="J772"/>
  <c r="K772"/>
  <c r="L772"/>
  <c r="M772"/>
  <c r="N772"/>
  <c r="A773"/>
  <c r="B773"/>
  <c r="C773"/>
  <c r="D773"/>
  <c r="F773"/>
  <c r="G773"/>
  <c r="H773"/>
  <c r="I773"/>
  <c r="J773"/>
  <c r="K773"/>
  <c r="L773"/>
  <c r="M773"/>
  <c r="N773"/>
  <c r="A774"/>
  <c r="B774"/>
  <c r="C774"/>
  <c r="D774"/>
  <c r="F774"/>
  <c r="G774"/>
  <c r="H774"/>
  <c r="I774"/>
  <c r="J774"/>
  <c r="K774"/>
  <c r="L774"/>
  <c r="M774"/>
  <c r="N774"/>
  <c r="A775"/>
  <c r="B775"/>
  <c r="C775"/>
  <c r="D775"/>
  <c r="F775"/>
  <c r="G775"/>
  <c r="H775"/>
  <c r="I775"/>
  <c r="J775"/>
  <c r="K775"/>
  <c r="L775"/>
  <c r="M775"/>
  <c r="N775"/>
  <c r="A776"/>
  <c r="B776"/>
  <c r="C776"/>
  <c r="D776"/>
  <c r="F776"/>
  <c r="G776"/>
  <c r="H776"/>
  <c r="I776"/>
  <c r="J776"/>
  <c r="K776"/>
  <c r="L776"/>
  <c r="M776"/>
  <c r="N776"/>
  <c r="A777"/>
  <c r="B777"/>
  <c r="C777"/>
  <c r="D777"/>
  <c r="F777"/>
  <c r="G777"/>
  <c r="H777"/>
  <c r="I777"/>
  <c r="J777"/>
  <c r="K777"/>
  <c r="L777"/>
  <c r="M777"/>
  <c r="N777"/>
  <c r="A778"/>
  <c r="B778"/>
  <c r="C778"/>
  <c r="D778"/>
  <c r="F778"/>
  <c r="G778"/>
  <c r="H778"/>
  <c r="I778"/>
  <c r="J778"/>
  <c r="K778"/>
  <c r="L778"/>
  <c r="M778"/>
  <c r="N778"/>
  <c r="A779"/>
  <c r="B779"/>
  <c r="C779"/>
  <c r="D779"/>
  <c r="F779"/>
  <c r="G779"/>
  <c r="H779"/>
  <c r="I779"/>
  <c r="J779"/>
  <c r="K779"/>
  <c r="L779"/>
  <c r="M779"/>
  <c r="N779"/>
  <c r="A780"/>
  <c r="B780"/>
  <c r="C780"/>
  <c r="D780"/>
  <c r="F780"/>
  <c r="G780"/>
  <c r="H780"/>
  <c r="I780"/>
  <c r="J780"/>
  <c r="K780"/>
  <c r="L780"/>
  <c r="M780"/>
  <c r="N780"/>
  <c r="A781"/>
  <c r="B781"/>
  <c r="C781"/>
  <c r="D781"/>
  <c r="F781"/>
  <c r="G781"/>
  <c r="H781"/>
  <c r="I781"/>
  <c r="J781"/>
  <c r="K781"/>
  <c r="L781"/>
  <c r="M781"/>
  <c r="N781"/>
  <c r="A782"/>
  <c r="B782"/>
  <c r="C782"/>
  <c r="D782"/>
  <c r="F782"/>
  <c r="G782"/>
  <c r="H782"/>
  <c r="I782"/>
  <c r="J782"/>
  <c r="K782"/>
  <c r="L782"/>
  <c r="M782"/>
  <c r="N782"/>
  <c r="A783"/>
  <c r="B783"/>
  <c r="C783"/>
  <c r="D783"/>
  <c r="F783"/>
  <c r="G783"/>
  <c r="H783"/>
  <c r="I783"/>
  <c r="J783"/>
  <c r="K783"/>
  <c r="L783"/>
  <c r="M783"/>
  <c r="N783"/>
  <c r="A784"/>
  <c r="B784"/>
  <c r="C784"/>
  <c r="D784"/>
  <c r="F784"/>
  <c r="G784"/>
  <c r="H784"/>
  <c r="I784"/>
  <c r="J784"/>
  <c r="K784"/>
  <c r="L784"/>
  <c r="M784"/>
  <c r="N784"/>
  <c r="A785"/>
  <c r="B785"/>
  <c r="C785"/>
  <c r="D785"/>
  <c r="F785"/>
  <c r="G785"/>
  <c r="H785"/>
  <c r="I785"/>
  <c r="J785"/>
  <c r="K785"/>
  <c r="L785"/>
  <c r="M785"/>
  <c r="N785"/>
  <c r="A786"/>
  <c r="B786"/>
  <c r="C786"/>
  <c r="D786"/>
  <c r="F786"/>
  <c r="G786"/>
  <c r="H786"/>
  <c r="I786"/>
  <c r="J786"/>
  <c r="K786"/>
  <c r="L786"/>
  <c r="M786"/>
  <c r="N786"/>
  <c r="A787"/>
  <c r="B787"/>
  <c r="C787"/>
  <c r="D787"/>
  <c r="F787"/>
  <c r="G787"/>
  <c r="H787"/>
  <c r="I787"/>
  <c r="J787"/>
  <c r="K787"/>
  <c r="L787"/>
  <c r="M787"/>
  <c r="N787"/>
  <c r="A788"/>
  <c r="B788"/>
  <c r="C788"/>
  <c r="D788"/>
  <c r="F788"/>
  <c r="G788"/>
  <c r="H788"/>
  <c r="I788"/>
  <c r="J788"/>
  <c r="K788"/>
  <c r="L788"/>
  <c r="M788"/>
  <c r="N788"/>
  <c r="A789"/>
  <c r="B789"/>
  <c r="C789"/>
  <c r="D789"/>
  <c r="F789"/>
  <c r="G789"/>
  <c r="H789"/>
  <c r="I789"/>
  <c r="J789"/>
  <c r="K789"/>
  <c r="L789"/>
  <c r="M789"/>
  <c r="N789"/>
  <c r="A790"/>
  <c r="B790"/>
  <c r="C790"/>
  <c r="D790"/>
  <c r="F790"/>
  <c r="G790"/>
  <c r="H790"/>
  <c r="I790"/>
  <c r="J790"/>
  <c r="K790"/>
  <c r="L790"/>
  <c r="M790"/>
  <c r="N790"/>
  <c r="A791"/>
  <c r="B791"/>
  <c r="C791"/>
  <c r="D791"/>
  <c r="F791"/>
  <c r="G791"/>
  <c r="H791"/>
  <c r="I791"/>
  <c r="J791"/>
  <c r="K791"/>
  <c r="L791"/>
  <c r="M791"/>
  <c r="N791"/>
  <c r="A792"/>
  <c r="B792"/>
  <c r="C792"/>
  <c r="D792"/>
  <c r="F792"/>
  <c r="G792"/>
  <c r="H792"/>
  <c r="I792"/>
  <c r="J792"/>
  <c r="K792"/>
  <c r="L792"/>
  <c r="M792"/>
  <c r="N792"/>
  <c r="A793"/>
  <c r="B793"/>
  <c r="C793"/>
  <c r="D793"/>
  <c r="F793"/>
  <c r="G793"/>
  <c r="H793"/>
  <c r="I793"/>
  <c r="J793"/>
  <c r="K793"/>
  <c r="L793"/>
  <c r="M793"/>
  <c r="N793"/>
  <c r="A794"/>
  <c r="B794"/>
  <c r="C794"/>
  <c r="D794"/>
  <c r="F794"/>
  <c r="G794"/>
  <c r="H794"/>
  <c r="I794"/>
  <c r="J794"/>
  <c r="K794"/>
  <c r="L794"/>
  <c r="M794"/>
  <c r="N794"/>
  <c r="A795"/>
  <c r="B795"/>
  <c r="C795"/>
  <c r="D795"/>
  <c r="F795"/>
  <c r="G795"/>
  <c r="H795"/>
  <c r="I795"/>
  <c r="J795"/>
  <c r="K795"/>
  <c r="L795"/>
  <c r="M795"/>
  <c r="N795"/>
  <c r="A796"/>
  <c r="B796"/>
  <c r="C796"/>
  <c r="D796"/>
  <c r="F796"/>
  <c r="G796"/>
  <c r="H796"/>
  <c r="I796"/>
  <c r="J796"/>
  <c r="K796"/>
  <c r="L796"/>
  <c r="M796"/>
  <c r="N796"/>
  <c r="A797"/>
  <c r="B797"/>
  <c r="C797"/>
  <c r="D797"/>
  <c r="F797"/>
  <c r="G797"/>
  <c r="H797"/>
  <c r="I797"/>
  <c r="J797"/>
  <c r="K797"/>
  <c r="L797"/>
  <c r="M797"/>
  <c r="N797"/>
  <c r="A798"/>
  <c r="B798"/>
  <c r="C798"/>
  <c r="D798"/>
  <c r="F798"/>
  <c r="G798"/>
  <c r="H798"/>
  <c r="I798"/>
  <c r="J798"/>
  <c r="K798"/>
  <c r="L798"/>
  <c r="M798"/>
  <c r="N798"/>
  <c r="A799"/>
  <c r="B799"/>
  <c r="C799"/>
  <c r="D799"/>
  <c r="F799"/>
  <c r="G799"/>
  <c r="H799"/>
  <c r="I799"/>
  <c r="J799"/>
  <c r="K799"/>
  <c r="L799"/>
  <c r="M799"/>
  <c r="N799"/>
  <c r="A800"/>
  <c r="B800"/>
  <c r="C800"/>
  <c r="D800"/>
  <c r="F800"/>
  <c r="G800"/>
  <c r="H800"/>
  <c r="I800"/>
  <c r="J800"/>
  <c r="K800"/>
  <c r="L800"/>
  <c r="M800"/>
  <c r="N800"/>
  <c r="A801"/>
  <c r="B801"/>
  <c r="C801"/>
  <c r="D801"/>
  <c r="F801"/>
  <c r="G801"/>
  <c r="H801"/>
  <c r="I801"/>
  <c r="J801"/>
  <c r="K801"/>
  <c r="L801"/>
  <c r="M801"/>
  <c r="N801"/>
  <c r="A802"/>
  <c r="B802"/>
  <c r="C802"/>
  <c r="D802"/>
  <c r="F802"/>
  <c r="G802"/>
  <c r="H802"/>
  <c r="I802"/>
  <c r="J802"/>
  <c r="K802"/>
  <c r="L802"/>
  <c r="M802"/>
  <c r="N802"/>
  <c r="A803"/>
  <c r="B803"/>
  <c r="C803"/>
  <c r="D803"/>
  <c r="F803"/>
  <c r="G803"/>
  <c r="H803"/>
  <c r="I803"/>
  <c r="J803"/>
  <c r="K803"/>
  <c r="L803"/>
  <c r="M803"/>
  <c r="N803"/>
  <c r="A804"/>
  <c r="B804"/>
  <c r="C804"/>
  <c r="D804"/>
  <c r="F804"/>
  <c r="G804"/>
  <c r="H804"/>
  <c r="I804"/>
  <c r="J804"/>
  <c r="K804"/>
  <c r="L804"/>
  <c r="M804"/>
  <c r="N804"/>
  <c r="A805"/>
  <c r="B805"/>
  <c r="C805"/>
  <c r="D805"/>
  <c r="F805"/>
  <c r="G805"/>
  <c r="H805"/>
  <c r="I805"/>
  <c r="J805"/>
  <c r="K805"/>
  <c r="L805"/>
  <c r="M805"/>
  <c r="N805"/>
  <c r="A806"/>
  <c r="B806"/>
  <c r="C806"/>
  <c r="D806"/>
  <c r="F806"/>
  <c r="G806"/>
  <c r="H806"/>
  <c r="I806"/>
  <c r="J806"/>
  <c r="K806"/>
  <c r="L806"/>
  <c r="M806"/>
  <c r="N806"/>
  <c r="A807"/>
  <c r="B807"/>
  <c r="C807"/>
  <c r="D807"/>
  <c r="F807"/>
  <c r="G807"/>
  <c r="H807"/>
  <c r="I807"/>
  <c r="J807"/>
  <c r="K807"/>
  <c r="L807"/>
  <c r="M807"/>
  <c r="N807"/>
  <c r="A808"/>
  <c r="B808"/>
  <c r="C808"/>
  <c r="D808"/>
  <c r="F808"/>
  <c r="G808"/>
  <c r="H808"/>
  <c r="I808"/>
  <c r="J808"/>
  <c r="K808"/>
  <c r="L808"/>
  <c r="M808"/>
  <c r="N808"/>
  <c r="A809"/>
  <c r="B809"/>
  <c r="C809"/>
  <c r="D809"/>
  <c r="F809"/>
  <c r="G809"/>
  <c r="H809"/>
  <c r="I809"/>
  <c r="J809"/>
  <c r="K809"/>
  <c r="L809"/>
  <c r="M809"/>
  <c r="N809"/>
  <c r="A810"/>
  <c r="B810"/>
  <c r="C810"/>
  <c r="D810"/>
  <c r="F810"/>
  <c r="G810"/>
  <c r="H810"/>
  <c r="I810"/>
  <c r="J810"/>
  <c r="K810"/>
  <c r="L810"/>
  <c r="M810"/>
  <c r="N810"/>
  <c r="A811"/>
  <c r="B811"/>
  <c r="C811"/>
  <c r="D811"/>
  <c r="F811"/>
  <c r="G811"/>
  <c r="H811"/>
  <c r="I811"/>
  <c r="J811"/>
  <c r="K811"/>
  <c r="L811"/>
  <c r="M811"/>
  <c r="N811"/>
  <c r="A812"/>
  <c r="B812"/>
  <c r="C812"/>
  <c r="D812"/>
  <c r="F812"/>
  <c r="G812"/>
  <c r="H812"/>
  <c r="I812"/>
  <c r="J812"/>
  <c r="K812"/>
  <c r="L812"/>
  <c r="M812"/>
  <c r="N812"/>
  <c r="A813"/>
  <c r="B813"/>
  <c r="C813"/>
  <c r="D813"/>
  <c r="F813"/>
  <c r="G813"/>
  <c r="H813"/>
  <c r="I813"/>
  <c r="J813"/>
  <c r="K813"/>
  <c r="L813"/>
  <c r="M813"/>
  <c r="N813"/>
  <c r="A814"/>
  <c r="B814"/>
  <c r="C814"/>
  <c r="D814"/>
  <c r="F814"/>
  <c r="G814"/>
  <c r="H814"/>
  <c r="I814"/>
  <c r="J814"/>
  <c r="K814"/>
  <c r="L814"/>
  <c r="M814"/>
  <c r="N814"/>
  <c r="A815"/>
  <c r="B815"/>
  <c r="C815"/>
  <c r="D815"/>
  <c r="F815"/>
  <c r="G815"/>
  <c r="H815"/>
  <c r="I815"/>
  <c r="J815"/>
  <c r="K815"/>
  <c r="L815"/>
  <c r="M815"/>
  <c r="N815"/>
  <c r="A816"/>
  <c r="B816"/>
  <c r="C816"/>
  <c r="D816"/>
  <c r="F816"/>
  <c r="G816"/>
  <c r="H816"/>
  <c r="I816"/>
  <c r="J816"/>
  <c r="K816"/>
  <c r="L816"/>
  <c r="M816"/>
  <c r="N816"/>
  <c r="A817"/>
  <c r="B817"/>
  <c r="C817"/>
  <c r="D817"/>
  <c r="F817"/>
  <c r="G817"/>
  <c r="H817"/>
  <c r="I817"/>
  <c r="J817"/>
  <c r="K817"/>
  <c r="L817"/>
  <c r="M817"/>
  <c r="N817"/>
  <c r="A818"/>
  <c r="B818"/>
  <c r="C818"/>
  <c r="D818"/>
  <c r="F818"/>
  <c r="G818"/>
  <c r="H818"/>
  <c r="I818"/>
  <c r="J818"/>
  <c r="K818"/>
  <c r="L818"/>
  <c r="M818"/>
  <c r="N818"/>
  <c r="A819"/>
  <c r="B819"/>
  <c r="C819"/>
  <c r="D819"/>
  <c r="F819"/>
  <c r="G819"/>
  <c r="H819"/>
  <c r="I819"/>
  <c r="J819"/>
  <c r="K819"/>
  <c r="L819"/>
  <c r="M819"/>
  <c r="N819"/>
  <c r="A820"/>
  <c r="B820"/>
  <c r="C820"/>
  <c r="D820"/>
  <c r="F820"/>
  <c r="G820"/>
  <c r="H820"/>
  <c r="I820"/>
  <c r="J820"/>
  <c r="K820"/>
  <c r="L820"/>
  <c r="M820"/>
  <c r="N820"/>
  <c r="A821"/>
  <c r="B821"/>
  <c r="C821"/>
  <c r="D821"/>
  <c r="F821"/>
  <c r="G821"/>
  <c r="H821"/>
  <c r="I821"/>
  <c r="J821"/>
  <c r="K821"/>
  <c r="L821"/>
  <c r="M821"/>
  <c r="N821"/>
  <c r="A822"/>
  <c r="B822"/>
  <c r="C822"/>
  <c r="D822"/>
  <c r="F822"/>
  <c r="G822"/>
  <c r="H822"/>
  <c r="I822"/>
  <c r="J822"/>
  <c r="K822"/>
  <c r="L822"/>
  <c r="M822"/>
  <c r="N822"/>
  <c r="A823"/>
  <c r="B823"/>
  <c r="C823"/>
  <c r="D823"/>
  <c r="F823"/>
  <c r="G823"/>
  <c r="H823"/>
  <c r="I823"/>
  <c r="J823"/>
  <c r="K823"/>
  <c r="L823"/>
  <c r="M823"/>
  <c r="N823"/>
  <c r="A824"/>
  <c r="B824"/>
  <c r="C824"/>
  <c r="D824"/>
  <c r="F824"/>
  <c r="G824"/>
  <c r="H824"/>
  <c r="I824"/>
  <c r="J824"/>
  <c r="K824"/>
  <c r="L824"/>
  <c r="M824"/>
  <c r="N824"/>
  <c r="A825"/>
  <c r="B825"/>
  <c r="C825"/>
  <c r="D825"/>
  <c r="F825"/>
  <c r="G825"/>
  <c r="H825"/>
  <c r="I825"/>
  <c r="J825"/>
  <c r="K825"/>
  <c r="L825"/>
  <c r="M825"/>
  <c r="N825"/>
  <c r="A826"/>
  <c r="B826"/>
  <c r="C826"/>
  <c r="D826"/>
  <c r="F826"/>
  <c r="G826"/>
  <c r="H826"/>
  <c r="I826"/>
  <c r="J826"/>
  <c r="K826"/>
  <c r="L826"/>
  <c r="M826"/>
  <c r="N826"/>
  <c r="A827"/>
  <c r="B827"/>
  <c r="C827"/>
  <c r="D827"/>
  <c r="F827"/>
  <c r="G827"/>
  <c r="H827"/>
  <c r="I827"/>
  <c r="J827"/>
  <c r="K827"/>
  <c r="L827"/>
  <c r="M827"/>
  <c r="N827"/>
  <c r="A828"/>
  <c r="B828"/>
  <c r="C828"/>
  <c r="D828"/>
  <c r="F828"/>
  <c r="G828"/>
  <c r="H828"/>
  <c r="I828"/>
  <c r="J828"/>
  <c r="K828"/>
  <c r="L828"/>
  <c r="M828"/>
  <c r="N828"/>
  <c r="A829"/>
  <c r="B829"/>
  <c r="C829"/>
  <c r="D829"/>
  <c r="F829"/>
  <c r="G829"/>
  <c r="H829"/>
  <c r="I829"/>
  <c r="J829"/>
  <c r="K829"/>
  <c r="L829"/>
  <c r="M829"/>
  <c r="N829"/>
  <c r="A830"/>
  <c r="B830"/>
  <c r="C830"/>
  <c r="D830"/>
  <c r="F830"/>
  <c r="G830"/>
  <c r="H830"/>
  <c r="I830"/>
  <c r="J830"/>
  <c r="K830"/>
  <c r="L830"/>
  <c r="M830"/>
  <c r="N830"/>
  <c r="A831"/>
  <c r="B831"/>
  <c r="C831"/>
  <c r="D831"/>
  <c r="F831"/>
  <c r="G831"/>
  <c r="H831"/>
  <c r="I831"/>
  <c r="J831"/>
  <c r="K831"/>
  <c r="L831"/>
  <c r="M831"/>
  <c r="N831"/>
  <c r="A832"/>
  <c r="B832"/>
  <c r="C832"/>
  <c r="D832"/>
  <c r="F832"/>
  <c r="G832"/>
  <c r="H832"/>
  <c r="I832"/>
  <c r="J832"/>
  <c r="K832"/>
  <c r="L832"/>
  <c r="M832"/>
  <c r="N832"/>
  <c r="A833"/>
  <c r="B833"/>
  <c r="C833"/>
  <c r="D833"/>
  <c r="F833"/>
  <c r="G833"/>
  <c r="H833"/>
  <c r="I833"/>
  <c r="J833"/>
  <c r="K833"/>
  <c r="L833"/>
  <c r="M833"/>
  <c r="N833"/>
  <c r="A834"/>
  <c r="B834"/>
  <c r="C834"/>
  <c r="D834"/>
  <c r="F834"/>
  <c r="G834"/>
  <c r="H834"/>
  <c r="I834"/>
  <c r="J834"/>
  <c r="K834"/>
  <c r="L834"/>
  <c r="M834"/>
  <c r="N834"/>
  <c r="A835"/>
  <c r="B835"/>
  <c r="C835"/>
  <c r="D835"/>
  <c r="F835"/>
  <c r="G835"/>
  <c r="H835"/>
  <c r="I835"/>
  <c r="J835"/>
  <c r="K835"/>
  <c r="L835"/>
  <c r="M835"/>
  <c r="N835"/>
  <c r="A836"/>
  <c r="B836"/>
  <c r="C836"/>
  <c r="D836"/>
  <c r="F836"/>
  <c r="G836"/>
  <c r="H836"/>
  <c r="I836"/>
  <c r="J836"/>
  <c r="K836"/>
  <c r="L836"/>
  <c r="M836"/>
  <c r="N836"/>
  <c r="A837"/>
  <c r="B837"/>
  <c r="C837"/>
  <c r="D837"/>
  <c r="F837"/>
  <c r="G837"/>
  <c r="H837"/>
  <c r="I837"/>
  <c r="J837"/>
  <c r="K837"/>
  <c r="L837"/>
  <c r="M837"/>
  <c r="N837"/>
  <c r="A838"/>
  <c r="B838"/>
  <c r="C838"/>
  <c r="D838"/>
  <c r="F838"/>
  <c r="G838"/>
  <c r="H838"/>
  <c r="I838"/>
  <c r="J838"/>
  <c r="K838"/>
  <c r="L838"/>
  <c r="M838"/>
  <c r="N838"/>
  <c r="A839"/>
  <c r="B839"/>
  <c r="C839"/>
  <c r="D839"/>
  <c r="F839"/>
  <c r="G839"/>
  <c r="H839"/>
  <c r="I839"/>
  <c r="J839"/>
  <c r="K839"/>
  <c r="L839"/>
  <c r="M839"/>
  <c r="N839"/>
  <c r="A840"/>
  <c r="B840"/>
  <c r="C840"/>
  <c r="D840"/>
  <c r="F840"/>
  <c r="G840"/>
  <c r="H840"/>
  <c r="I840"/>
  <c r="J840"/>
  <c r="K840"/>
  <c r="L840"/>
  <c r="M840"/>
  <c r="N840"/>
  <c r="A841"/>
  <c r="B841"/>
  <c r="C841"/>
  <c r="D841"/>
  <c r="F841"/>
  <c r="G841"/>
  <c r="H841"/>
  <c r="I841"/>
  <c r="J841"/>
  <c r="K841"/>
  <c r="L841"/>
  <c r="M841"/>
  <c r="N841"/>
  <c r="A842"/>
  <c r="B842"/>
  <c r="C842"/>
  <c r="D842"/>
  <c r="F842"/>
  <c r="G842"/>
  <c r="H842"/>
  <c r="I842"/>
  <c r="J842"/>
  <c r="K842"/>
  <c r="L842"/>
  <c r="M842"/>
  <c r="N842"/>
  <c r="A843"/>
  <c r="B843"/>
  <c r="C843"/>
  <c r="D843"/>
  <c r="F843"/>
  <c r="G843"/>
  <c r="H843"/>
  <c r="I843"/>
  <c r="J843"/>
  <c r="K843"/>
  <c r="L843"/>
  <c r="M843"/>
  <c r="N843"/>
  <c r="A844"/>
  <c r="B844"/>
  <c r="C844"/>
  <c r="D844"/>
  <c r="F844"/>
  <c r="G844"/>
  <c r="H844"/>
  <c r="I844"/>
  <c r="J844"/>
  <c r="K844"/>
  <c r="L844"/>
  <c r="M844"/>
  <c r="N844"/>
  <c r="A845"/>
  <c r="B845"/>
  <c r="C845"/>
  <c r="D845"/>
  <c r="F845"/>
  <c r="G845"/>
  <c r="H845"/>
  <c r="I845"/>
  <c r="J845"/>
  <c r="K845"/>
  <c r="L845"/>
  <c r="M845"/>
  <c r="N845"/>
  <c r="A846"/>
  <c r="B846"/>
  <c r="C846"/>
  <c r="D846"/>
  <c r="F846"/>
  <c r="G846"/>
  <c r="H846"/>
  <c r="I846"/>
  <c r="J846"/>
  <c r="K846"/>
  <c r="L846"/>
  <c r="M846"/>
  <c r="N846"/>
  <c r="A847"/>
  <c r="B847"/>
  <c r="C847"/>
  <c r="D847"/>
  <c r="F847"/>
  <c r="G847"/>
  <c r="H847"/>
  <c r="I847"/>
  <c r="J847"/>
  <c r="K847"/>
  <c r="L847"/>
  <c r="M847"/>
  <c r="N847"/>
  <c r="A848"/>
  <c r="B848"/>
  <c r="C848"/>
  <c r="D848"/>
  <c r="F848"/>
  <c r="G848"/>
  <c r="H848"/>
  <c r="I848"/>
  <c r="J848"/>
  <c r="K848"/>
  <c r="L848"/>
  <c r="M848"/>
  <c r="N848"/>
  <c r="A849"/>
  <c r="B849"/>
  <c r="C849"/>
  <c r="D849"/>
  <c r="F849"/>
  <c r="G849"/>
  <c r="H849"/>
  <c r="I849"/>
  <c r="J849"/>
  <c r="K849"/>
  <c r="L849"/>
  <c r="M849"/>
  <c r="N849"/>
  <c r="A850"/>
  <c r="B850"/>
  <c r="C850"/>
  <c r="D850"/>
  <c r="F850"/>
  <c r="G850"/>
  <c r="H850"/>
  <c r="I850"/>
  <c r="J850"/>
  <c r="K850"/>
  <c r="L850"/>
  <c r="M850"/>
  <c r="N850"/>
  <c r="A851"/>
  <c r="B851"/>
  <c r="C851"/>
  <c r="D851"/>
  <c r="F851"/>
  <c r="G851"/>
  <c r="H851"/>
  <c r="I851"/>
  <c r="J851"/>
  <c r="K851"/>
  <c r="L851"/>
  <c r="M851"/>
  <c r="N851"/>
  <c r="A852"/>
  <c r="B852"/>
  <c r="C852"/>
  <c r="D852"/>
  <c r="F852"/>
  <c r="G852"/>
  <c r="H852"/>
  <c r="I852"/>
  <c r="J852"/>
  <c r="K852"/>
  <c r="L852"/>
  <c r="M852"/>
  <c r="N852"/>
  <c r="A853"/>
  <c r="B853"/>
  <c r="C853"/>
  <c r="D853"/>
  <c r="F853"/>
  <c r="G853"/>
  <c r="H853"/>
  <c r="I853"/>
  <c r="J853"/>
  <c r="K853"/>
  <c r="L853"/>
  <c r="M853"/>
  <c r="N853"/>
  <c r="A854"/>
  <c r="B854"/>
  <c r="C854"/>
  <c r="D854"/>
  <c r="F854"/>
  <c r="G854"/>
  <c r="H854"/>
  <c r="I854"/>
  <c r="J854"/>
  <c r="K854"/>
  <c r="L854"/>
  <c r="M854"/>
  <c r="N854"/>
  <c r="A855"/>
  <c r="B855"/>
  <c r="C855"/>
  <c r="D855"/>
  <c r="F855"/>
  <c r="G855"/>
  <c r="H855"/>
  <c r="I855"/>
  <c r="J855"/>
  <c r="K855"/>
  <c r="L855"/>
  <c r="M855"/>
  <c r="N855"/>
  <c r="A856"/>
  <c r="B856"/>
  <c r="C856"/>
  <c r="D856"/>
  <c r="F856"/>
  <c r="G856"/>
  <c r="H856"/>
  <c r="I856"/>
  <c r="J856"/>
  <c r="K856"/>
  <c r="L856"/>
  <c r="M856"/>
  <c r="N856"/>
  <c r="A857"/>
  <c r="B857"/>
  <c r="C857"/>
  <c r="D857"/>
  <c r="F857"/>
  <c r="G857"/>
  <c r="H857"/>
  <c r="I857"/>
  <c r="J857"/>
  <c r="K857"/>
  <c r="L857"/>
  <c r="M857"/>
  <c r="N857"/>
  <c r="A858"/>
  <c r="B858"/>
  <c r="C858"/>
  <c r="D858"/>
  <c r="F858"/>
  <c r="G858"/>
  <c r="H858"/>
  <c r="I858"/>
  <c r="J858"/>
  <c r="K858"/>
  <c r="L858"/>
  <c r="M858"/>
  <c r="N858"/>
  <c r="A859"/>
  <c r="B859"/>
  <c r="C859"/>
  <c r="D859"/>
  <c r="F859"/>
  <c r="G859"/>
  <c r="H859"/>
  <c r="I859"/>
  <c r="J859"/>
  <c r="K859"/>
  <c r="L859"/>
  <c r="M859"/>
  <c r="N859"/>
  <c r="A860"/>
  <c r="B860"/>
  <c r="C860"/>
  <c r="D860"/>
  <c r="F860"/>
  <c r="G860"/>
  <c r="H860"/>
  <c r="I860"/>
  <c r="J860"/>
  <c r="K860"/>
  <c r="L860"/>
  <c r="M860"/>
  <c r="N860"/>
  <c r="A861"/>
  <c r="B861"/>
  <c r="C861"/>
  <c r="D861"/>
  <c r="F861"/>
  <c r="G861"/>
  <c r="H861"/>
  <c r="I861"/>
  <c r="J861"/>
  <c r="K861"/>
  <c r="L861"/>
  <c r="M861"/>
  <c r="N861"/>
  <c r="A862"/>
  <c r="B862"/>
  <c r="C862"/>
  <c r="D862"/>
  <c r="F862"/>
  <c r="G862"/>
  <c r="H862"/>
  <c r="I862"/>
  <c r="J862"/>
  <c r="K862"/>
  <c r="L862"/>
  <c r="M862"/>
  <c r="N862"/>
  <c r="A863"/>
  <c r="B863"/>
  <c r="C863"/>
  <c r="D863"/>
  <c r="F863"/>
  <c r="G863"/>
  <c r="H863"/>
  <c r="I863"/>
  <c r="J863"/>
  <c r="K863"/>
  <c r="L863"/>
  <c r="M863"/>
  <c r="N863"/>
  <c r="A864"/>
  <c r="B864"/>
  <c r="C864"/>
  <c r="D864"/>
  <c r="F864"/>
  <c r="G864"/>
  <c r="H864"/>
  <c r="I864"/>
  <c r="J864"/>
  <c r="K864"/>
  <c r="L864"/>
  <c r="M864"/>
  <c r="N864"/>
  <c r="A865"/>
  <c r="B865"/>
  <c r="C865"/>
  <c r="D865"/>
  <c r="F865"/>
  <c r="G865"/>
  <c r="H865"/>
  <c r="I865"/>
  <c r="J865"/>
  <c r="K865"/>
  <c r="L865"/>
  <c r="M865"/>
  <c r="N865"/>
  <c r="A866"/>
  <c r="B866"/>
  <c r="C866"/>
  <c r="D866"/>
  <c r="F866"/>
  <c r="G866"/>
  <c r="H866"/>
  <c r="I866"/>
  <c r="J866"/>
  <c r="K866"/>
  <c r="L866"/>
  <c r="M866"/>
  <c r="N866"/>
  <c r="A867"/>
  <c r="B867"/>
  <c r="C867"/>
  <c r="D867"/>
  <c r="F867"/>
  <c r="G867"/>
  <c r="H867"/>
  <c r="I867"/>
  <c r="J867"/>
  <c r="K867"/>
  <c r="L867"/>
  <c r="M867"/>
  <c r="N867"/>
  <c r="A868"/>
  <c r="B868"/>
  <c r="C868"/>
  <c r="D868"/>
  <c r="F868"/>
  <c r="G868"/>
  <c r="H868"/>
  <c r="I868"/>
  <c r="J868"/>
  <c r="K868"/>
  <c r="L868"/>
  <c r="M868"/>
  <c r="N868"/>
  <c r="A869"/>
  <c r="B869"/>
  <c r="C869"/>
  <c r="D869"/>
  <c r="F869"/>
  <c r="G869"/>
  <c r="H869"/>
  <c r="I869"/>
  <c r="J869"/>
  <c r="K869"/>
  <c r="L869"/>
  <c r="M869"/>
  <c r="N869"/>
  <c r="A870"/>
  <c r="B870"/>
  <c r="C870"/>
  <c r="D870"/>
  <c r="F870"/>
  <c r="G870"/>
  <c r="H870"/>
  <c r="I870"/>
  <c r="J870"/>
  <c r="K870"/>
  <c r="L870"/>
  <c r="M870"/>
  <c r="N870"/>
  <c r="A871"/>
  <c r="B871"/>
  <c r="C871"/>
  <c r="D871"/>
  <c r="F871"/>
  <c r="G871"/>
  <c r="H871"/>
  <c r="I871"/>
  <c r="J871"/>
  <c r="K871"/>
  <c r="L871"/>
  <c r="M871"/>
  <c r="N871"/>
  <c r="A872"/>
  <c r="B872"/>
  <c r="C872"/>
  <c r="D872"/>
  <c r="F872"/>
  <c r="G872"/>
  <c r="H872"/>
  <c r="I872"/>
  <c r="J872"/>
  <c r="K872"/>
  <c r="L872"/>
  <c r="M872"/>
  <c r="N872"/>
  <c r="A873"/>
  <c r="B873"/>
  <c r="C873"/>
  <c r="D873"/>
  <c r="F873"/>
  <c r="G873"/>
  <c r="H873"/>
  <c r="I873"/>
  <c r="J873"/>
  <c r="K873"/>
  <c r="L873"/>
  <c r="M873"/>
  <c r="N873"/>
  <c r="A874"/>
  <c r="B874"/>
  <c r="C874"/>
  <c r="D874"/>
  <c r="F874"/>
  <c r="G874"/>
  <c r="H874"/>
  <c r="I874"/>
  <c r="J874"/>
  <c r="K874"/>
  <c r="L874"/>
  <c r="M874"/>
  <c r="N874"/>
  <c r="A875"/>
  <c r="B875"/>
  <c r="C875"/>
  <c r="D875"/>
  <c r="F875"/>
  <c r="G875"/>
  <c r="H875"/>
  <c r="I875"/>
  <c r="J875"/>
  <c r="K875"/>
  <c r="L875"/>
  <c r="M875"/>
  <c r="N875"/>
  <c r="A876"/>
  <c r="B876"/>
  <c r="C876"/>
  <c r="D876"/>
  <c r="F876"/>
  <c r="G876"/>
  <c r="H876"/>
  <c r="I876"/>
  <c r="J876"/>
  <c r="K876"/>
  <c r="L876"/>
  <c r="M876"/>
  <c r="N876"/>
  <c r="A877"/>
  <c r="B877"/>
  <c r="C877"/>
  <c r="D877"/>
  <c r="F877"/>
  <c r="G877"/>
  <c r="H877"/>
  <c r="I877"/>
  <c r="J877"/>
  <c r="K877"/>
  <c r="L877"/>
  <c r="M877"/>
  <c r="N877"/>
  <c r="A878"/>
  <c r="B878"/>
  <c r="C878"/>
  <c r="D878"/>
  <c r="F878"/>
  <c r="G878"/>
  <c r="H878"/>
  <c r="I878"/>
  <c r="J878"/>
  <c r="K878"/>
  <c r="L878"/>
  <c r="M878"/>
  <c r="N878"/>
  <c r="A879"/>
  <c r="B879"/>
  <c r="C879"/>
  <c r="D879"/>
  <c r="F879"/>
  <c r="G879"/>
  <c r="H879"/>
  <c r="I879"/>
  <c r="J879"/>
  <c r="K879"/>
  <c r="L879"/>
  <c r="M879"/>
  <c r="N879"/>
  <c r="A880"/>
  <c r="B880"/>
  <c r="C880"/>
  <c r="D880"/>
  <c r="F880"/>
  <c r="G880"/>
  <c r="H880"/>
  <c r="I880"/>
  <c r="J880"/>
  <c r="K880"/>
  <c r="L880"/>
  <c r="M880"/>
  <c r="N880"/>
  <c r="A881"/>
  <c r="B881"/>
  <c r="C881"/>
  <c r="D881"/>
  <c r="F881"/>
  <c r="G881"/>
  <c r="H881"/>
  <c r="I881"/>
  <c r="J881"/>
  <c r="K881"/>
  <c r="L881"/>
  <c r="M881"/>
  <c r="N881"/>
  <c r="A882"/>
  <c r="B882"/>
  <c r="C882"/>
  <c r="D882"/>
  <c r="F882"/>
  <c r="G882"/>
  <c r="H882"/>
  <c r="I882"/>
  <c r="J882"/>
  <c r="K882"/>
  <c r="L882"/>
  <c r="M882"/>
  <c r="N882"/>
  <c r="A883"/>
  <c r="B883"/>
  <c r="C883"/>
  <c r="D883"/>
  <c r="F883"/>
  <c r="G883"/>
  <c r="H883"/>
  <c r="I883"/>
  <c r="J883"/>
  <c r="K883"/>
  <c r="L883"/>
  <c r="M883"/>
  <c r="N883"/>
  <c r="A884"/>
  <c r="B884"/>
  <c r="C884"/>
  <c r="D884"/>
  <c r="F884"/>
  <c r="G884"/>
  <c r="H884"/>
  <c r="I884"/>
  <c r="J884"/>
  <c r="K884"/>
  <c r="L884"/>
  <c r="M884"/>
  <c r="N884"/>
  <c r="A885"/>
  <c r="B885"/>
  <c r="C885"/>
  <c r="D885"/>
  <c r="F885"/>
  <c r="G885"/>
  <c r="H885"/>
  <c r="I885"/>
  <c r="J885"/>
  <c r="K885"/>
  <c r="L885"/>
  <c r="M885"/>
  <c r="N885"/>
  <c r="A886"/>
  <c r="B886"/>
  <c r="C886"/>
  <c r="D886"/>
  <c r="F886"/>
  <c r="G886"/>
  <c r="H886"/>
  <c r="I886"/>
  <c r="J886"/>
  <c r="K886"/>
  <c r="L886"/>
  <c r="M886"/>
  <c r="N886"/>
  <c r="A887"/>
  <c r="B887"/>
  <c r="C887"/>
  <c r="D887"/>
  <c r="F887"/>
  <c r="G887"/>
  <c r="H887"/>
  <c r="I887"/>
  <c r="J887"/>
  <c r="K887"/>
  <c r="L887"/>
  <c r="M887"/>
  <c r="N887"/>
  <c r="A888"/>
  <c r="B888"/>
  <c r="C888"/>
  <c r="D888"/>
  <c r="F888"/>
  <c r="G888"/>
  <c r="H888"/>
  <c r="I888"/>
  <c r="J888"/>
  <c r="K888"/>
  <c r="L888"/>
  <c r="M888"/>
  <c r="N888"/>
  <c r="A889"/>
  <c r="B889"/>
  <c r="C889"/>
  <c r="D889"/>
  <c r="F889"/>
  <c r="G889"/>
  <c r="H889"/>
  <c r="I889"/>
  <c r="J889"/>
  <c r="K889"/>
  <c r="L889"/>
  <c r="M889"/>
  <c r="N889"/>
  <c r="A890"/>
  <c r="B890"/>
  <c r="C890"/>
  <c r="D890"/>
  <c r="F890"/>
  <c r="G890"/>
  <c r="H890"/>
  <c r="I890"/>
  <c r="J890"/>
  <c r="K890"/>
  <c r="L890"/>
  <c r="M890"/>
  <c r="N890"/>
  <c r="A891"/>
  <c r="B891"/>
  <c r="C891"/>
  <c r="D891"/>
  <c r="F891"/>
  <c r="G891"/>
  <c r="H891"/>
  <c r="I891"/>
  <c r="J891"/>
  <c r="K891"/>
  <c r="L891"/>
  <c r="M891"/>
  <c r="N891"/>
  <c r="A892"/>
  <c r="B892"/>
  <c r="C892"/>
  <c r="D892"/>
  <c r="F892"/>
  <c r="G892"/>
  <c r="H892"/>
  <c r="I892"/>
  <c r="J892"/>
  <c r="K892"/>
  <c r="L892"/>
  <c r="M892"/>
  <c r="N892"/>
  <c r="A893"/>
  <c r="B893"/>
  <c r="C893"/>
  <c r="D893"/>
  <c r="F893"/>
  <c r="G893"/>
  <c r="H893"/>
  <c r="I893"/>
  <c r="J893"/>
  <c r="K893"/>
  <c r="L893"/>
  <c r="M893"/>
  <c r="N893"/>
  <c r="A894"/>
  <c r="B894"/>
  <c r="C894"/>
  <c r="D894"/>
  <c r="F894"/>
  <c r="G894"/>
  <c r="H894"/>
  <c r="I894"/>
  <c r="J894"/>
  <c r="K894"/>
  <c r="L894"/>
  <c r="M894"/>
  <c r="N894"/>
  <c r="A895"/>
  <c r="B895"/>
  <c r="C895"/>
  <c r="D895"/>
  <c r="F895"/>
  <c r="G895"/>
  <c r="H895"/>
  <c r="I895"/>
  <c r="J895"/>
  <c r="K895"/>
  <c r="L895"/>
  <c r="M895"/>
  <c r="N895"/>
  <c r="A896"/>
  <c r="B896"/>
  <c r="C896"/>
  <c r="D896"/>
  <c r="F896"/>
  <c r="G896"/>
  <c r="H896"/>
  <c r="I896"/>
  <c r="J896"/>
  <c r="K896"/>
  <c r="L896"/>
  <c r="M896"/>
  <c r="N896"/>
  <c r="A897"/>
  <c r="B897"/>
  <c r="C897"/>
  <c r="D897"/>
  <c r="F897"/>
  <c r="G897"/>
  <c r="H897"/>
  <c r="I897"/>
  <c r="J897"/>
  <c r="K897"/>
  <c r="L897"/>
  <c r="M897"/>
  <c r="N897"/>
  <c r="A898"/>
  <c r="B898"/>
  <c r="C898"/>
  <c r="D898"/>
  <c r="F898"/>
  <c r="G898"/>
  <c r="H898"/>
  <c r="I898"/>
  <c r="J898"/>
  <c r="K898"/>
  <c r="L898"/>
  <c r="M898"/>
  <c r="N898"/>
  <c r="A899"/>
  <c r="B899"/>
  <c r="C899"/>
  <c r="D899"/>
  <c r="F899"/>
  <c r="G899"/>
  <c r="H899"/>
  <c r="I899"/>
  <c r="J899"/>
  <c r="K899"/>
  <c r="L899"/>
  <c r="M899"/>
  <c r="N899"/>
  <c r="A900"/>
  <c r="B900"/>
  <c r="C900"/>
  <c r="D900"/>
  <c r="F900"/>
  <c r="G900"/>
  <c r="H900"/>
  <c r="I900"/>
  <c r="J900"/>
  <c r="K900"/>
  <c r="L900"/>
  <c r="M900"/>
  <c r="N900"/>
  <c r="A901"/>
  <c r="B901"/>
  <c r="C901"/>
  <c r="D901"/>
  <c r="F901"/>
  <c r="G901"/>
  <c r="H901"/>
  <c r="I901"/>
  <c r="J901"/>
  <c r="K901"/>
  <c r="L901"/>
  <c r="M901"/>
  <c r="N901"/>
  <c r="A902"/>
  <c r="B902"/>
  <c r="C902"/>
  <c r="D902"/>
  <c r="F902"/>
  <c r="G902"/>
  <c r="H902"/>
  <c r="I902"/>
  <c r="J902"/>
  <c r="K902"/>
  <c r="L902"/>
  <c r="M902"/>
  <c r="N902"/>
  <c r="A903"/>
  <c r="B903"/>
  <c r="C903"/>
  <c r="D903"/>
  <c r="F903"/>
  <c r="G903"/>
  <c r="H903"/>
  <c r="I903"/>
  <c r="J903"/>
  <c r="K903"/>
  <c r="L903"/>
  <c r="M903"/>
  <c r="N903"/>
  <c r="A904"/>
  <c r="B904"/>
  <c r="C904"/>
  <c r="D904"/>
  <c r="F904"/>
  <c r="G904"/>
  <c r="H904"/>
  <c r="I904"/>
  <c r="J904"/>
  <c r="K904"/>
  <c r="L904"/>
  <c r="M904"/>
  <c r="N904"/>
  <c r="A905"/>
  <c r="B905"/>
  <c r="C905"/>
  <c r="D905"/>
  <c r="F905"/>
  <c r="G905"/>
  <c r="H905"/>
  <c r="I905"/>
  <c r="J905"/>
  <c r="K905"/>
  <c r="L905"/>
  <c r="M905"/>
  <c r="N905"/>
  <c r="A906"/>
  <c r="B906"/>
  <c r="C906"/>
  <c r="D906"/>
  <c r="F906"/>
  <c r="G906"/>
  <c r="H906"/>
  <c r="I906"/>
  <c r="J906"/>
  <c r="K906"/>
  <c r="L906"/>
  <c r="M906"/>
  <c r="N906"/>
  <c r="A907"/>
  <c r="B907"/>
  <c r="C907"/>
  <c r="D907"/>
  <c r="F907"/>
  <c r="G907"/>
  <c r="H907"/>
  <c r="I907"/>
  <c r="J907"/>
  <c r="K907"/>
  <c r="L907"/>
  <c r="M907"/>
  <c r="N907"/>
  <c r="A908"/>
  <c r="B908"/>
  <c r="C908"/>
  <c r="D908"/>
  <c r="F908"/>
  <c r="G908"/>
  <c r="H908"/>
  <c r="I908"/>
  <c r="J908"/>
  <c r="K908"/>
  <c r="L908"/>
  <c r="M908"/>
  <c r="N908"/>
  <c r="A909"/>
  <c r="B909"/>
  <c r="C909"/>
  <c r="D909"/>
  <c r="F909"/>
  <c r="G909"/>
  <c r="H909"/>
  <c r="I909"/>
  <c r="J909"/>
  <c r="K909"/>
  <c r="L909"/>
  <c r="M909"/>
  <c r="N909"/>
  <c r="A910"/>
  <c r="B910"/>
  <c r="C910"/>
  <c r="D910"/>
  <c r="F910"/>
  <c r="G910"/>
  <c r="H910"/>
  <c r="I910"/>
  <c r="J910"/>
  <c r="K910"/>
  <c r="L910"/>
  <c r="M910"/>
  <c r="N910"/>
  <c r="A911"/>
  <c r="B911"/>
  <c r="C911"/>
  <c r="D911"/>
  <c r="F911"/>
  <c r="G911"/>
  <c r="H911"/>
  <c r="I911"/>
  <c r="J911"/>
  <c r="K911"/>
  <c r="L911"/>
  <c r="M911"/>
  <c r="N911"/>
  <c r="A912"/>
  <c r="B912"/>
  <c r="C912"/>
  <c r="D912"/>
  <c r="F912"/>
  <c r="G912"/>
  <c r="H912"/>
  <c r="I912"/>
  <c r="J912"/>
  <c r="K912"/>
  <c r="L912"/>
  <c r="M912"/>
  <c r="N912"/>
  <c r="A913"/>
  <c r="B913"/>
  <c r="C913"/>
  <c r="D913"/>
  <c r="F913"/>
  <c r="G913"/>
  <c r="H913"/>
  <c r="I913"/>
  <c r="J913"/>
  <c r="K913"/>
  <c r="L913"/>
  <c r="M913"/>
  <c r="N913"/>
  <c r="A914"/>
  <c r="B914"/>
  <c r="C914"/>
  <c r="D914"/>
  <c r="F914"/>
  <c r="G914"/>
  <c r="H914"/>
  <c r="I914"/>
  <c r="J914"/>
  <c r="K914"/>
  <c r="L914"/>
  <c r="M914"/>
  <c r="N914"/>
  <c r="A915"/>
  <c r="B915"/>
  <c r="C915"/>
  <c r="D915"/>
  <c r="F915"/>
  <c r="G915"/>
  <c r="H915"/>
  <c r="I915"/>
  <c r="J915"/>
  <c r="K915"/>
  <c r="L915"/>
  <c r="M915"/>
  <c r="N915"/>
  <c r="A916"/>
  <c r="B916"/>
  <c r="C916"/>
  <c r="D916"/>
  <c r="F916"/>
  <c r="G916"/>
  <c r="H916"/>
  <c r="I916"/>
  <c r="J916"/>
  <c r="K916"/>
  <c r="L916"/>
  <c r="M916"/>
  <c r="N916"/>
  <c r="A917"/>
  <c r="B917"/>
  <c r="C917"/>
  <c r="D917"/>
  <c r="F917"/>
  <c r="G917"/>
  <c r="H917"/>
  <c r="I917"/>
  <c r="J917"/>
  <c r="K917"/>
  <c r="L917"/>
  <c r="M917"/>
  <c r="N917"/>
  <c r="A918"/>
  <c r="B918"/>
  <c r="C918"/>
  <c r="D918"/>
  <c r="F918"/>
  <c r="G918"/>
  <c r="H918"/>
  <c r="I918"/>
  <c r="J918"/>
  <c r="K918"/>
  <c r="L918"/>
  <c r="M918"/>
  <c r="N918"/>
  <c r="A919"/>
  <c r="B919"/>
  <c r="C919"/>
  <c r="D919"/>
  <c r="F919"/>
  <c r="G919"/>
  <c r="H919"/>
  <c r="I919"/>
  <c r="J919"/>
  <c r="K919"/>
  <c r="L919"/>
  <c r="M919"/>
  <c r="N919"/>
  <c r="A920"/>
  <c r="B920"/>
  <c r="C920"/>
  <c r="D920"/>
  <c r="F920"/>
  <c r="G920"/>
  <c r="H920"/>
  <c r="I920"/>
  <c r="J920"/>
  <c r="K920"/>
  <c r="L920"/>
  <c r="M920"/>
  <c r="N920"/>
  <c r="A921"/>
  <c r="B921"/>
  <c r="C921"/>
  <c r="D921"/>
  <c r="F921"/>
  <c r="G921"/>
  <c r="H921"/>
  <c r="I921"/>
  <c r="J921"/>
  <c r="K921"/>
  <c r="L921"/>
  <c r="M921"/>
  <c r="N921"/>
  <c r="A922"/>
  <c r="B922"/>
  <c r="C922"/>
  <c r="D922"/>
  <c r="F922"/>
  <c r="G922"/>
  <c r="H922"/>
  <c r="I922"/>
  <c r="J922"/>
  <c r="K922"/>
  <c r="L922"/>
  <c r="M922"/>
  <c r="N922"/>
  <c r="A923"/>
  <c r="B923"/>
  <c r="C923"/>
  <c r="D923"/>
  <c r="F923"/>
  <c r="G923"/>
  <c r="H923"/>
  <c r="I923"/>
  <c r="J923"/>
  <c r="K923"/>
  <c r="L923"/>
  <c r="M923"/>
  <c r="N923"/>
  <c r="A924"/>
  <c r="B924"/>
  <c r="C924"/>
  <c r="D924"/>
  <c r="F924"/>
  <c r="G924"/>
  <c r="H924"/>
  <c r="I924"/>
  <c r="J924"/>
  <c r="K924"/>
  <c r="L924"/>
  <c r="M924"/>
  <c r="N924"/>
  <c r="A925"/>
  <c r="B925"/>
  <c r="C925"/>
  <c r="D925"/>
  <c r="F925"/>
  <c r="G925"/>
  <c r="H925"/>
  <c r="I925"/>
  <c r="J925"/>
  <c r="K925"/>
  <c r="L925"/>
  <c r="M925"/>
  <c r="N925"/>
  <c r="A926"/>
  <c r="B926"/>
  <c r="C926"/>
  <c r="D926"/>
  <c r="F926"/>
  <c r="G926"/>
  <c r="H926"/>
  <c r="I926"/>
  <c r="J926"/>
  <c r="K926"/>
  <c r="L926"/>
  <c r="M926"/>
  <c r="N926"/>
  <c r="A927"/>
  <c r="B927"/>
  <c r="C927"/>
  <c r="D927"/>
  <c r="F927"/>
  <c r="G927"/>
  <c r="H927"/>
  <c r="I927"/>
  <c r="J927"/>
  <c r="K927"/>
  <c r="L927"/>
  <c r="M927"/>
  <c r="N927"/>
  <c r="A928"/>
  <c r="B928"/>
  <c r="C928"/>
  <c r="D928"/>
  <c r="F928"/>
  <c r="G928"/>
  <c r="H928"/>
  <c r="I928"/>
  <c r="J928"/>
  <c r="K928"/>
  <c r="L928"/>
  <c r="M928"/>
  <c r="N928"/>
  <c r="A929"/>
  <c r="B929"/>
  <c r="C929"/>
  <c r="D929"/>
  <c r="F929"/>
  <c r="G929"/>
  <c r="H929"/>
  <c r="I929"/>
  <c r="J929"/>
  <c r="K929"/>
  <c r="L929"/>
  <c r="M929"/>
  <c r="N929"/>
  <c r="A930"/>
  <c r="B930"/>
  <c r="C930"/>
  <c r="D930"/>
  <c r="F930"/>
  <c r="G930"/>
  <c r="H930"/>
  <c r="I930"/>
  <c r="J930"/>
  <c r="K930"/>
  <c r="L930"/>
  <c r="M930"/>
  <c r="N930"/>
  <c r="A931"/>
  <c r="B931"/>
  <c r="C931"/>
  <c r="D931"/>
  <c r="F931"/>
  <c r="G931"/>
  <c r="H931"/>
  <c r="I931"/>
  <c r="J931"/>
  <c r="K931"/>
  <c r="L931"/>
  <c r="M931"/>
  <c r="N931"/>
  <c r="A932"/>
  <c r="B932"/>
  <c r="C932"/>
  <c r="D932"/>
  <c r="F932"/>
  <c r="G932"/>
  <c r="H932"/>
  <c r="I932"/>
  <c r="J932"/>
  <c r="K932"/>
  <c r="L932"/>
  <c r="M932"/>
  <c r="N932"/>
  <c r="A933"/>
  <c r="B933"/>
  <c r="C933"/>
  <c r="D933"/>
  <c r="F933"/>
  <c r="G933"/>
  <c r="H933"/>
  <c r="I933"/>
  <c r="J933"/>
  <c r="K933"/>
  <c r="L933"/>
  <c r="M933"/>
  <c r="N933"/>
  <c r="A934"/>
  <c r="B934"/>
  <c r="C934"/>
  <c r="D934"/>
  <c r="F934"/>
  <c r="G934"/>
  <c r="H934"/>
  <c r="I934"/>
  <c r="J934"/>
  <c r="K934"/>
  <c r="L934"/>
  <c r="M934"/>
  <c r="N934"/>
  <c r="A935"/>
  <c r="B935"/>
  <c r="C935"/>
  <c r="D935"/>
  <c r="F935"/>
  <c r="G935"/>
  <c r="H935"/>
  <c r="I935"/>
  <c r="J935"/>
  <c r="K935"/>
  <c r="L935"/>
  <c r="M935"/>
  <c r="N935"/>
  <c r="A936"/>
  <c r="B936"/>
  <c r="C936"/>
  <c r="D936"/>
  <c r="F936"/>
  <c r="G936"/>
  <c r="H936"/>
  <c r="I936"/>
  <c r="J936"/>
  <c r="K936"/>
  <c r="L936"/>
  <c r="M936"/>
  <c r="N936"/>
  <c r="A937"/>
  <c r="B937"/>
  <c r="C937"/>
  <c r="D937"/>
  <c r="F937"/>
  <c r="G937"/>
  <c r="H937"/>
  <c r="I937"/>
  <c r="J937"/>
  <c r="K937"/>
  <c r="L937"/>
  <c r="M937"/>
  <c r="N937"/>
  <c r="A938"/>
  <c r="B938"/>
  <c r="C938"/>
  <c r="D938"/>
  <c r="F938"/>
  <c r="G938"/>
  <c r="H938"/>
  <c r="I938"/>
  <c r="J938"/>
  <c r="K938"/>
  <c r="L938"/>
  <c r="M938"/>
  <c r="N938"/>
  <c r="A939"/>
  <c r="B939"/>
  <c r="C939"/>
  <c r="D939"/>
  <c r="F939"/>
  <c r="G939"/>
  <c r="H939"/>
  <c r="I939"/>
  <c r="J939"/>
  <c r="K939"/>
  <c r="L939"/>
  <c r="M939"/>
  <c r="N939"/>
  <c r="A940"/>
  <c r="B940"/>
  <c r="C940"/>
  <c r="D940"/>
  <c r="F940"/>
  <c r="G940"/>
  <c r="H940"/>
  <c r="I940"/>
  <c r="J940"/>
  <c r="K940"/>
  <c r="L940"/>
  <c r="M940"/>
  <c r="N940"/>
  <c r="A941"/>
  <c r="B941"/>
  <c r="C941"/>
  <c r="D941"/>
  <c r="F941"/>
  <c r="G941"/>
  <c r="H941"/>
  <c r="I941"/>
  <c r="J941"/>
  <c r="K941"/>
  <c r="L941"/>
  <c r="M941"/>
  <c r="N941"/>
  <c r="A942"/>
  <c r="B942"/>
  <c r="C942"/>
  <c r="D942"/>
  <c r="F942"/>
  <c r="G942"/>
  <c r="H942"/>
  <c r="I942"/>
  <c r="J942"/>
  <c r="K942"/>
  <c r="L942"/>
  <c r="M942"/>
  <c r="N942"/>
  <c r="A943"/>
  <c r="B943"/>
  <c r="C943"/>
  <c r="D943"/>
  <c r="F943"/>
  <c r="G943"/>
  <c r="H943"/>
  <c r="I943"/>
  <c r="J943"/>
  <c r="K943"/>
  <c r="L943"/>
  <c r="M943"/>
  <c r="N943"/>
  <c r="A944"/>
  <c r="B944"/>
  <c r="C944"/>
  <c r="D944"/>
  <c r="F944"/>
  <c r="G944"/>
  <c r="H944"/>
  <c r="I944"/>
  <c r="J944"/>
  <c r="K944"/>
  <c r="L944"/>
  <c r="M944"/>
  <c r="N944"/>
  <c r="A945"/>
  <c r="B945"/>
  <c r="C945"/>
  <c r="D945"/>
  <c r="F945"/>
  <c r="G945"/>
  <c r="H945"/>
  <c r="I945"/>
  <c r="J945"/>
  <c r="K945"/>
  <c r="L945"/>
  <c r="M945"/>
  <c r="N945"/>
  <c r="A946"/>
  <c r="B946"/>
  <c r="C946"/>
  <c r="D946"/>
  <c r="F946"/>
  <c r="G946"/>
  <c r="H946"/>
  <c r="I946"/>
  <c r="J946"/>
  <c r="K946"/>
  <c r="L946"/>
  <c r="M946"/>
  <c r="N946"/>
  <c r="A947"/>
  <c r="B947"/>
  <c r="C947"/>
  <c r="D947"/>
  <c r="F947"/>
  <c r="G947"/>
  <c r="H947"/>
  <c r="I947"/>
  <c r="J947"/>
  <c r="K947"/>
  <c r="L947"/>
  <c r="M947"/>
  <c r="N947"/>
  <c r="A948"/>
  <c r="B948"/>
  <c r="C948"/>
  <c r="D948"/>
  <c r="F948"/>
  <c r="G948"/>
  <c r="H948"/>
  <c r="I948"/>
  <c r="J948"/>
  <c r="K948"/>
  <c r="L948"/>
  <c r="M948"/>
  <c r="N948"/>
  <c r="A949"/>
  <c r="B949"/>
  <c r="C949"/>
  <c r="D949"/>
  <c r="F949"/>
  <c r="G949"/>
  <c r="H949"/>
  <c r="I949"/>
  <c r="J949"/>
  <c r="K949"/>
  <c r="L949"/>
  <c r="M949"/>
  <c r="N949"/>
  <c r="A950"/>
  <c r="B950"/>
  <c r="C950"/>
  <c r="D950"/>
  <c r="F950"/>
  <c r="G950"/>
  <c r="H950"/>
  <c r="I950"/>
  <c r="J950"/>
  <c r="K950"/>
  <c r="L950"/>
  <c r="M950"/>
  <c r="N950"/>
  <c r="A951"/>
  <c r="B951"/>
  <c r="C951"/>
  <c r="D951"/>
  <c r="F951"/>
  <c r="G951"/>
  <c r="H951"/>
  <c r="I951"/>
  <c r="J951"/>
  <c r="K951"/>
  <c r="L951"/>
  <c r="M951"/>
  <c r="N951"/>
  <c r="A952"/>
  <c r="B952"/>
  <c r="C952"/>
  <c r="D952"/>
  <c r="F952"/>
  <c r="G952"/>
  <c r="H952"/>
  <c r="I952"/>
  <c r="J952"/>
  <c r="K952"/>
  <c r="L952"/>
  <c r="M952"/>
  <c r="N952"/>
  <c r="A953"/>
  <c r="B953"/>
  <c r="C953"/>
  <c r="D953"/>
  <c r="F953"/>
  <c r="G953"/>
  <c r="H953"/>
  <c r="I953"/>
  <c r="J953"/>
  <c r="K953"/>
  <c r="L953"/>
  <c r="M953"/>
  <c r="N953"/>
  <c r="A954"/>
  <c r="B954"/>
  <c r="C954"/>
  <c r="D954"/>
  <c r="F954"/>
  <c r="G954"/>
  <c r="H954"/>
  <c r="I954"/>
  <c r="J954"/>
  <c r="K954"/>
  <c r="L954"/>
  <c r="M954"/>
  <c r="N954"/>
  <c r="A955"/>
  <c r="B955"/>
  <c r="C955"/>
  <c r="D955"/>
  <c r="F955"/>
  <c r="G955"/>
  <c r="H955"/>
  <c r="I955"/>
  <c r="J955"/>
  <c r="K955"/>
  <c r="L955"/>
  <c r="M955"/>
  <c r="N955"/>
  <c r="A956"/>
  <c r="B956"/>
  <c r="C956"/>
  <c r="D956"/>
  <c r="F956"/>
  <c r="G956"/>
  <c r="H956"/>
  <c r="I956"/>
  <c r="J956"/>
  <c r="K956"/>
  <c r="L956"/>
  <c r="M956"/>
  <c r="N956"/>
  <c r="A957"/>
  <c r="B957"/>
  <c r="C957"/>
  <c r="D957"/>
  <c r="F957"/>
  <c r="G957"/>
  <c r="H957"/>
  <c r="I957"/>
  <c r="J957"/>
  <c r="K957"/>
  <c r="L957"/>
  <c r="M957"/>
  <c r="N957"/>
  <c r="A958"/>
  <c r="B958"/>
  <c r="C958"/>
  <c r="D958"/>
  <c r="F958"/>
  <c r="G958"/>
  <c r="H958"/>
  <c r="I958"/>
  <c r="J958"/>
  <c r="K958"/>
  <c r="L958"/>
  <c r="M958"/>
  <c r="N958"/>
  <c r="A959"/>
  <c r="B959"/>
  <c r="C959"/>
  <c r="D959"/>
  <c r="F959"/>
  <c r="G959"/>
  <c r="H959"/>
  <c r="I959"/>
  <c r="J959"/>
  <c r="K959"/>
  <c r="L959"/>
  <c r="M959"/>
  <c r="N959"/>
  <c r="A960"/>
  <c r="B960"/>
  <c r="C960"/>
  <c r="D960"/>
  <c r="F960"/>
  <c r="G960"/>
  <c r="H960"/>
  <c r="I960"/>
  <c r="J960"/>
  <c r="K960"/>
  <c r="L960"/>
  <c r="M960"/>
  <c r="N960"/>
  <c r="A961"/>
  <c r="B961"/>
  <c r="C961"/>
  <c r="D961"/>
  <c r="F961"/>
  <c r="G961"/>
  <c r="H961"/>
  <c r="I961"/>
  <c r="J961"/>
  <c r="K961"/>
  <c r="L961"/>
  <c r="M961"/>
  <c r="N961"/>
  <c r="A962"/>
  <c r="B962"/>
  <c r="C962"/>
  <c r="D962"/>
  <c r="F962"/>
  <c r="G962"/>
  <c r="H962"/>
  <c r="I962"/>
  <c r="J962"/>
  <c r="K962"/>
  <c r="L962"/>
  <c r="M962"/>
  <c r="N962"/>
  <c r="A963"/>
  <c r="B963"/>
  <c r="C963"/>
  <c r="D963"/>
  <c r="F963"/>
  <c r="G963"/>
  <c r="H963"/>
  <c r="I963"/>
  <c r="J963"/>
  <c r="K963"/>
  <c r="L963"/>
  <c r="M963"/>
  <c r="N963"/>
  <c r="A964"/>
  <c r="B964"/>
  <c r="C964"/>
  <c r="D964"/>
  <c r="F964"/>
  <c r="G964"/>
  <c r="H964"/>
  <c r="I964"/>
  <c r="J964"/>
  <c r="K964"/>
  <c r="L964"/>
  <c r="M964"/>
  <c r="N964"/>
  <c r="A965"/>
  <c r="B965"/>
  <c r="C965"/>
  <c r="D965"/>
  <c r="F965"/>
  <c r="G965"/>
  <c r="H965"/>
  <c r="I965"/>
  <c r="J965"/>
  <c r="K965"/>
  <c r="L965"/>
  <c r="M965"/>
  <c r="N965"/>
  <c r="A966"/>
  <c r="B966"/>
  <c r="C966"/>
  <c r="D966"/>
  <c r="F966"/>
  <c r="G966"/>
  <c r="H966"/>
  <c r="I966"/>
  <c r="J966"/>
  <c r="K966"/>
  <c r="L966"/>
  <c r="M966"/>
  <c r="N966"/>
  <c r="A967"/>
  <c r="B967"/>
  <c r="C967"/>
  <c r="D967"/>
  <c r="F967"/>
  <c r="G967"/>
  <c r="H967"/>
  <c r="I967"/>
  <c r="J967"/>
  <c r="K967"/>
  <c r="L967"/>
  <c r="M967"/>
  <c r="N967"/>
  <c r="A968"/>
  <c r="B968"/>
  <c r="C968"/>
  <c r="D968"/>
  <c r="F968"/>
  <c r="G968"/>
  <c r="H968"/>
  <c r="I968"/>
  <c r="J968"/>
  <c r="K968"/>
  <c r="L968"/>
  <c r="M968"/>
  <c r="N968"/>
  <c r="A969"/>
  <c r="B969"/>
  <c r="C969"/>
  <c r="D969"/>
  <c r="F969"/>
  <c r="G969"/>
  <c r="H969"/>
  <c r="I969"/>
  <c r="J969"/>
  <c r="K969"/>
  <c r="L969"/>
  <c r="M969"/>
  <c r="N969"/>
  <c r="A970"/>
  <c r="B970"/>
  <c r="C970"/>
  <c r="D970"/>
  <c r="F970"/>
  <c r="G970"/>
  <c r="H970"/>
  <c r="I970"/>
  <c r="J970"/>
  <c r="K970"/>
  <c r="L970"/>
  <c r="M970"/>
  <c r="N970"/>
  <c r="A971"/>
  <c r="B971"/>
  <c r="C971"/>
  <c r="D971"/>
  <c r="F971"/>
  <c r="G971"/>
  <c r="H971"/>
  <c r="I971"/>
  <c r="J971"/>
  <c r="K971"/>
  <c r="L971"/>
  <c r="M971"/>
  <c r="N971"/>
  <c r="A972"/>
  <c r="B972"/>
  <c r="C972"/>
  <c r="D972"/>
  <c r="F972"/>
  <c r="G972"/>
  <c r="H972"/>
  <c r="I972"/>
  <c r="J972"/>
  <c r="K972"/>
  <c r="L972"/>
  <c r="M972"/>
  <c r="N972"/>
  <c r="A973"/>
  <c r="B973"/>
  <c r="C973"/>
  <c r="D973"/>
  <c r="F973"/>
  <c r="G973"/>
  <c r="H973"/>
  <c r="I973"/>
  <c r="J973"/>
  <c r="K973"/>
  <c r="L973"/>
  <c r="M973"/>
  <c r="N973"/>
  <c r="A974"/>
  <c r="B974"/>
  <c r="C974"/>
  <c r="D974"/>
  <c r="F974"/>
  <c r="G974"/>
  <c r="H974"/>
  <c r="I974"/>
  <c r="J974"/>
  <c r="K974"/>
  <c r="L974"/>
  <c r="M974"/>
  <c r="N974"/>
  <c r="A975"/>
  <c r="B975"/>
  <c r="C975"/>
  <c r="D975"/>
  <c r="F975"/>
  <c r="G975"/>
  <c r="H975"/>
  <c r="I975"/>
  <c r="J975"/>
  <c r="K975"/>
  <c r="L975"/>
  <c r="M975"/>
  <c r="N975"/>
  <c r="A976"/>
  <c r="B976"/>
  <c r="C976"/>
  <c r="D976"/>
  <c r="F976"/>
  <c r="G976"/>
  <c r="H976"/>
  <c r="I976"/>
  <c r="J976"/>
  <c r="K976"/>
  <c r="L976"/>
  <c r="M976"/>
  <c r="N976"/>
  <c r="A977"/>
  <c r="B977"/>
  <c r="C977"/>
  <c r="D977"/>
  <c r="F977"/>
  <c r="G977"/>
  <c r="H977"/>
  <c r="I977"/>
  <c r="J977"/>
  <c r="K977"/>
  <c r="L977"/>
  <c r="M977"/>
  <c r="N977"/>
  <c r="A978"/>
  <c r="B978"/>
  <c r="C978"/>
  <c r="D978"/>
  <c r="F978"/>
  <c r="G978"/>
  <c r="H978"/>
  <c r="I978"/>
  <c r="J978"/>
  <c r="K978"/>
  <c r="L978"/>
  <c r="M978"/>
  <c r="N978"/>
  <c r="A979"/>
  <c r="B979"/>
  <c r="C979"/>
  <c r="D979"/>
  <c r="F979"/>
  <c r="G979"/>
  <c r="H979"/>
  <c r="I979"/>
  <c r="J979"/>
  <c r="K979"/>
  <c r="L979"/>
  <c r="M979"/>
  <c r="N979"/>
  <c r="A980"/>
  <c r="B980"/>
  <c r="C980"/>
  <c r="D980"/>
  <c r="F980"/>
  <c r="G980"/>
  <c r="H980"/>
  <c r="I980"/>
  <c r="J980"/>
  <c r="K980"/>
  <c r="L980"/>
  <c r="M980"/>
  <c r="N980"/>
  <c r="A981"/>
  <c r="B981"/>
  <c r="C981"/>
  <c r="D981"/>
  <c r="F981"/>
  <c r="G981"/>
  <c r="H981"/>
  <c r="I981"/>
  <c r="J981"/>
  <c r="K981"/>
  <c r="L981"/>
  <c r="M981"/>
  <c r="N981"/>
  <c r="A982"/>
  <c r="B982"/>
  <c r="C982"/>
  <c r="D982"/>
  <c r="F982"/>
  <c r="G982"/>
  <c r="H982"/>
  <c r="I982"/>
  <c r="J982"/>
  <c r="K982"/>
  <c r="L982"/>
  <c r="M982"/>
  <c r="N982"/>
  <c r="A983"/>
  <c r="B983"/>
  <c r="C983"/>
  <c r="D983"/>
  <c r="F983"/>
  <c r="G983"/>
  <c r="H983"/>
  <c r="I983"/>
  <c r="J983"/>
  <c r="K983"/>
  <c r="L983"/>
  <c r="M983"/>
  <c r="N983"/>
  <c r="A984"/>
  <c r="B984"/>
  <c r="C984"/>
  <c r="D984"/>
  <c r="F984"/>
  <c r="G984"/>
  <c r="H984"/>
  <c r="I984"/>
  <c r="J984"/>
  <c r="K984"/>
  <c r="L984"/>
  <c r="M984"/>
  <c r="N984"/>
  <c r="A985"/>
  <c r="B985"/>
  <c r="C985"/>
  <c r="D985"/>
  <c r="F985"/>
  <c r="G985"/>
  <c r="H985"/>
  <c r="I985"/>
  <c r="J985"/>
  <c r="K985"/>
  <c r="L985"/>
  <c r="M985"/>
  <c r="N985"/>
  <c r="A986"/>
  <c r="B986"/>
  <c r="C986"/>
  <c r="D986"/>
  <c r="F986"/>
  <c r="G986"/>
  <c r="H986"/>
  <c r="I986"/>
  <c r="J986"/>
  <c r="K986"/>
  <c r="L986"/>
  <c r="M986"/>
  <c r="N986"/>
  <c r="A987"/>
  <c r="B987"/>
  <c r="C987"/>
  <c r="D987"/>
  <c r="F987"/>
  <c r="G987"/>
  <c r="H987"/>
  <c r="I987"/>
  <c r="J987"/>
  <c r="K987"/>
  <c r="L987"/>
  <c r="M987"/>
  <c r="N987"/>
  <c r="A988"/>
  <c r="B988"/>
  <c r="C988"/>
  <c r="D988"/>
  <c r="F988"/>
  <c r="G988"/>
  <c r="H988"/>
  <c r="I988"/>
  <c r="J988"/>
  <c r="K988"/>
  <c r="L988"/>
  <c r="M988"/>
  <c r="N988"/>
  <c r="A989"/>
  <c r="B989"/>
  <c r="C989"/>
  <c r="D989"/>
  <c r="F989"/>
  <c r="G989"/>
  <c r="H989"/>
  <c r="I989"/>
  <c r="J989"/>
  <c r="K989"/>
  <c r="L989"/>
  <c r="M989"/>
  <c r="N989"/>
  <c r="A990"/>
  <c r="B990"/>
  <c r="C990"/>
  <c r="D990"/>
  <c r="F990"/>
  <c r="G990"/>
  <c r="H990"/>
  <c r="I990"/>
  <c r="J990"/>
  <c r="K990"/>
  <c r="L990"/>
  <c r="M990"/>
  <c r="N990"/>
  <c r="A991"/>
  <c r="B991"/>
  <c r="C991"/>
  <c r="D991"/>
  <c r="F991"/>
  <c r="G991"/>
  <c r="H991"/>
  <c r="I991"/>
  <c r="J991"/>
  <c r="K991"/>
  <c r="L991"/>
  <c r="M991"/>
  <c r="N991"/>
  <c r="A992"/>
  <c r="B992"/>
  <c r="C992"/>
  <c r="D992"/>
  <c r="F992"/>
  <c r="G992"/>
  <c r="H992"/>
  <c r="I992"/>
  <c r="J992"/>
  <c r="K992"/>
  <c r="L992"/>
  <c r="M992"/>
  <c r="N992"/>
  <c r="A993"/>
  <c r="B993"/>
  <c r="C993"/>
  <c r="D993"/>
  <c r="F993"/>
  <c r="G993"/>
  <c r="H993"/>
  <c r="I993"/>
  <c r="J993"/>
  <c r="K993"/>
  <c r="L993"/>
  <c r="M993"/>
  <c r="N993"/>
  <c r="A994"/>
  <c r="B994"/>
  <c r="C994"/>
  <c r="D994"/>
  <c r="F994"/>
  <c r="G994"/>
  <c r="H994"/>
  <c r="I994"/>
  <c r="J994"/>
  <c r="K994"/>
  <c r="L994"/>
  <c r="M994"/>
  <c r="N994"/>
  <c r="A995"/>
  <c r="B995"/>
  <c r="C995"/>
  <c r="D995"/>
  <c r="F995"/>
  <c r="G995"/>
  <c r="H995"/>
  <c r="I995"/>
  <c r="J995"/>
  <c r="K995"/>
  <c r="L995"/>
  <c r="M995"/>
  <c r="N995"/>
  <c r="A996"/>
  <c r="B996"/>
  <c r="C996"/>
  <c r="D996"/>
  <c r="F996"/>
  <c r="G996"/>
  <c r="H996"/>
  <c r="I996"/>
  <c r="J996"/>
  <c r="K996"/>
  <c r="L996"/>
  <c r="M996"/>
  <c r="N996"/>
  <c r="A997"/>
  <c r="B997"/>
  <c r="C997"/>
  <c r="D997"/>
  <c r="F997"/>
  <c r="G997"/>
  <c r="H997"/>
  <c r="I997"/>
  <c r="J997"/>
  <c r="K997"/>
  <c r="L997"/>
  <c r="M997"/>
  <c r="N997"/>
  <c r="A998"/>
  <c r="B998"/>
  <c r="C998"/>
  <c r="D998"/>
  <c r="F998"/>
  <c r="G998"/>
  <c r="H998"/>
  <c r="I998"/>
  <c r="J998"/>
  <c r="K998"/>
  <c r="L998"/>
  <c r="M998"/>
  <c r="N998"/>
  <c r="A999"/>
  <c r="B999"/>
  <c r="C999"/>
  <c r="D999"/>
  <c r="F999"/>
  <c r="G999"/>
  <c r="H999"/>
  <c r="I999"/>
  <c r="J999"/>
  <c r="K999"/>
  <c r="L999"/>
  <c r="M999"/>
  <c r="N999"/>
  <c r="A1000"/>
  <c r="B1000"/>
  <c r="C1000"/>
  <c r="D1000"/>
  <c r="F1000"/>
  <c r="G1000"/>
  <c r="H1000"/>
  <c r="I1000"/>
  <c r="J1000"/>
  <c r="K1000"/>
  <c r="L1000"/>
  <c r="M1000"/>
  <c r="N1000"/>
  <c r="A1001"/>
  <c r="B1001"/>
  <c r="C1001"/>
  <c r="D1001"/>
  <c r="F1001"/>
  <c r="G1001"/>
  <c r="H1001"/>
  <c r="I1001"/>
  <c r="J1001"/>
  <c r="K1001"/>
  <c r="L1001"/>
  <c r="M1001"/>
  <c r="N1001"/>
  <c r="A1002"/>
  <c r="B1002"/>
  <c r="C1002"/>
  <c r="D1002"/>
  <c r="F1002"/>
  <c r="G1002"/>
  <c r="H1002"/>
  <c r="I1002"/>
  <c r="J1002"/>
  <c r="K1002"/>
  <c r="L1002"/>
  <c r="M1002"/>
  <c r="N1002"/>
  <c r="A1003"/>
  <c r="B1003"/>
  <c r="C1003"/>
  <c r="D1003"/>
  <c r="F1003"/>
  <c r="G1003"/>
  <c r="H1003"/>
  <c r="I1003"/>
  <c r="J1003"/>
  <c r="K1003"/>
  <c r="L1003"/>
  <c r="M1003"/>
  <c r="N1003"/>
  <c r="A1004"/>
  <c r="B1004"/>
  <c r="C1004"/>
  <c r="D1004"/>
  <c r="F1004"/>
  <c r="G1004"/>
  <c r="H1004"/>
  <c r="I1004"/>
  <c r="J1004"/>
  <c r="K1004"/>
  <c r="L1004"/>
  <c r="M1004"/>
  <c r="N1004"/>
  <c r="A1005"/>
  <c r="B1005"/>
  <c r="C1005"/>
  <c r="D1005"/>
  <c r="F1005"/>
  <c r="G1005"/>
  <c r="H1005"/>
  <c r="I1005"/>
  <c r="J1005"/>
  <c r="K1005"/>
  <c r="L1005"/>
  <c r="M1005"/>
  <c r="N1005"/>
  <c r="A1006"/>
  <c r="B1006"/>
  <c r="C1006"/>
  <c r="D1006"/>
  <c r="F1006"/>
  <c r="G1006"/>
  <c r="H1006"/>
  <c r="I1006"/>
  <c r="J1006"/>
  <c r="K1006"/>
  <c r="L1006"/>
  <c r="M1006"/>
  <c r="N1006"/>
  <c r="A1007"/>
  <c r="B1007"/>
  <c r="C1007"/>
  <c r="D1007"/>
  <c r="F1007"/>
  <c r="G1007"/>
  <c r="H1007"/>
  <c r="I1007"/>
  <c r="J1007"/>
  <c r="K1007"/>
  <c r="L1007"/>
  <c r="M1007"/>
  <c r="N1007"/>
  <c r="A1008"/>
  <c r="B1008"/>
  <c r="C1008"/>
  <c r="D1008"/>
  <c r="F1008"/>
  <c r="G1008"/>
  <c r="H1008"/>
  <c r="I1008"/>
  <c r="J1008"/>
  <c r="K1008"/>
  <c r="L1008"/>
  <c r="M1008"/>
  <c r="N1008"/>
  <c r="A1009"/>
  <c r="B1009"/>
  <c r="C1009"/>
  <c r="D1009"/>
  <c r="F1009"/>
  <c r="G1009"/>
  <c r="H1009"/>
  <c r="I1009"/>
  <c r="J1009"/>
  <c r="K1009"/>
  <c r="L1009"/>
  <c r="M1009"/>
  <c r="N1009"/>
  <c r="A1010"/>
  <c r="B1010"/>
  <c r="C1010"/>
  <c r="D1010"/>
  <c r="F1010"/>
  <c r="G1010"/>
  <c r="H1010"/>
  <c r="I1010"/>
  <c r="J1010"/>
  <c r="K1010"/>
  <c r="L1010"/>
  <c r="M1010"/>
  <c r="N1010"/>
  <c r="A1011"/>
  <c r="B1011"/>
  <c r="C1011"/>
  <c r="D1011"/>
  <c r="F1011"/>
  <c r="G1011"/>
  <c r="H1011"/>
  <c r="I1011"/>
  <c r="J1011"/>
  <c r="K1011"/>
  <c r="L1011"/>
  <c r="M1011"/>
  <c r="N1011"/>
  <c r="A1012"/>
  <c r="B1012"/>
  <c r="C1012"/>
  <c r="D1012"/>
  <c r="F1012"/>
  <c r="G1012"/>
  <c r="H1012"/>
  <c r="I1012"/>
  <c r="J1012"/>
  <c r="K1012"/>
  <c r="L1012"/>
  <c r="M1012"/>
  <c r="N1012"/>
  <c r="A1013"/>
  <c r="B1013"/>
  <c r="C1013"/>
  <c r="D1013"/>
  <c r="F1013"/>
  <c r="G1013"/>
  <c r="H1013"/>
  <c r="I1013"/>
  <c r="J1013"/>
  <c r="K1013"/>
  <c r="L1013"/>
  <c r="M1013"/>
  <c r="N1013"/>
  <c r="A1014"/>
  <c r="B1014"/>
  <c r="C1014"/>
  <c r="D1014"/>
  <c r="F1014"/>
  <c r="G1014"/>
  <c r="H1014"/>
  <c r="I1014"/>
  <c r="J1014"/>
  <c r="K1014"/>
  <c r="L1014"/>
  <c r="M1014"/>
  <c r="N1014"/>
  <c r="A1015"/>
  <c r="B1015"/>
  <c r="C1015"/>
  <c r="D1015"/>
  <c r="F1015"/>
  <c r="G1015"/>
  <c r="H1015"/>
  <c r="I1015"/>
  <c r="J1015"/>
  <c r="K1015"/>
  <c r="L1015"/>
  <c r="M1015"/>
  <c r="N1015"/>
  <c r="A1016"/>
  <c r="B1016"/>
  <c r="C1016"/>
  <c r="D1016"/>
  <c r="F1016"/>
  <c r="G1016"/>
  <c r="H1016"/>
  <c r="I1016"/>
  <c r="J1016"/>
  <c r="K1016"/>
  <c r="L1016"/>
  <c r="M1016"/>
  <c r="N1016"/>
  <c r="A1017"/>
  <c r="B1017"/>
  <c r="C1017"/>
  <c r="D1017"/>
  <c r="F1017"/>
  <c r="G1017"/>
  <c r="H1017"/>
  <c r="I1017"/>
  <c r="J1017"/>
  <c r="K1017"/>
  <c r="L1017"/>
  <c r="M1017"/>
  <c r="N1017"/>
  <c r="A1018"/>
  <c r="B1018"/>
  <c r="C1018"/>
  <c r="D1018"/>
  <c r="F1018"/>
  <c r="G1018"/>
  <c r="H1018"/>
  <c r="I1018"/>
  <c r="J1018"/>
  <c r="K1018"/>
  <c r="L1018"/>
  <c r="M1018"/>
  <c r="N1018"/>
  <c r="A1019"/>
  <c r="B1019"/>
  <c r="C1019"/>
  <c r="D1019"/>
  <c r="F1019"/>
  <c r="G1019"/>
  <c r="H1019"/>
  <c r="I1019"/>
  <c r="J1019"/>
  <c r="K1019"/>
  <c r="L1019"/>
  <c r="M1019"/>
  <c r="N1019"/>
  <c r="A1020"/>
  <c r="B1020"/>
  <c r="C1020"/>
  <c r="D1020"/>
  <c r="F1020"/>
  <c r="G1020"/>
  <c r="H1020"/>
  <c r="I1020"/>
  <c r="J1020"/>
  <c r="K1020"/>
  <c r="L1020"/>
  <c r="M1020"/>
  <c r="N1020"/>
  <c r="A1021"/>
  <c r="B1021"/>
  <c r="C1021"/>
  <c r="D1021"/>
  <c r="F1021"/>
  <c r="G1021"/>
  <c r="H1021"/>
  <c r="I1021"/>
  <c r="J1021"/>
  <c r="K1021"/>
  <c r="L1021"/>
  <c r="M1021"/>
  <c r="N1021"/>
  <c r="A1022"/>
  <c r="B1022"/>
  <c r="C1022"/>
  <c r="D1022"/>
  <c r="F1022"/>
  <c r="G1022"/>
  <c r="H1022"/>
  <c r="I1022"/>
  <c r="J1022"/>
  <c r="K1022"/>
  <c r="L1022"/>
  <c r="M1022"/>
  <c r="N1022"/>
  <c r="A1023"/>
  <c r="B1023"/>
  <c r="C1023"/>
  <c r="D1023"/>
  <c r="F1023"/>
  <c r="G1023"/>
  <c r="H1023"/>
  <c r="I1023"/>
  <c r="J1023"/>
  <c r="K1023"/>
  <c r="L1023"/>
  <c r="M1023"/>
  <c r="N1023"/>
  <c r="A1024"/>
  <c r="B1024"/>
  <c r="C1024"/>
  <c r="D1024"/>
  <c r="F1024"/>
  <c r="G1024"/>
  <c r="H1024"/>
  <c r="I1024"/>
  <c r="J1024"/>
  <c r="K1024"/>
  <c r="L1024"/>
  <c r="M1024"/>
  <c r="N1024"/>
  <c r="A1025"/>
  <c r="B1025"/>
  <c r="C1025"/>
  <c r="D1025"/>
  <c r="F1025"/>
  <c r="G1025"/>
  <c r="H1025"/>
  <c r="I1025"/>
  <c r="J1025"/>
  <c r="K1025"/>
  <c r="L1025"/>
  <c r="M1025"/>
  <c r="N1025"/>
  <c r="A1026"/>
  <c r="B1026"/>
  <c r="C1026"/>
  <c r="D1026"/>
  <c r="F1026"/>
  <c r="G1026"/>
  <c r="H1026"/>
  <c r="I1026"/>
  <c r="J1026"/>
  <c r="K1026"/>
  <c r="L1026"/>
  <c r="M1026"/>
  <c r="N1026"/>
  <c r="A1027"/>
  <c r="B1027"/>
  <c r="C1027"/>
  <c r="D1027"/>
  <c r="F1027"/>
  <c r="G1027"/>
  <c r="H1027"/>
  <c r="I1027"/>
  <c r="J1027"/>
  <c r="K1027"/>
  <c r="L1027"/>
  <c r="M1027"/>
  <c r="N1027"/>
  <c r="A1028"/>
  <c r="B1028"/>
  <c r="C1028"/>
  <c r="D1028"/>
  <c r="F1028"/>
  <c r="G1028"/>
  <c r="H1028"/>
  <c r="I1028"/>
  <c r="J1028"/>
  <c r="K1028"/>
  <c r="L1028"/>
  <c r="M1028"/>
  <c r="N1028"/>
  <c r="A1029"/>
  <c r="B1029"/>
  <c r="C1029"/>
  <c r="D1029"/>
  <c r="F1029"/>
  <c r="G1029"/>
  <c r="H1029"/>
  <c r="I1029"/>
  <c r="J1029"/>
  <c r="K1029"/>
  <c r="L1029"/>
  <c r="M1029"/>
  <c r="N1029"/>
  <c r="A1030"/>
  <c r="B1030"/>
  <c r="C1030"/>
  <c r="D1030"/>
  <c r="F1030"/>
  <c r="G1030"/>
  <c r="H1030"/>
  <c r="I1030"/>
  <c r="J1030"/>
  <c r="K1030"/>
  <c r="L1030"/>
  <c r="M1030"/>
  <c r="N1030"/>
  <c r="A1031"/>
  <c r="B1031"/>
  <c r="C1031"/>
  <c r="D1031"/>
  <c r="F1031"/>
  <c r="G1031"/>
  <c r="H1031"/>
  <c r="I1031"/>
  <c r="J1031"/>
  <c r="K1031"/>
  <c r="L1031"/>
  <c r="M1031"/>
  <c r="N1031"/>
  <c r="A1032"/>
  <c r="B1032"/>
  <c r="C1032"/>
  <c r="D1032"/>
  <c r="F1032"/>
  <c r="G1032"/>
  <c r="H1032"/>
  <c r="I1032"/>
  <c r="J1032"/>
  <c r="K1032"/>
  <c r="L1032"/>
  <c r="M1032"/>
  <c r="N1032"/>
  <c r="A1033"/>
  <c r="B1033"/>
  <c r="C1033"/>
  <c r="D1033"/>
  <c r="F1033"/>
  <c r="G1033"/>
  <c r="H1033"/>
  <c r="I1033"/>
  <c r="J1033"/>
  <c r="K1033"/>
  <c r="L1033"/>
  <c r="M1033"/>
  <c r="N1033"/>
  <c r="A1034"/>
  <c r="B1034"/>
  <c r="C1034"/>
  <c r="D1034"/>
  <c r="F1034"/>
  <c r="G1034"/>
  <c r="H1034"/>
  <c r="I1034"/>
  <c r="J1034"/>
  <c r="K1034"/>
  <c r="L1034"/>
  <c r="M1034"/>
  <c r="N1034"/>
  <c r="A1035"/>
  <c r="B1035"/>
  <c r="C1035"/>
  <c r="D1035"/>
  <c r="F1035"/>
  <c r="G1035"/>
  <c r="H1035"/>
  <c r="I1035"/>
  <c r="J1035"/>
  <c r="K1035"/>
  <c r="L1035"/>
  <c r="M1035"/>
  <c r="N1035"/>
  <c r="A1036"/>
  <c r="B1036"/>
  <c r="C1036"/>
  <c r="D1036"/>
  <c r="F1036"/>
  <c r="G1036"/>
  <c r="H1036"/>
  <c r="I1036"/>
  <c r="J1036"/>
  <c r="K1036"/>
  <c r="L1036"/>
  <c r="M1036"/>
  <c r="N1036"/>
  <c r="A1037"/>
  <c r="B1037"/>
  <c r="C1037"/>
  <c r="D1037"/>
  <c r="F1037"/>
  <c r="G1037"/>
  <c r="H1037"/>
  <c r="I1037"/>
  <c r="J1037"/>
  <c r="K1037"/>
  <c r="L1037"/>
  <c r="M1037"/>
  <c r="N1037"/>
  <c r="A1038"/>
  <c r="B1038"/>
  <c r="C1038"/>
  <c r="D1038"/>
  <c r="F1038"/>
  <c r="G1038"/>
  <c r="H1038"/>
  <c r="I1038"/>
  <c r="J1038"/>
  <c r="K1038"/>
  <c r="L1038"/>
  <c r="M1038"/>
  <c r="N1038"/>
  <c r="A1039"/>
  <c r="B1039"/>
  <c r="C1039"/>
  <c r="D1039"/>
  <c r="F1039"/>
  <c r="G1039"/>
  <c r="H1039"/>
  <c r="I1039"/>
  <c r="J1039"/>
  <c r="K1039"/>
  <c r="L1039"/>
  <c r="M1039"/>
  <c r="N1039"/>
  <c r="A1040"/>
  <c r="B1040"/>
  <c r="C1040"/>
  <c r="D1040"/>
  <c r="F1040"/>
  <c r="G1040"/>
  <c r="H1040"/>
  <c r="I1040"/>
  <c r="J1040"/>
  <c r="K1040"/>
  <c r="L1040"/>
  <c r="M1040"/>
  <c r="N1040"/>
  <c r="A1041"/>
  <c r="B1041"/>
  <c r="C1041"/>
  <c r="D1041"/>
  <c r="F1041"/>
  <c r="G1041"/>
  <c r="H1041"/>
  <c r="I1041"/>
  <c r="J1041"/>
  <c r="K1041"/>
  <c r="L1041"/>
  <c r="M1041"/>
  <c r="N1041"/>
  <c r="A1042"/>
  <c r="B1042"/>
  <c r="C1042"/>
  <c r="D1042"/>
  <c r="F1042"/>
  <c r="G1042"/>
  <c r="H1042"/>
  <c r="I1042"/>
  <c r="J1042"/>
  <c r="K1042"/>
  <c r="L1042"/>
  <c r="M1042"/>
  <c r="N1042"/>
  <c r="A1043"/>
  <c r="B1043"/>
  <c r="C1043"/>
  <c r="D1043"/>
  <c r="F1043"/>
  <c r="G1043"/>
  <c r="H1043"/>
  <c r="I1043"/>
  <c r="J1043"/>
  <c r="K1043"/>
  <c r="L1043"/>
  <c r="M1043"/>
  <c r="N1043"/>
  <c r="A1044"/>
  <c r="B1044"/>
  <c r="C1044"/>
  <c r="D1044"/>
  <c r="F1044"/>
  <c r="G1044"/>
  <c r="H1044"/>
  <c r="I1044"/>
  <c r="J1044"/>
  <c r="K1044"/>
  <c r="L1044"/>
  <c r="M1044"/>
  <c r="N1044"/>
  <c r="A1045"/>
  <c r="B1045"/>
  <c r="C1045"/>
  <c r="D1045"/>
  <c r="F1045"/>
  <c r="G1045"/>
  <c r="H1045"/>
  <c r="I1045"/>
  <c r="J1045"/>
  <c r="K1045"/>
  <c r="L1045"/>
  <c r="M1045"/>
  <c r="N1045"/>
  <c r="A1046"/>
  <c r="B1046"/>
  <c r="C1046"/>
  <c r="D1046"/>
  <c r="F1046"/>
  <c r="G1046"/>
  <c r="H1046"/>
  <c r="I1046"/>
  <c r="J1046"/>
  <c r="K1046"/>
  <c r="L1046"/>
  <c r="M1046"/>
  <c r="N1046"/>
  <c r="A1047"/>
  <c r="B1047"/>
  <c r="C1047"/>
  <c r="D1047"/>
  <c r="F1047"/>
  <c r="G1047"/>
  <c r="H1047"/>
  <c r="I1047"/>
  <c r="J1047"/>
  <c r="K1047"/>
  <c r="L1047"/>
  <c r="M1047"/>
  <c r="N1047"/>
  <c r="A1048"/>
  <c r="B1048"/>
  <c r="C1048"/>
  <c r="D1048"/>
  <c r="F1048"/>
  <c r="G1048"/>
  <c r="H1048"/>
  <c r="I1048"/>
  <c r="J1048"/>
  <c r="K1048"/>
  <c r="L1048"/>
  <c r="M1048"/>
  <c r="N1048"/>
  <c r="A1049"/>
  <c r="B1049"/>
  <c r="C1049"/>
  <c r="D1049"/>
  <c r="F1049"/>
  <c r="G1049"/>
  <c r="H1049"/>
  <c r="I1049"/>
  <c r="J1049"/>
  <c r="K1049"/>
  <c r="L1049"/>
  <c r="M1049"/>
  <c r="N1049"/>
  <c r="A1050"/>
  <c r="B1050"/>
  <c r="C1050"/>
  <c r="D1050"/>
  <c r="F1050"/>
  <c r="G1050"/>
  <c r="H1050"/>
  <c r="I1050"/>
  <c r="J1050"/>
  <c r="K1050"/>
  <c r="L1050"/>
  <c r="M1050"/>
  <c r="N1050"/>
  <c r="A1051"/>
  <c r="B1051"/>
  <c r="C1051"/>
  <c r="D1051"/>
  <c r="F1051"/>
  <c r="G1051"/>
  <c r="H1051"/>
  <c r="I1051"/>
  <c r="J1051"/>
  <c r="K1051"/>
  <c r="L1051"/>
  <c r="M1051"/>
  <c r="N1051"/>
  <c r="A1052"/>
  <c r="B1052"/>
  <c r="C1052"/>
  <c r="D1052"/>
  <c r="F1052"/>
  <c r="G1052"/>
  <c r="H1052"/>
  <c r="I1052"/>
  <c r="J1052"/>
  <c r="K1052"/>
  <c r="L1052"/>
  <c r="M1052"/>
  <c r="N1052"/>
  <c r="A1053"/>
  <c r="B1053"/>
  <c r="C1053"/>
  <c r="D1053"/>
  <c r="F1053"/>
  <c r="G1053"/>
  <c r="H1053"/>
  <c r="I1053"/>
  <c r="J1053"/>
  <c r="K1053"/>
  <c r="L1053"/>
  <c r="M1053"/>
  <c r="N1053"/>
  <c r="A1054"/>
  <c r="B1054"/>
  <c r="C1054"/>
  <c r="D1054"/>
  <c r="F1054"/>
  <c r="G1054"/>
  <c r="H1054"/>
  <c r="I1054"/>
  <c r="J1054"/>
  <c r="K1054"/>
  <c r="L1054"/>
  <c r="M1054"/>
  <c r="N1054"/>
  <c r="A1055"/>
  <c r="B1055"/>
  <c r="C1055"/>
  <c r="D1055"/>
  <c r="F1055"/>
  <c r="G1055"/>
  <c r="H1055"/>
  <c r="I1055"/>
  <c r="J1055"/>
  <c r="K1055"/>
  <c r="L1055"/>
  <c r="M1055"/>
  <c r="N1055"/>
  <c r="A1056"/>
  <c r="B1056"/>
  <c r="C1056"/>
  <c r="D1056"/>
  <c r="F1056"/>
  <c r="G1056"/>
  <c r="H1056"/>
  <c r="I1056"/>
  <c r="J1056"/>
  <c r="K1056"/>
  <c r="L1056"/>
  <c r="M1056"/>
  <c r="N1056"/>
  <c r="A1057"/>
  <c r="B1057"/>
  <c r="C1057"/>
  <c r="D1057"/>
  <c r="F1057"/>
  <c r="G1057"/>
  <c r="H1057"/>
  <c r="I1057"/>
  <c r="J1057"/>
  <c r="K1057"/>
  <c r="L1057"/>
  <c r="M1057"/>
  <c r="N1057"/>
  <c r="A1058"/>
  <c r="B1058"/>
  <c r="C1058"/>
  <c r="D1058"/>
  <c r="F1058"/>
  <c r="G1058"/>
  <c r="H1058"/>
  <c r="I1058"/>
  <c r="J1058"/>
  <c r="K1058"/>
  <c r="L1058"/>
  <c r="M1058"/>
  <c r="N1058"/>
  <c r="A1059"/>
  <c r="B1059"/>
  <c r="C1059"/>
  <c r="D1059"/>
  <c r="F1059"/>
  <c r="G1059"/>
  <c r="H1059"/>
  <c r="I1059"/>
  <c r="J1059"/>
  <c r="K1059"/>
  <c r="L1059"/>
  <c r="M1059"/>
  <c r="N1059"/>
  <c r="A1060"/>
  <c r="B1060"/>
  <c r="C1060"/>
  <c r="D1060"/>
  <c r="F1060"/>
  <c r="G1060"/>
  <c r="H1060"/>
  <c r="I1060"/>
  <c r="J1060"/>
  <c r="K1060"/>
  <c r="L1060"/>
  <c r="M1060"/>
  <c r="N1060"/>
  <c r="A1061"/>
  <c r="B1061"/>
  <c r="C1061"/>
  <c r="D1061"/>
  <c r="F1061"/>
  <c r="G1061"/>
  <c r="H1061"/>
  <c r="I1061"/>
  <c r="J1061"/>
  <c r="K1061"/>
  <c r="L1061"/>
  <c r="M1061"/>
  <c r="N1061"/>
  <c r="A1062"/>
  <c r="B1062"/>
  <c r="C1062"/>
  <c r="D1062"/>
  <c r="F1062"/>
  <c r="G1062"/>
  <c r="H1062"/>
  <c r="I1062"/>
  <c r="J1062"/>
  <c r="K1062"/>
  <c r="L1062"/>
  <c r="M1062"/>
  <c r="N1062"/>
  <c r="A1063"/>
  <c r="B1063"/>
  <c r="C1063"/>
  <c r="D1063"/>
  <c r="F1063"/>
  <c r="G1063"/>
  <c r="H1063"/>
  <c r="I1063"/>
  <c r="J1063"/>
  <c r="K1063"/>
  <c r="L1063"/>
  <c r="M1063"/>
  <c r="N1063"/>
  <c r="A1064"/>
  <c r="B1064"/>
  <c r="C1064"/>
  <c r="D1064"/>
  <c r="F1064"/>
  <c r="G1064"/>
  <c r="H1064"/>
  <c r="I1064"/>
  <c r="J1064"/>
  <c r="K1064"/>
  <c r="L1064"/>
  <c r="M1064"/>
  <c r="N1064"/>
  <c r="A1065"/>
  <c r="B1065"/>
  <c r="C1065"/>
  <c r="D1065"/>
  <c r="F1065"/>
  <c r="G1065"/>
  <c r="H1065"/>
  <c r="I1065"/>
  <c r="J1065"/>
  <c r="K1065"/>
  <c r="L1065"/>
  <c r="M1065"/>
  <c r="N1065"/>
  <c r="A1066"/>
  <c r="B1066"/>
  <c r="C1066"/>
  <c r="D1066"/>
  <c r="F1066"/>
  <c r="G1066"/>
  <c r="H1066"/>
  <c r="I1066"/>
  <c r="J1066"/>
  <c r="K1066"/>
  <c r="L1066"/>
  <c r="M1066"/>
  <c r="N1066"/>
  <c r="A1067"/>
  <c r="B1067"/>
  <c r="C1067"/>
  <c r="D1067"/>
  <c r="F1067"/>
  <c r="G1067"/>
  <c r="H1067"/>
  <c r="I1067"/>
  <c r="J1067"/>
  <c r="K1067"/>
  <c r="L1067"/>
  <c r="M1067"/>
  <c r="N1067"/>
  <c r="A1068"/>
  <c r="B1068"/>
  <c r="C1068"/>
  <c r="D1068"/>
  <c r="F1068"/>
  <c r="G1068"/>
  <c r="H1068"/>
  <c r="I1068"/>
  <c r="J1068"/>
  <c r="K1068"/>
  <c r="L1068"/>
  <c r="M1068"/>
  <c r="N1068"/>
  <c r="A1069"/>
  <c r="B1069"/>
  <c r="C1069"/>
  <c r="D1069"/>
  <c r="F1069"/>
  <c r="G1069"/>
  <c r="H1069"/>
  <c r="I1069"/>
  <c r="J1069"/>
  <c r="K1069"/>
  <c r="L1069"/>
  <c r="M1069"/>
  <c r="N1069"/>
  <c r="A1070"/>
  <c r="B1070"/>
  <c r="C1070"/>
  <c r="D1070"/>
  <c r="F1070"/>
  <c r="G1070"/>
  <c r="H1070"/>
  <c r="I1070"/>
  <c r="J1070"/>
  <c r="K1070"/>
  <c r="L1070"/>
  <c r="M1070"/>
  <c r="N1070"/>
  <c r="A1071"/>
  <c r="B1071"/>
  <c r="C1071"/>
  <c r="D1071"/>
  <c r="F1071"/>
  <c r="G1071"/>
  <c r="H1071"/>
  <c r="I1071"/>
  <c r="J1071"/>
  <c r="K1071"/>
  <c r="L1071"/>
  <c r="M1071"/>
  <c r="N1071"/>
  <c r="A1072"/>
  <c r="B1072"/>
  <c r="C1072"/>
  <c r="D1072"/>
  <c r="F1072"/>
  <c r="G1072"/>
  <c r="H1072"/>
  <c r="I1072"/>
  <c r="J1072"/>
  <c r="K1072"/>
  <c r="L1072"/>
  <c r="M1072"/>
  <c r="N1072"/>
  <c r="A1073"/>
  <c r="B1073"/>
  <c r="C1073"/>
  <c r="D1073"/>
  <c r="F1073"/>
  <c r="G1073"/>
  <c r="H1073"/>
  <c r="I1073"/>
  <c r="J1073"/>
  <c r="K1073"/>
  <c r="L1073"/>
  <c r="M1073"/>
  <c r="N1073"/>
  <c r="A1074"/>
  <c r="B1074"/>
  <c r="C1074"/>
  <c r="D1074"/>
  <c r="F1074"/>
  <c r="G1074"/>
  <c r="H1074"/>
  <c r="I1074"/>
  <c r="J1074"/>
  <c r="K1074"/>
  <c r="L1074"/>
  <c r="M1074"/>
  <c r="N1074"/>
  <c r="A1075"/>
  <c r="B1075"/>
  <c r="C1075"/>
  <c r="D1075"/>
  <c r="F1075"/>
  <c r="G1075"/>
  <c r="H1075"/>
  <c r="I1075"/>
  <c r="J1075"/>
  <c r="K1075"/>
  <c r="L1075"/>
  <c r="M1075"/>
  <c r="N1075"/>
  <c r="A1076"/>
  <c r="B1076"/>
  <c r="C1076"/>
  <c r="D1076"/>
  <c r="F1076"/>
  <c r="G1076"/>
  <c r="H1076"/>
  <c r="I1076"/>
  <c r="J1076"/>
  <c r="K1076"/>
  <c r="L1076"/>
  <c r="M1076"/>
  <c r="N1076"/>
  <c r="A1077"/>
  <c r="B1077"/>
  <c r="C1077"/>
  <c r="D1077"/>
  <c r="F1077"/>
  <c r="G1077"/>
  <c r="H1077"/>
  <c r="I1077"/>
  <c r="J1077"/>
  <c r="K1077"/>
  <c r="L1077"/>
  <c r="M1077"/>
  <c r="N1077"/>
  <c r="A1078"/>
  <c r="B1078"/>
  <c r="C1078"/>
  <c r="D1078"/>
  <c r="F1078"/>
  <c r="G1078"/>
  <c r="H1078"/>
  <c r="I1078"/>
  <c r="J1078"/>
  <c r="K1078"/>
  <c r="L1078"/>
  <c r="M1078"/>
  <c r="N1078"/>
  <c r="A1079"/>
  <c r="B1079"/>
  <c r="C1079"/>
  <c r="D1079"/>
  <c r="F1079"/>
  <c r="G1079"/>
  <c r="H1079"/>
  <c r="I1079"/>
  <c r="J1079"/>
  <c r="K1079"/>
  <c r="L1079"/>
  <c r="M1079"/>
  <c r="N1079"/>
  <c r="A1080"/>
  <c r="B1080"/>
  <c r="C1080"/>
  <c r="D1080"/>
  <c r="F1080"/>
  <c r="G1080"/>
  <c r="H1080"/>
  <c r="I1080"/>
  <c r="J1080"/>
  <c r="K1080"/>
  <c r="L1080"/>
  <c r="M1080"/>
  <c r="N1080"/>
  <c r="A1081"/>
  <c r="B1081"/>
  <c r="C1081"/>
  <c r="D1081"/>
  <c r="F1081"/>
  <c r="G1081"/>
  <c r="H1081"/>
  <c r="I1081"/>
  <c r="J1081"/>
  <c r="K1081"/>
  <c r="L1081"/>
  <c r="M1081"/>
  <c r="N1081"/>
  <c r="A1082"/>
  <c r="B1082"/>
  <c r="C1082"/>
  <c r="D1082"/>
  <c r="F1082"/>
  <c r="G1082"/>
  <c r="H1082"/>
  <c r="I1082"/>
  <c r="J1082"/>
  <c r="K1082"/>
  <c r="L1082"/>
  <c r="M1082"/>
  <c r="N1082"/>
  <c r="A1083"/>
  <c r="B1083"/>
  <c r="C1083"/>
  <c r="D1083"/>
  <c r="F1083"/>
  <c r="G1083"/>
  <c r="H1083"/>
  <c r="I1083"/>
  <c r="J1083"/>
  <c r="K1083"/>
  <c r="L1083"/>
  <c r="M1083"/>
  <c r="N1083"/>
  <c r="A1084"/>
  <c r="B1084"/>
  <c r="C1084"/>
  <c r="D1084"/>
  <c r="F1084"/>
  <c r="G1084"/>
  <c r="H1084"/>
  <c r="I1084"/>
  <c r="J1084"/>
  <c r="K1084"/>
  <c r="L1084"/>
  <c r="M1084"/>
  <c r="N1084"/>
  <c r="A1085"/>
  <c r="B1085"/>
  <c r="C1085"/>
  <c r="D1085"/>
  <c r="F1085"/>
  <c r="G1085"/>
  <c r="H1085"/>
  <c r="I1085"/>
  <c r="J1085"/>
  <c r="K1085"/>
  <c r="L1085"/>
  <c r="M1085"/>
  <c r="N1085"/>
  <c r="A1086"/>
  <c r="B1086"/>
  <c r="C1086"/>
  <c r="D1086"/>
  <c r="F1086"/>
  <c r="G1086"/>
  <c r="H1086"/>
  <c r="I1086"/>
  <c r="J1086"/>
  <c r="K1086"/>
  <c r="L1086"/>
  <c r="M1086"/>
  <c r="N1086"/>
  <c r="A1087"/>
  <c r="B1087"/>
  <c r="C1087"/>
  <c r="D1087"/>
  <c r="F1087"/>
  <c r="G1087"/>
  <c r="H1087"/>
  <c r="I1087"/>
  <c r="J1087"/>
  <c r="K1087"/>
  <c r="L1087"/>
  <c r="M1087"/>
  <c r="N1087"/>
  <c r="A1088"/>
  <c r="B1088"/>
  <c r="C1088"/>
  <c r="D1088"/>
  <c r="F1088"/>
  <c r="G1088"/>
  <c r="H1088"/>
  <c r="I1088"/>
  <c r="J1088"/>
  <c r="K1088"/>
  <c r="L1088"/>
  <c r="M1088"/>
  <c r="N1088"/>
  <c r="A1089"/>
  <c r="B1089"/>
  <c r="C1089"/>
  <c r="D1089"/>
  <c r="F1089"/>
  <c r="G1089"/>
  <c r="H1089"/>
  <c r="I1089"/>
  <c r="J1089"/>
  <c r="K1089"/>
  <c r="L1089"/>
  <c r="M1089"/>
  <c r="N1089"/>
  <c r="A1090"/>
  <c r="B1090"/>
  <c r="C1090"/>
  <c r="D1090"/>
  <c r="F1090"/>
  <c r="G1090"/>
  <c r="H1090"/>
  <c r="I1090"/>
  <c r="J1090"/>
  <c r="K1090"/>
  <c r="L1090"/>
  <c r="M1090"/>
  <c r="N1090"/>
  <c r="A1091"/>
  <c r="B1091"/>
  <c r="C1091"/>
  <c r="D1091"/>
  <c r="F1091"/>
  <c r="G1091"/>
  <c r="H1091"/>
  <c r="I1091"/>
  <c r="J1091"/>
  <c r="K1091"/>
  <c r="L1091"/>
  <c r="M1091"/>
  <c r="N1091"/>
  <c r="A1092"/>
  <c r="B1092"/>
  <c r="C1092"/>
  <c r="D1092"/>
  <c r="F1092"/>
  <c r="G1092"/>
  <c r="H1092"/>
  <c r="I1092"/>
  <c r="J1092"/>
  <c r="K1092"/>
  <c r="L1092"/>
  <c r="M1092"/>
  <c r="N1092"/>
  <c r="A1093"/>
  <c r="B1093"/>
  <c r="C1093"/>
  <c r="D1093"/>
  <c r="F1093"/>
  <c r="G1093"/>
  <c r="H1093"/>
  <c r="I1093"/>
  <c r="J1093"/>
  <c r="K1093"/>
  <c r="L1093"/>
  <c r="M1093"/>
  <c r="N1093"/>
  <c r="A1094"/>
  <c r="B1094"/>
  <c r="C1094"/>
  <c r="D1094"/>
  <c r="F1094"/>
  <c r="G1094"/>
  <c r="H1094"/>
  <c r="I1094"/>
  <c r="J1094"/>
  <c r="K1094"/>
  <c r="L1094"/>
  <c r="M1094"/>
  <c r="N1094"/>
  <c r="A1095"/>
  <c r="B1095"/>
  <c r="C1095"/>
  <c r="D1095"/>
  <c r="F1095"/>
  <c r="G1095"/>
  <c r="H1095"/>
  <c r="I1095"/>
  <c r="J1095"/>
  <c r="K1095"/>
  <c r="L1095"/>
  <c r="M1095"/>
  <c r="N1095"/>
  <c r="A1096"/>
  <c r="B1096"/>
  <c r="C1096"/>
  <c r="D1096"/>
  <c r="F1096"/>
  <c r="G1096"/>
  <c r="H1096"/>
  <c r="I1096"/>
  <c r="J1096"/>
  <c r="K1096"/>
  <c r="L1096"/>
  <c r="M1096"/>
  <c r="N1096"/>
  <c r="A1097"/>
  <c r="B1097"/>
  <c r="C1097"/>
  <c r="D1097"/>
  <c r="F1097"/>
  <c r="G1097"/>
  <c r="H1097"/>
  <c r="I1097"/>
  <c r="J1097"/>
  <c r="K1097"/>
  <c r="L1097"/>
  <c r="M1097"/>
  <c r="N1097"/>
  <c r="A1098"/>
  <c r="B1098"/>
  <c r="C1098"/>
  <c r="D1098"/>
  <c r="F1098"/>
  <c r="G1098"/>
  <c r="H1098"/>
  <c r="I1098"/>
  <c r="J1098"/>
  <c r="K1098"/>
  <c r="L1098"/>
  <c r="M1098"/>
  <c r="N1098"/>
  <c r="A1099"/>
  <c r="B1099"/>
  <c r="C1099"/>
  <c r="D1099"/>
  <c r="F1099"/>
  <c r="G1099"/>
  <c r="H1099"/>
  <c r="I1099"/>
  <c r="J1099"/>
  <c r="K1099"/>
  <c r="L1099"/>
  <c r="M1099"/>
  <c r="N1099"/>
  <c r="A1100"/>
  <c r="B1100"/>
  <c r="C1100"/>
  <c r="D1100"/>
  <c r="F1100"/>
  <c r="G1100"/>
  <c r="H1100"/>
  <c r="I1100"/>
  <c r="J1100"/>
  <c r="K1100"/>
  <c r="L1100"/>
  <c r="M1100"/>
  <c r="N1100"/>
  <c r="A1101"/>
  <c r="B1101"/>
  <c r="C1101"/>
  <c r="D1101"/>
  <c r="F1101"/>
  <c r="G1101"/>
  <c r="H1101"/>
  <c r="I1101"/>
  <c r="J1101"/>
  <c r="K1101"/>
  <c r="L1101"/>
  <c r="M1101"/>
  <c r="N1101"/>
  <c r="A1102"/>
  <c r="B1102"/>
  <c r="C1102"/>
  <c r="D1102"/>
  <c r="F1102"/>
  <c r="G1102"/>
  <c r="H1102"/>
  <c r="I1102"/>
  <c r="J1102"/>
  <c r="K1102"/>
  <c r="L1102"/>
  <c r="M1102"/>
  <c r="N1102"/>
  <c r="A1103"/>
  <c r="B1103"/>
  <c r="C1103"/>
  <c r="D1103"/>
  <c r="F1103"/>
  <c r="G1103"/>
  <c r="H1103"/>
  <c r="I1103"/>
  <c r="J1103"/>
  <c r="K1103"/>
  <c r="L1103"/>
  <c r="M1103"/>
  <c r="N1103"/>
  <c r="A1104"/>
  <c r="B1104"/>
  <c r="C1104"/>
  <c r="D1104"/>
  <c r="F1104"/>
  <c r="G1104"/>
  <c r="H1104"/>
  <c r="I1104"/>
  <c r="J1104"/>
  <c r="K1104"/>
  <c r="L1104"/>
  <c r="M1104"/>
  <c r="N1104"/>
  <c r="A1105"/>
  <c r="B1105"/>
  <c r="C1105"/>
  <c r="D1105"/>
  <c r="F1105"/>
  <c r="G1105"/>
  <c r="H1105"/>
  <c r="I1105"/>
  <c r="J1105"/>
  <c r="K1105"/>
  <c r="L1105"/>
  <c r="M1105"/>
  <c r="N1105"/>
  <c r="A1106"/>
  <c r="B1106"/>
  <c r="C1106"/>
  <c r="D1106"/>
  <c r="F1106"/>
  <c r="G1106"/>
  <c r="H1106"/>
  <c r="I1106"/>
  <c r="J1106"/>
  <c r="K1106"/>
  <c r="L1106"/>
  <c r="M1106"/>
  <c r="N1106"/>
  <c r="A1107"/>
  <c r="B1107"/>
  <c r="C1107"/>
  <c r="D1107"/>
  <c r="F1107"/>
  <c r="G1107"/>
  <c r="H1107"/>
  <c r="I1107"/>
  <c r="J1107"/>
  <c r="K1107"/>
  <c r="L1107"/>
  <c r="M1107"/>
  <c r="N1107"/>
  <c r="A1108"/>
  <c r="B1108"/>
  <c r="C1108"/>
  <c r="D1108"/>
  <c r="F1108"/>
  <c r="G1108"/>
  <c r="H1108"/>
  <c r="I1108"/>
  <c r="J1108"/>
  <c r="K1108"/>
  <c r="L1108"/>
  <c r="M1108"/>
  <c r="N1108"/>
  <c r="A1109"/>
  <c r="B1109"/>
  <c r="C1109"/>
  <c r="D1109"/>
  <c r="F1109"/>
  <c r="G1109"/>
  <c r="H1109"/>
  <c r="I1109"/>
  <c r="J1109"/>
  <c r="K1109"/>
  <c r="L1109"/>
  <c r="M1109"/>
  <c r="N1109"/>
  <c r="A1110"/>
  <c r="B1110"/>
  <c r="C1110"/>
  <c r="D1110"/>
  <c r="F1110"/>
  <c r="G1110"/>
  <c r="H1110"/>
  <c r="I1110"/>
  <c r="J1110"/>
  <c r="K1110"/>
  <c r="L1110"/>
  <c r="M1110"/>
  <c r="N1110"/>
  <c r="A1111"/>
  <c r="B1111"/>
  <c r="C1111"/>
  <c r="D1111"/>
  <c r="F1111"/>
  <c r="G1111"/>
  <c r="H1111"/>
  <c r="I1111"/>
  <c r="J1111"/>
  <c r="K1111"/>
  <c r="L1111"/>
  <c r="M1111"/>
  <c r="N1111"/>
  <c r="A1112"/>
  <c r="B1112"/>
  <c r="C1112"/>
  <c r="D1112"/>
  <c r="F1112"/>
  <c r="G1112"/>
  <c r="H1112"/>
  <c r="I1112"/>
  <c r="J1112"/>
  <c r="K1112"/>
  <c r="L1112"/>
  <c r="M1112"/>
  <c r="N1112"/>
  <c r="A1113"/>
  <c r="B1113"/>
  <c r="C1113"/>
  <c r="D1113"/>
  <c r="F1113"/>
  <c r="G1113"/>
  <c r="H1113"/>
  <c r="I1113"/>
  <c r="J1113"/>
  <c r="K1113"/>
  <c r="L1113"/>
  <c r="M1113"/>
  <c r="N1113"/>
  <c r="A1114"/>
  <c r="B1114"/>
  <c r="C1114"/>
  <c r="D1114"/>
  <c r="F1114"/>
  <c r="G1114"/>
  <c r="H1114"/>
  <c r="I1114"/>
  <c r="J1114"/>
  <c r="K1114"/>
  <c r="L1114"/>
  <c r="M1114"/>
  <c r="N1114"/>
  <c r="A1115"/>
  <c r="B1115"/>
  <c r="C1115"/>
  <c r="D1115"/>
  <c r="F1115"/>
  <c r="G1115"/>
  <c r="H1115"/>
  <c r="I1115"/>
  <c r="J1115"/>
  <c r="K1115"/>
  <c r="L1115"/>
  <c r="M1115"/>
  <c r="N1115"/>
  <c r="A1116"/>
  <c r="B1116"/>
  <c r="C1116"/>
  <c r="D1116"/>
  <c r="F1116"/>
  <c r="G1116"/>
  <c r="H1116"/>
  <c r="I1116"/>
  <c r="J1116"/>
  <c r="K1116"/>
  <c r="L1116"/>
  <c r="M1116"/>
  <c r="N1116"/>
  <c r="A1117"/>
  <c r="B1117"/>
  <c r="C1117"/>
  <c r="D1117"/>
  <c r="F1117"/>
  <c r="G1117"/>
  <c r="H1117"/>
  <c r="I1117"/>
  <c r="J1117"/>
  <c r="K1117"/>
  <c r="L1117"/>
  <c r="M1117"/>
  <c r="N1117"/>
  <c r="A1118"/>
  <c r="B1118"/>
  <c r="C1118"/>
  <c r="D1118"/>
  <c r="F1118"/>
  <c r="G1118"/>
  <c r="H1118"/>
  <c r="I1118"/>
  <c r="J1118"/>
  <c r="K1118"/>
  <c r="L1118"/>
  <c r="M1118"/>
  <c r="N1118"/>
  <c r="A1119"/>
  <c r="B1119"/>
  <c r="C1119"/>
  <c r="D1119"/>
  <c r="F1119"/>
  <c r="G1119"/>
  <c r="H1119"/>
  <c r="I1119"/>
  <c r="J1119"/>
  <c r="K1119"/>
  <c r="L1119"/>
  <c r="M1119"/>
  <c r="N1119"/>
  <c r="A1120"/>
  <c r="B1120"/>
  <c r="C1120"/>
  <c r="D1120"/>
  <c r="F1120"/>
  <c r="G1120"/>
  <c r="H1120"/>
  <c r="I1120"/>
  <c r="J1120"/>
  <c r="K1120"/>
  <c r="L1120"/>
  <c r="M1120"/>
  <c r="N1120"/>
  <c r="A1121"/>
  <c r="B1121"/>
  <c r="C1121"/>
  <c r="D1121"/>
  <c r="F1121"/>
  <c r="G1121"/>
  <c r="H1121"/>
  <c r="I1121"/>
  <c r="J1121"/>
  <c r="K1121"/>
  <c r="L1121"/>
  <c r="M1121"/>
  <c r="N1121"/>
  <c r="A1122"/>
  <c r="B1122"/>
  <c r="C1122"/>
  <c r="D1122"/>
  <c r="F1122"/>
  <c r="G1122"/>
  <c r="H1122"/>
  <c r="I1122"/>
  <c r="J1122"/>
  <c r="K1122"/>
  <c r="L1122"/>
  <c r="M1122"/>
  <c r="N1122"/>
  <c r="A1123"/>
  <c r="B1123"/>
  <c r="C1123"/>
  <c r="D1123"/>
  <c r="F1123"/>
  <c r="G1123"/>
  <c r="H1123"/>
  <c r="I1123"/>
  <c r="J1123"/>
  <c r="K1123"/>
  <c r="L1123"/>
  <c r="M1123"/>
  <c r="N1123"/>
  <c r="A1124"/>
  <c r="B1124"/>
  <c r="C1124"/>
  <c r="D1124"/>
  <c r="F1124"/>
  <c r="G1124"/>
  <c r="H1124"/>
  <c r="I1124"/>
  <c r="J1124"/>
  <c r="K1124"/>
  <c r="L1124"/>
  <c r="M1124"/>
  <c r="N1124"/>
  <c r="A1125"/>
  <c r="B1125"/>
  <c r="C1125"/>
  <c r="D1125"/>
  <c r="F1125"/>
  <c r="G1125"/>
  <c r="H1125"/>
  <c r="I1125"/>
  <c r="J1125"/>
  <c r="K1125"/>
  <c r="L1125"/>
  <c r="M1125"/>
  <c r="N1125"/>
  <c r="A1126"/>
  <c r="B1126"/>
  <c r="C1126"/>
  <c r="D1126"/>
  <c r="F1126"/>
  <c r="G1126"/>
  <c r="H1126"/>
  <c r="I1126"/>
  <c r="J1126"/>
  <c r="K1126"/>
  <c r="L1126"/>
  <c r="M1126"/>
  <c r="N1126"/>
  <c r="A1127"/>
  <c r="B1127"/>
  <c r="C1127"/>
  <c r="D1127"/>
  <c r="F1127"/>
  <c r="G1127"/>
  <c r="H1127"/>
  <c r="I1127"/>
  <c r="J1127"/>
  <c r="K1127"/>
  <c r="L1127"/>
  <c r="M1127"/>
  <c r="N1127"/>
  <c r="A1128"/>
  <c r="B1128"/>
  <c r="C1128"/>
  <c r="D1128"/>
  <c r="F1128"/>
  <c r="G1128"/>
  <c r="H1128"/>
  <c r="I1128"/>
  <c r="J1128"/>
  <c r="K1128"/>
  <c r="L1128"/>
  <c r="M1128"/>
  <c r="N1128"/>
  <c r="A1129"/>
  <c r="B1129"/>
  <c r="C1129"/>
  <c r="D1129"/>
  <c r="F1129"/>
  <c r="G1129"/>
  <c r="H1129"/>
  <c r="I1129"/>
  <c r="J1129"/>
  <c r="K1129"/>
  <c r="L1129"/>
  <c r="M1129"/>
  <c r="N1129"/>
  <c r="A1130"/>
  <c r="B1130"/>
  <c r="C1130"/>
  <c r="D1130"/>
  <c r="F1130"/>
  <c r="G1130"/>
  <c r="H1130"/>
  <c r="I1130"/>
  <c r="J1130"/>
  <c r="K1130"/>
  <c r="L1130"/>
  <c r="M1130"/>
  <c r="N1130"/>
  <c r="A1131"/>
  <c r="B1131"/>
  <c r="C1131"/>
  <c r="D1131"/>
  <c r="F1131"/>
  <c r="G1131"/>
  <c r="H1131"/>
  <c r="I1131"/>
  <c r="J1131"/>
  <c r="K1131"/>
  <c r="L1131"/>
  <c r="M1131"/>
  <c r="N1131"/>
  <c r="A1132"/>
  <c r="B1132"/>
  <c r="C1132"/>
  <c r="D1132"/>
  <c r="F1132"/>
  <c r="G1132"/>
  <c r="H1132"/>
  <c r="I1132"/>
  <c r="J1132"/>
  <c r="K1132"/>
  <c r="L1132"/>
  <c r="M1132"/>
  <c r="N1132"/>
  <c r="A1133"/>
  <c r="B1133"/>
  <c r="C1133"/>
  <c r="D1133"/>
  <c r="F1133"/>
  <c r="G1133"/>
  <c r="H1133"/>
  <c r="I1133"/>
  <c r="J1133"/>
  <c r="K1133"/>
  <c r="L1133"/>
  <c r="M1133"/>
  <c r="N1133"/>
  <c r="A1134"/>
  <c r="B1134"/>
  <c r="C1134"/>
  <c r="D1134"/>
  <c r="F1134"/>
  <c r="G1134"/>
  <c r="H1134"/>
  <c r="I1134"/>
  <c r="J1134"/>
  <c r="K1134"/>
  <c r="L1134"/>
  <c r="M1134"/>
  <c r="N1134"/>
  <c r="A1135"/>
  <c r="B1135"/>
  <c r="C1135"/>
  <c r="D1135"/>
  <c r="F1135"/>
  <c r="G1135"/>
  <c r="H1135"/>
  <c r="I1135"/>
  <c r="J1135"/>
  <c r="K1135"/>
  <c r="L1135"/>
  <c r="M1135"/>
  <c r="N1135"/>
  <c r="A1136"/>
  <c r="B1136"/>
  <c r="C1136"/>
  <c r="D1136"/>
  <c r="F1136"/>
  <c r="G1136"/>
  <c r="H1136"/>
  <c r="I1136"/>
  <c r="J1136"/>
  <c r="K1136"/>
  <c r="L1136"/>
  <c r="M1136"/>
  <c r="N1136"/>
  <c r="A1137"/>
  <c r="B1137"/>
  <c r="C1137"/>
  <c r="D1137"/>
  <c r="F1137"/>
  <c r="G1137"/>
  <c r="H1137"/>
  <c r="I1137"/>
  <c r="J1137"/>
  <c r="K1137"/>
  <c r="L1137"/>
  <c r="M1137"/>
  <c r="N1137"/>
  <c r="A1138"/>
  <c r="B1138"/>
  <c r="C1138"/>
  <c r="D1138"/>
  <c r="F1138"/>
  <c r="G1138"/>
  <c r="H1138"/>
  <c r="I1138"/>
  <c r="J1138"/>
  <c r="K1138"/>
  <c r="L1138"/>
  <c r="M1138"/>
  <c r="N1138"/>
  <c r="A1139"/>
  <c r="B1139"/>
  <c r="C1139"/>
  <c r="D1139"/>
  <c r="F1139"/>
  <c r="G1139"/>
  <c r="H1139"/>
  <c r="I1139"/>
  <c r="J1139"/>
  <c r="K1139"/>
  <c r="L1139"/>
  <c r="M1139"/>
  <c r="N1139"/>
  <c r="A1140"/>
  <c r="B1140"/>
  <c r="C1140"/>
  <c r="D1140"/>
  <c r="F1140"/>
  <c r="G1140"/>
  <c r="H1140"/>
  <c r="I1140"/>
  <c r="J1140"/>
  <c r="K1140"/>
  <c r="L1140"/>
  <c r="M1140"/>
  <c r="N1140"/>
  <c r="A1141"/>
  <c r="B1141"/>
  <c r="C1141"/>
  <c r="D1141"/>
  <c r="F1141"/>
  <c r="G1141"/>
  <c r="H1141"/>
  <c r="I1141"/>
  <c r="J1141"/>
  <c r="K1141"/>
  <c r="L1141"/>
  <c r="M1141"/>
  <c r="N1141"/>
  <c r="A1142"/>
  <c r="B1142"/>
  <c r="C1142"/>
  <c r="D1142"/>
  <c r="F1142"/>
  <c r="G1142"/>
  <c r="H1142"/>
  <c r="I1142"/>
  <c r="J1142"/>
  <c r="K1142"/>
  <c r="L1142"/>
  <c r="M1142"/>
  <c r="N1142"/>
  <c r="A1143"/>
  <c r="B1143"/>
  <c r="C1143"/>
  <c r="D1143"/>
  <c r="F1143"/>
  <c r="G1143"/>
  <c r="H1143"/>
  <c r="I1143"/>
  <c r="J1143"/>
  <c r="K1143"/>
  <c r="L1143"/>
  <c r="M1143"/>
  <c r="N1143"/>
  <c r="A1144"/>
  <c r="B1144"/>
  <c r="C1144"/>
  <c r="D1144"/>
  <c r="F1144"/>
  <c r="G1144"/>
  <c r="H1144"/>
  <c r="I1144"/>
  <c r="J1144"/>
  <c r="K1144"/>
  <c r="L1144"/>
  <c r="M1144"/>
  <c r="N1144"/>
  <c r="A1145"/>
  <c r="B1145"/>
  <c r="C1145"/>
  <c r="D1145"/>
  <c r="F1145"/>
  <c r="G1145"/>
  <c r="H1145"/>
  <c r="I1145"/>
  <c r="J1145"/>
  <c r="K1145"/>
  <c r="L1145"/>
  <c r="M1145"/>
  <c r="N1145"/>
  <c r="A1146"/>
  <c r="B1146"/>
  <c r="C1146"/>
  <c r="D1146"/>
  <c r="F1146"/>
  <c r="G1146"/>
  <c r="H1146"/>
  <c r="I1146"/>
  <c r="J1146"/>
  <c r="K1146"/>
  <c r="L1146"/>
  <c r="M1146"/>
  <c r="N1146"/>
  <c r="A1147"/>
  <c r="B1147"/>
  <c r="C1147"/>
  <c r="D1147"/>
  <c r="F1147"/>
  <c r="G1147"/>
  <c r="H1147"/>
  <c r="I1147"/>
  <c r="J1147"/>
  <c r="K1147"/>
  <c r="L1147"/>
  <c r="M1147"/>
  <c r="N1147"/>
  <c r="A1148"/>
  <c r="B1148"/>
  <c r="C1148"/>
  <c r="D1148"/>
  <c r="F1148"/>
  <c r="G1148"/>
  <c r="H1148"/>
  <c r="I1148"/>
  <c r="J1148"/>
  <c r="K1148"/>
  <c r="L1148"/>
  <c r="M1148"/>
  <c r="N1148"/>
  <c r="A1149"/>
  <c r="B1149"/>
  <c r="C1149"/>
  <c r="D1149"/>
  <c r="F1149"/>
  <c r="G1149"/>
  <c r="H1149"/>
  <c r="I1149"/>
  <c r="J1149"/>
  <c r="K1149"/>
  <c r="L1149"/>
  <c r="M1149"/>
  <c r="N1149"/>
  <c r="A1150"/>
  <c r="B1150"/>
  <c r="C1150"/>
  <c r="D1150"/>
  <c r="F1150"/>
  <c r="G1150"/>
  <c r="H1150"/>
  <c r="I1150"/>
  <c r="J1150"/>
  <c r="K1150"/>
  <c r="L1150"/>
  <c r="M1150"/>
  <c r="N1150"/>
  <c r="A1151"/>
  <c r="B1151"/>
  <c r="C1151"/>
  <c r="D1151"/>
  <c r="F1151"/>
  <c r="G1151"/>
  <c r="H1151"/>
  <c r="I1151"/>
  <c r="J1151"/>
  <c r="K1151"/>
  <c r="L1151"/>
  <c r="M1151"/>
  <c r="N1151"/>
  <c r="A1152"/>
  <c r="B1152"/>
  <c r="C1152"/>
  <c r="D1152"/>
  <c r="F1152"/>
  <c r="G1152"/>
  <c r="H1152"/>
  <c r="I1152"/>
  <c r="J1152"/>
  <c r="K1152"/>
  <c r="L1152"/>
  <c r="M1152"/>
  <c r="N1152"/>
  <c r="A1153"/>
  <c r="B1153"/>
  <c r="C1153"/>
  <c r="D1153"/>
  <c r="F1153"/>
  <c r="G1153"/>
  <c r="H1153"/>
  <c r="I1153"/>
  <c r="J1153"/>
  <c r="K1153"/>
  <c r="L1153"/>
  <c r="M1153"/>
  <c r="N1153"/>
  <c r="A1154"/>
  <c r="B1154"/>
  <c r="C1154"/>
  <c r="D1154"/>
  <c r="F1154"/>
  <c r="G1154"/>
  <c r="H1154"/>
  <c r="I1154"/>
  <c r="J1154"/>
  <c r="K1154"/>
  <c r="L1154"/>
  <c r="M1154"/>
  <c r="N1154"/>
  <c r="A1155"/>
  <c r="B1155"/>
  <c r="C1155"/>
  <c r="D1155"/>
  <c r="F1155"/>
  <c r="G1155"/>
  <c r="H1155"/>
  <c r="I1155"/>
  <c r="J1155"/>
  <c r="K1155"/>
  <c r="L1155"/>
  <c r="M1155"/>
  <c r="N1155"/>
  <c r="A1156"/>
  <c r="B1156"/>
  <c r="C1156"/>
  <c r="D1156"/>
  <c r="F1156"/>
  <c r="G1156"/>
  <c r="H1156"/>
  <c r="I1156"/>
  <c r="J1156"/>
  <c r="K1156"/>
  <c r="L1156"/>
  <c r="M1156"/>
  <c r="N1156"/>
  <c r="A1157"/>
  <c r="B1157"/>
  <c r="C1157"/>
  <c r="D1157"/>
  <c r="F1157"/>
  <c r="G1157"/>
  <c r="H1157"/>
  <c r="I1157"/>
  <c r="J1157"/>
  <c r="K1157"/>
  <c r="L1157"/>
  <c r="M1157"/>
  <c r="N1157"/>
  <c r="A1158"/>
  <c r="B1158"/>
  <c r="C1158"/>
  <c r="D1158"/>
  <c r="F1158"/>
  <c r="G1158"/>
  <c r="H1158"/>
  <c r="I1158"/>
  <c r="J1158"/>
  <c r="K1158"/>
  <c r="L1158"/>
  <c r="M1158"/>
  <c r="N1158"/>
  <c r="A1159"/>
  <c r="B1159"/>
  <c r="C1159"/>
  <c r="D1159"/>
  <c r="F1159"/>
  <c r="G1159"/>
  <c r="H1159"/>
  <c r="I1159"/>
  <c r="J1159"/>
  <c r="K1159"/>
  <c r="L1159"/>
  <c r="M1159"/>
  <c r="N1159"/>
  <c r="A1160"/>
  <c r="B1160"/>
  <c r="C1160"/>
  <c r="D1160"/>
  <c r="F1160"/>
  <c r="G1160"/>
  <c r="H1160"/>
  <c r="I1160"/>
  <c r="J1160"/>
  <c r="K1160"/>
  <c r="L1160"/>
  <c r="M1160"/>
  <c r="N1160"/>
  <c r="A1161"/>
  <c r="B1161"/>
  <c r="C1161"/>
  <c r="D1161"/>
  <c r="F1161"/>
  <c r="G1161"/>
  <c r="H1161"/>
  <c r="I1161"/>
  <c r="J1161"/>
  <c r="K1161"/>
  <c r="L1161"/>
  <c r="M1161"/>
  <c r="N1161"/>
  <c r="A1162"/>
  <c r="B1162"/>
  <c r="C1162"/>
  <c r="D1162"/>
  <c r="F1162"/>
  <c r="G1162"/>
  <c r="H1162"/>
  <c r="I1162"/>
  <c r="J1162"/>
  <c r="K1162"/>
  <c r="L1162"/>
  <c r="M1162"/>
  <c r="N1162"/>
  <c r="A1163"/>
  <c r="B1163"/>
  <c r="C1163"/>
  <c r="D1163"/>
  <c r="F1163"/>
  <c r="G1163"/>
  <c r="H1163"/>
  <c r="I1163"/>
  <c r="J1163"/>
  <c r="K1163"/>
  <c r="L1163"/>
  <c r="M1163"/>
  <c r="N1163"/>
  <c r="A1164"/>
  <c r="B1164"/>
  <c r="C1164"/>
  <c r="D1164"/>
  <c r="F1164"/>
  <c r="G1164"/>
  <c r="H1164"/>
  <c r="I1164"/>
  <c r="J1164"/>
  <c r="K1164"/>
  <c r="L1164"/>
  <c r="M1164"/>
  <c r="N1164"/>
  <c r="A1165"/>
  <c r="B1165"/>
  <c r="C1165"/>
  <c r="D1165"/>
  <c r="F1165"/>
  <c r="G1165"/>
  <c r="H1165"/>
  <c r="I1165"/>
  <c r="J1165"/>
  <c r="K1165"/>
  <c r="L1165"/>
  <c r="M1165"/>
  <c r="N1165"/>
  <c r="A1166"/>
  <c r="B1166"/>
  <c r="C1166"/>
  <c r="D1166"/>
  <c r="F1166"/>
  <c r="G1166"/>
  <c r="H1166"/>
  <c r="I1166"/>
  <c r="J1166"/>
  <c r="K1166"/>
  <c r="L1166"/>
  <c r="M1166"/>
  <c r="N1166"/>
  <c r="A1167"/>
  <c r="B1167"/>
  <c r="C1167"/>
  <c r="D1167"/>
  <c r="F1167"/>
  <c r="G1167"/>
  <c r="H1167"/>
  <c r="I1167"/>
  <c r="J1167"/>
  <c r="K1167"/>
  <c r="L1167"/>
  <c r="M1167"/>
  <c r="N1167"/>
  <c r="A1168"/>
  <c r="B1168"/>
  <c r="C1168"/>
  <c r="D1168"/>
  <c r="F1168"/>
  <c r="G1168"/>
  <c r="H1168"/>
  <c r="I1168"/>
  <c r="J1168"/>
  <c r="K1168"/>
  <c r="L1168"/>
  <c r="M1168"/>
  <c r="N1168"/>
  <c r="A1169"/>
  <c r="B1169"/>
  <c r="C1169"/>
  <c r="D1169"/>
  <c r="F1169"/>
  <c r="G1169"/>
  <c r="H1169"/>
  <c r="I1169"/>
  <c r="J1169"/>
  <c r="K1169"/>
  <c r="L1169"/>
  <c r="M1169"/>
  <c r="N1169"/>
  <c r="A1170"/>
  <c r="B1170"/>
  <c r="C1170"/>
  <c r="D1170"/>
  <c r="F1170"/>
  <c r="G1170"/>
  <c r="H1170"/>
  <c r="I1170"/>
  <c r="J1170"/>
  <c r="K1170"/>
  <c r="L1170"/>
  <c r="M1170"/>
  <c r="N1170"/>
  <c r="A1171"/>
  <c r="B1171"/>
  <c r="C1171"/>
  <c r="D1171"/>
  <c r="F1171"/>
  <c r="G1171"/>
  <c r="H1171"/>
  <c r="I1171"/>
  <c r="J1171"/>
  <c r="K1171"/>
  <c r="L1171"/>
  <c r="M1171"/>
  <c r="N1171"/>
  <c r="A1172"/>
  <c r="B1172"/>
  <c r="C1172"/>
  <c r="D1172"/>
  <c r="F1172"/>
  <c r="G1172"/>
  <c r="H1172"/>
  <c r="I1172"/>
  <c r="J1172"/>
  <c r="K1172"/>
  <c r="L1172"/>
  <c r="M1172"/>
  <c r="N1172"/>
  <c r="A1173"/>
  <c r="B1173"/>
  <c r="C1173"/>
  <c r="D1173"/>
  <c r="F1173"/>
  <c r="G1173"/>
  <c r="H1173"/>
  <c r="I1173"/>
  <c r="J1173"/>
  <c r="K1173"/>
  <c r="L1173"/>
  <c r="M1173"/>
  <c r="N1173"/>
  <c r="A1174"/>
  <c r="B1174"/>
  <c r="C1174"/>
  <c r="D1174"/>
  <c r="F1174"/>
  <c r="G1174"/>
  <c r="H1174"/>
  <c r="I1174"/>
  <c r="J1174"/>
  <c r="K1174"/>
  <c r="L1174"/>
  <c r="M1174"/>
  <c r="N1174"/>
  <c r="A1175"/>
  <c r="B1175"/>
  <c r="C1175"/>
  <c r="D1175"/>
  <c r="F1175"/>
  <c r="G1175"/>
  <c r="H1175"/>
  <c r="I1175"/>
  <c r="J1175"/>
  <c r="K1175"/>
  <c r="L1175"/>
  <c r="M1175"/>
  <c r="N1175"/>
  <c r="A1176"/>
  <c r="B1176"/>
  <c r="C1176"/>
  <c r="D1176"/>
  <c r="F1176"/>
  <c r="G1176"/>
  <c r="H1176"/>
  <c r="I1176"/>
  <c r="J1176"/>
  <c r="K1176"/>
  <c r="L1176"/>
  <c r="M1176"/>
  <c r="N1176"/>
  <c r="A1177"/>
  <c r="B1177"/>
  <c r="C1177"/>
  <c r="D1177"/>
  <c r="F1177"/>
  <c r="G1177"/>
  <c r="H1177"/>
  <c r="I1177"/>
  <c r="J1177"/>
  <c r="K1177"/>
  <c r="L1177"/>
  <c r="M1177"/>
  <c r="N1177"/>
  <c r="A1178"/>
  <c r="B1178"/>
  <c r="C1178"/>
  <c r="D1178"/>
  <c r="F1178"/>
  <c r="G1178"/>
  <c r="H1178"/>
  <c r="I1178"/>
  <c r="J1178"/>
  <c r="K1178"/>
  <c r="L1178"/>
  <c r="M1178"/>
  <c r="N1178"/>
  <c r="A1179"/>
  <c r="B1179"/>
  <c r="C1179"/>
  <c r="D1179"/>
  <c r="F1179"/>
  <c r="G1179"/>
  <c r="H1179"/>
  <c r="I1179"/>
  <c r="J1179"/>
  <c r="K1179"/>
  <c r="L1179"/>
  <c r="M1179"/>
  <c r="N1179"/>
  <c r="A1180"/>
  <c r="B1180"/>
  <c r="C1180"/>
  <c r="D1180"/>
  <c r="F1180"/>
  <c r="G1180"/>
  <c r="H1180"/>
  <c r="I1180"/>
  <c r="J1180"/>
  <c r="K1180"/>
  <c r="L1180"/>
  <c r="M1180"/>
  <c r="N1180"/>
  <c r="A1181"/>
  <c r="B1181"/>
  <c r="C1181"/>
  <c r="D1181"/>
  <c r="F1181"/>
  <c r="G1181"/>
  <c r="H1181"/>
  <c r="I1181"/>
  <c r="J1181"/>
  <c r="K1181"/>
  <c r="L1181"/>
  <c r="M1181"/>
  <c r="N1181"/>
  <c r="A1182"/>
  <c r="B1182"/>
  <c r="C1182"/>
  <c r="D1182"/>
  <c r="F1182"/>
  <c r="G1182"/>
  <c r="H1182"/>
  <c r="I1182"/>
  <c r="J1182"/>
  <c r="K1182"/>
  <c r="L1182"/>
  <c r="M1182"/>
  <c r="N1182"/>
  <c r="A1183"/>
  <c r="B1183"/>
  <c r="C1183"/>
  <c r="D1183"/>
  <c r="F1183"/>
  <c r="G1183"/>
  <c r="H1183"/>
  <c r="I1183"/>
  <c r="J1183"/>
  <c r="K1183"/>
  <c r="L1183"/>
  <c r="M1183"/>
  <c r="N1183"/>
  <c r="A1184"/>
  <c r="B1184"/>
  <c r="C1184"/>
  <c r="D1184"/>
  <c r="F1184"/>
  <c r="G1184"/>
  <c r="H1184"/>
  <c r="I1184"/>
  <c r="J1184"/>
  <c r="K1184"/>
  <c r="L1184"/>
  <c r="M1184"/>
  <c r="N1184"/>
  <c r="A1185"/>
  <c r="B1185"/>
  <c r="C1185"/>
  <c r="D1185"/>
  <c r="F1185"/>
  <c r="G1185"/>
  <c r="H1185"/>
  <c r="I1185"/>
  <c r="J1185"/>
  <c r="K1185"/>
  <c r="L1185"/>
  <c r="M1185"/>
  <c r="N1185"/>
  <c r="A1186"/>
  <c r="B1186"/>
  <c r="C1186"/>
  <c r="D1186"/>
  <c r="F1186"/>
  <c r="G1186"/>
  <c r="H1186"/>
  <c r="I1186"/>
  <c r="J1186"/>
  <c r="K1186"/>
  <c r="L1186"/>
  <c r="M1186"/>
  <c r="N1186"/>
  <c r="A1187"/>
  <c r="B1187"/>
  <c r="C1187"/>
  <c r="D1187"/>
  <c r="F1187"/>
  <c r="G1187"/>
  <c r="H1187"/>
  <c r="I1187"/>
  <c r="J1187"/>
  <c r="K1187"/>
  <c r="L1187"/>
  <c r="M1187"/>
  <c r="N1187"/>
  <c r="A1188"/>
  <c r="B1188"/>
  <c r="C1188"/>
  <c r="D1188"/>
  <c r="F1188"/>
  <c r="G1188"/>
  <c r="H1188"/>
  <c r="I1188"/>
  <c r="J1188"/>
  <c r="K1188"/>
  <c r="L1188"/>
  <c r="M1188"/>
  <c r="N1188"/>
  <c r="A1189"/>
  <c r="B1189"/>
  <c r="C1189"/>
  <c r="D1189"/>
  <c r="F1189"/>
  <c r="G1189"/>
  <c r="H1189"/>
  <c r="I1189"/>
  <c r="J1189"/>
  <c r="K1189"/>
  <c r="L1189"/>
  <c r="M1189"/>
  <c r="N1189"/>
  <c r="A1190"/>
  <c r="B1190"/>
  <c r="C1190"/>
  <c r="D1190"/>
  <c r="F1190"/>
  <c r="G1190"/>
  <c r="H1190"/>
  <c r="I1190"/>
  <c r="J1190"/>
  <c r="K1190"/>
  <c r="L1190"/>
  <c r="M1190"/>
  <c r="N1190"/>
  <c r="A1191"/>
  <c r="B1191"/>
  <c r="C1191"/>
  <c r="D1191"/>
  <c r="F1191"/>
  <c r="G1191"/>
  <c r="H1191"/>
  <c r="I1191"/>
  <c r="J1191"/>
  <c r="K1191"/>
  <c r="L1191"/>
  <c r="M1191"/>
  <c r="N1191"/>
  <c r="A1192"/>
  <c r="B1192"/>
  <c r="C1192"/>
  <c r="D1192"/>
  <c r="F1192"/>
  <c r="G1192"/>
  <c r="H1192"/>
  <c r="I1192"/>
  <c r="J1192"/>
  <c r="K1192"/>
  <c r="L1192"/>
  <c r="M1192"/>
  <c r="N1192"/>
  <c r="A1193"/>
  <c r="B1193"/>
  <c r="C1193"/>
  <c r="D1193"/>
  <c r="F1193"/>
  <c r="G1193"/>
  <c r="H1193"/>
  <c r="I1193"/>
  <c r="J1193"/>
  <c r="K1193"/>
  <c r="L1193"/>
  <c r="M1193"/>
  <c r="N1193"/>
  <c r="A1194"/>
  <c r="B1194"/>
  <c r="C1194"/>
  <c r="D1194"/>
  <c r="F1194"/>
  <c r="G1194"/>
  <c r="H1194"/>
  <c r="I1194"/>
  <c r="J1194"/>
  <c r="K1194"/>
  <c r="L1194"/>
  <c r="M1194"/>
  <c r="N1194"/>
  <c r="A1195"/>
  <c r="B1195"/>
  <c r="C1195"/>
  <c r="D1195"/>
  <c r="F1195"/>
  <c r="G1195"/>
  <c r="H1195"/>
  <c r="I1195"/>
  <c r="J1195"/>
  <c r="K1195"/>
  <c r="L1195"/>
  <c r="M1195"/>
  <c r="N1195"/>
  <c r="A1196"/>
  <c r="B1196"/>
  <c r="C1196"/>
  <c r="D1196"/>
  <c r="F1196"/>
  <c r="G1196"/>
  <c r="H1196"/>
  <c r="I1196"/>
  <c r="J1196"/>
  <c r="K1196"/>
  <c r="L1196"/>
  <c r="M1196"/>
  <c r="N1196"/>
  <c r="A1197"/>
  <c r="B1197"/>
  <c r="C1197"/>
  <c r="D1197"/>
  <c r="F1197"/>
  <c r="G1197"/>
  <c r="H1197"/>
  <c r="I1197"/>
  <c r="J1197"/>
  <c r="K1197"/>
  <c r="L1197"/>
  <c r="M1197"/>
  <c r="N1197"/>
  <c r="A1198"/>
  <c r="B1198"/>
  <c r="C1198"/>
  <c r="D1198"/>
  <c r="F1198"/>
  <c r="G1198"/>
  <c r="H1198"/>
  <c r="I1198"/>
  <c r="J1198"/>
  <c r="K1198"/>
  <c r="L1198"/>
  <c r="M1198"/>
  <c r="N1198"/>
  <c r="A1199"/>
  <c r="B1199"/>
  <c r="C1199"/>
  <c r="D1199"/>
  <c r="F1199"/>
  <c r="G1199"/>
  <c r="H1199"/>
  <c r="I1199"/>
  <c r="J1199"/>
  <c r="K1199"/>
  <c r="L1199"/>
  <c r="M1199"/>
  <c r="N1199"/>
  <c r="A1200"/>
  <c r="B1200"/>
  <c r="C1200"/>
  <c r="D1200"/>
  <c r="F1200"/>
  <c r="G1200"/>
  <c r="H1200"/>
  <c r="I1200"/>
  <c r="J1200"/>
  <c r="K1200"/>
  <c r="L1200"/>
  <c r="M1200"/>
  <c r="N1200"/>
  <c r="A1201"/>
  <c r="B1201"/>
  <c r="C1201"/>
  <c r="D1201"/>
  <c r="F1201"/>
  <c r="G1201"/>
  <c r="H1201"/>
  <c r="I1201"/>
  <c r="J1201"/>
  <c r="K1201"/>
  <c r="L1201"/>
  <c r="M1201"/>
  <c r="N1201"/>
  <c r="A1202"/>
  <c r="B1202"/>
  <c r="C1202"/>
  <c r="D1202"/>
  <c r="F1202"/>
  <c r="G1202"/>
  <c r="H1202"/>
  <c r="I1202"/>
  <c r="J1202"/>
  <c r="K1202"/>
  <c r="L1202"/>
  <c r="M1202"/>
  <c r="N1202"/>
  <c r="A1203"/>
  <c r="B1203"/>
  <c r="C1203"/>
  <c r="D1203"/>
  <c r="F1203"/>
  <c r="G1203"/>
  <c r="H1203"/>
  <c r="I1203"/>
  <c r="J1203"/>
  <c r="K1203"/>
  <c r="L1203"/>
  <c r="M1203"/>
  <c r="N1203"/>
  <c r="A1204"/>
  <c r="B1204"/>
  <c r="C1204"/>
  <c r="D1204"/>
  <c r="F1204"/>
  <c r="G1204"/>
  <c r="H1204"/>
  <c r="I1204"/>
  <c r="J1204"/>
  <c r="K1204"/>
  <c r="L1204"/>
  <c r="M1204"/>
  <c r="N1204"/>
  <c r="A1205"/>
  <c r="B1205"/>
  <c r="C1205"/>
  <c r="D1205"/>
  <c r="F1205"/>
  <c r="G1205"/>
  <c r="H1205"/>
  <c r="I1205"/>
  <c r="J1205"/>
  <c r="K1205"/>
  <c r="L1205"/>
  <c r="M1205"/>
  <c r="N1205"/>
  <c r="A1206"/>
  <c r="B1206"/>
  <c r="C1206"/>
  <c r="D1206"/>
  <c r="F1206"/>
  <c r="G1206"/>
  <c r="H1206"/>
  <c r="I1206"/>
  <c r="J1206"/>
  <c r="K1206"/>
  <c r="L1206"/>
  <c r="M1206"/>
  <c r="N1206"/>
  <c r="A1207"/>
  <c r="B1207"/>
  <c r="C1207"/>
  <c r="D1207"/>
  <c r="F1207"/>
  <c r="G1207"/>
  <c r="H1207"/>
  <c r="I1207"/>
  <c r="J1207"/>
  <c r="K1207"/>
  <c r="L1207"/>
  <c r="M1207"/>
  <c r="N1207"/>
  <c r="A1208"/>
  <c r="B1208"/>
  <c r="C1208"/>
  <c r="D1208"/>
  <c r="F1208"/>
  <c r="G1208"/>
  <c r="H1208"/>
  <c r="I1208"/>
  <c r="J1208"/>
  <c r="K1208"/>
  <c r="L1208"/>
  <c r="M1208"/>
  <c r="N1208"/>
  <c r="A1209"/>
  <c r="B1209"/>
  <c r="C1209"/>
  <c r="D1209"/>
  <c r="F1209"/>
  <c r="G1209"/>
  <c r="H1209"/>
  <c r="I1209"/>
  <c r="J1209"/>
  <c r="K1209"/>
  <c r="L1209"/>
  <c r="M1209"/>
  <c r="N1209"/>
  <c r="A1210"/>
  <c r="B1210"/>
  <c r="C1210"/>
  <c r="D1210"/>
  <c r="F1210"/>
  <c r="G1210"/>
  <c r="H1210"/>
  <c r="I1210"/>
  <c r="J1210"/>
  <c r="K1210"/>
  <c r="L1210"/>
  <c r="M1210"/>
  <c r="N1210"/>
  <c r="A1211"/>
  <c r="B1211"/>
  <c r="C1211"/>
  <c r="D1211"/>
  <c r="F1211"/>
  <c r="G1211"/>
  <c r="H1211"/>
  <c r="I1211"/>
  <c r="J1211"/>
  <c r="K1211"/>
  <c r="L1211"/>
  <c r="M1211"/>
  <c r="N1211"/>
  <c r="A1212"/>
  <c r="B1212"/>
  <c r="C1212"/>
  <c r="D1212"/>
  <c r="F1212"/>
  <c r="G1212"/>
  <c r="H1212"/>
  <c r="I1212"/>
  <c r="J1212"/>
  <c r="K1212"/>
  <c r="L1212"/>
  <c r="M1212"/>
  <c r="N1212"/>
  <c r="A1213"/>
  <c r="B1213"/>
  <c r="C1213"/>
  <c r="D1213"/>
  <c r="F1213"/>
  <c r="G1213"/>
  <c r="H1213"/>
  <c r="I1213"/>
  <c r="J1213"/>
  <c r="K1213"/>
  <c r="L1213"/>
  <c r="M1213"/>
  <c r="N1213"/>
  <c r="A1214"/>
  <c r="B1214"/>
  <c r="C1214"/>
  <c r="D1214"/>
  <c r="F1214"/>
  <c r="G1214"/>
  <c r="H1214"/>
  <c r="I1214"/>
  <c r="J1214"/>
  <c r="K1214"/>
  <c r="L1214"/>
  <c r="M1214"/>
  <c r="N1214"/>
  <c r="A1215"/>
  <c r="B1215"/>
  <c r="C1215"/>
  <c r="D1215"/>
  <c r="F1215"/>
  <c r="G1215"/>
  <c r="H1215"/>
  <c r="I1215"/>
  <c r="J1215"/>
  <c r="K1215"/>
  <c r="L1215"/>
  <c r="M1215"/>
  <c r="N1215"/>
  <c r="A1216"/>
  <c r="B1216"/>
  <c r="C1216"/>
  <c r="D1216"/>
  <c r="F1216"/>
  <c r="G1216"/>
  <c r="H1216"/>
  <c r="I1216"/>
  <c r="J1216"/>
  <c r="K1216"/>
  <c r="L1216"/>
  <c r="M1216"/>
  <c r="N1216"/>
  <c r="A1217"/>
  <c r="B1217"/>
  <c r="C1217"/>
  <c r="D1217"/>
  <c r="F1217"/>
  <c r="G1217"/>
  <c r="H1217"/>
  <c r="I1217"/>
  <c r="J1217"/>
  <c r="K1217"/>
  <c r="L1217"/>
  <c r="M1217"/>
  <c r="N1217"/>
  <c r="A1218"/>
  <c r="B1218"/>
  <c r="C1218"/>
  <c r="D1218"/>
  <c r="F1218"/>
  <c r="G1218"/>
  <c r="H1218"/>
  <c r="I1218"/>
  <c r="J1218"/>
  <c r="K1218"/>
  <c r="L1218"/>
  <c r="M1218"/>
  <c r="N1218"/>
  <c r="A1219"/>
  <c r="B1219"/>
  <c r="C1219"/>
  <c r="D1219"/>
  <c r="F1219"/>
  <c r="G1219"/>
  <c r="H1219"/>
  <c r="I1219"/>
  <c r="J1219"/>
  <c r="K1219"/>
  <c r="L1219"/>
  <c r="M1219"/>
  <c r="N1219"/>
  <c r="A1220"/>
  <c r="B1220"/>
  <c r="C1220"/>
  <c r="D1220"/>
  <c r="F1220"/>
  <c r="G1220"/>
  <c r="H1220"/>
  <c r="I1220"/>
  <c r="J1220"/>
  <c r="K1220"/>
  <c r="L1220"/>
  <c r="M1220"/>
  <c r="N1220"/>
  <c r="A1221"/>
  <c r="B1221"/>
  <c r="C1221"/>
  <c r="D1221"/>
  <c r="F1221"/>
  <c r="G1221"/>
  <c r="H1221"/>
  <c r="I1221"/>
  <c r="J1221"/>
  <c r="K1221"/>
  <c r="L1221"/>
  <c r="M1221"/>
  <c r="N1221"/>
  <c r="A1222"/>
  <c r="B1222"/>
  <c r="C1222"/>
  <c r="D1222"/>
  <c r="F1222"/>
  <c r="G1222"/>
  <c r="H1222"/>
  <c r="I1222"/>
  <c r="J1222"/>
  <c r="K1222"/>
  <c r="L1222"/>
  <c r="M1222"/>
  <c r="N1222"/>
  <c r="A1223"/>
  <c r="B1223"/>
  <c r="C1223"/>
  <c r="D1223"/>
  <c r="F1223"/>
  <c r="G1223"/>
  <c r="H1223"/>
  <c r="I1223"/>
  <c r="J1223"/>
  <c r="K1223"/>
  <c r="L1223"/>
  <c r="M1223"/>
  <c r="N1223"/>
  <c r="A1224"/>
  <c r="B1224"/>
  <c r="C1224"/>
  <c r="D1224"/>
  <c r="F1224"/>
  <c r="G1224"/>
  <c r="H1224"/>
  <c r="I1224"/>
  <c r="J1224"/>
  <c r="K1224"/>
  <c r="L1224"/>
  <c r="M1224"/>
  <c r="N1224"/>
  <c r="A1225"/>
  <c r="B1225"/>
  <c r="C1225"/>
  <c r="D1225"/>
  <c r="F1225"/>
  <c r="G1225"/>
  <c r="H1225"/>
  <c r="I1225"/>
  <c r="J1225"/>
  <c r="K1225"/>
  <c r="L1225"/>
  <c r="M1225"/>
  <c r="N1225"/>
  <c r="A1226"/>
  <c r="B1226"/>
  <c r="C1226"/>
  <c r="D1226"/>
  <c r="F1226"/>
  <c r="G1226"/>
  <c r="H1226"/>
  <c r="I1226"/>
  <c r="J1226"/>
  <c r="K1226"/>
  <c r="L1226"/>
  <c r="M1226"/>
  <c r="N1226"/>
  <c r="A1227"/>
  <c r="B1227"/>
  <c r="C1227"/>
  <c r="D1227"/>
  <c r="F1227"/>
  <c r="G1227"/>
  <c r="H1227"/>
  <c r="I1227"/>
  <c r="J1227"/>
  <c r="K1227"/>
  <c r="L1227"/>
  <c r="M1227"/>
  <c r="N1227"/>
  <c r="A1228"/>
  <c r="B1228"/>
  <c r="C1228"/>
  <c r="D1228"/>
  <c r="F1228"/>
  <c r="G1228"/>
  <c r="H1228"/>
  <c r="I1228"/>
  <c r="J1228"/>
  <c r="K1228"/>
  <c r="L1228"/>
  <c r="M1228"/>
  <c r="N1228"/>
  <c r="A1229"/>
  <c r="B1229"/>
  <c r="C1229"/>
  <c r="D1229"/>
  <c r="F1229"/>
  <c r="G1229"/>
  <c r="H1229"/>
  <c r="I1229"/>
  <c r="J1229"/>
  <c r="K1229"/>
  <c r="L1229"/>
  <c r="M1229"/>
  <c r="N1229"/>
  <c r="A1230"/>
  <c r="B1230"/>
  <c r="C1230"/>
  <c r="D1230"/>
  <c r="F1230"/>
  <c r="G1230"/>
  <c r="H1230"/>
  <c r="I1230"/>
  <c r="J1230"/>
  <c r="K1230"/>
  <c r="L1230"/>
  <c r="M1230"/>
  <c r="N1230"/>
  <c r="A1231"/>
  <c r="B1231"/>
  <c r="C1231"/>
  <c r="D1231"/>
  <c r="F1231"/>
  <c r="G1231"/>
  <c r="H1231"/>
  <c r="I1231"/>
  <c r="J1231"/>
  <c r="K1231"/>
  <c r="L1231"/>
  <c r="M1231"/>
  <c r="N1231"/>
  <c r="A1232"/>
  <c r="B1232"/>
  <c r="C1232"/>
  <c r="D1232"/>
  <c r="F1232"/>
  <c r="G1232"/>
  <c r="H1232"/>
  <c r="I1232"/>
  <c r="J1232"/>
  <c r="K1232"/>
  <c r="L1232"/>
  <c r="M1232"/>
  <c r="N1232"/>
  <c r="A1233"/>
  <c r="B1233"/>
  <c r="C1233"/>
  <c r="D1233"/>
  <c r="F1233"/>
  <c r="G1233"/>
  <c r="H1233"/>
  <c r="I1233"/>
  <c r="J1233"/>
  <c r="K1233"/>
  <c r="L1233"/>
  <c r="M1233"/>
  <c r="N1233"/>
  <c r="A1234"/>
  <c r="B1234"/>
  <c r="C1234"/>
  <c r="D1234"/>
  <c r="F1234"/>
  <c r="G1234"/>
  <c r="H1234"/>
  <c r="I1234"/>
  <c r="J1234"/>
  <c r="K1234"/>
  <c r="L1234"/>
  <c r="M1234"/>
  <c r="N1234"/>
  <c r="A1235"/>
  <c r="B1235"/>
  <c r="C1235"/>
  <c r="D1235"/>
  <c r="F1235"/>
  <c r="G1235"/>
  <c r="H1235"/>
  <c r="I1235"/>
  <c r="J1235"/>
  <c r="K1235"/>
  <c r="L1235"/>
  <c r="M1235"/>
  <c r="N1235"/>
  <c r="A1236"/>
  <c r="B1236"/>
  <c r="C1236"/>
  <c r="D1236"/>
  <c r="F1236"/>
  <c r="G1236"/>
  <c r="H1236"/>
  <c r="I1236"/>
  <c r="J1236"/>
  <c r="K1236"/>
  <c r="L1236"/>
  <c r="M1236"/>
  <c r="N1236"/>
  <c r="A1237"/>
  <c r="B1237"/>
  <c r="C1237"/>
  <c r="D1237"/>
  <c r="F1237"/>
  <c r="G1237"/>
  <c r="H1237"/>
  <c r="I1237"/>
  <c r="J1237"/>
  <c r="K1237"/>
  <c r="L1237"/>
  <c r="M1237"/>
  <c r="N1237"/>
  <c r="A1238"/>
  <c r="B1238"/>
  <c r="C1238"/>
  <c r="D1238"/>
  <c r="F1238"/>
  <c r="G1238"/>
  <c r="H1238"/>
  <c r="I1238"/>
  <c r="J1238"/>
  <c r="K1238"/>
  <c r="L1238"/>
  <c r="M1238"/>
  <c r="N1238"/>
  <c r="A1239"/>
  <c r="B1239"/>
  <c r="C1239"/>
  <c r="D1239"/>
  <c r="F1239"/>
  <c r="G1239"/>
  <c r="H1239"/>
  <c r="I1239"/>
  <c r="J1239"/>
  <c r="K1239"/>
  <c r="L1239"/>
  <c r="M1239"/>
  <c r="N1239"/>
  <c r="A1240"/>
  <c r="B1240"/>
  <c r="C1240"/>
  <c r="D1240"/>
  <c r="F1240"/>
  <c r="G1240"/>
  <c r="H1240"/>
  <c r="I1240"/>
  <c r="J1240"/>
  <c r="K1240"/>
  <c r="L1240"/>
  <c r="M1240"/>
  <c r="N1240"/>
  <c r="A1241"/>
  <c r="B1241"/>
  <c r="C1241"/>
  <c r="D1241"/>
  <c r="F1241"/>
  <c r="G1241"/>
  <c r="H1241"/>
  <c r="I1241"/>
  <c r="J1241"/>
  <c r="K1241"/>
  <c r="L1241"/>
  <c r="M1241"/>
  <c r="N1241"/>
  <c r="A1242"/>
  <c r="B1242"/>
  <c r="C1242"/>
  <c r="D1242"/>
  <c r="F1242"/>
  <c r="G1242"/>
  <c r="H1242"/>
  <c r="I1242"/>
  <c r="J1242"/>
  <c r="K1242"/>
  <c r="L1242"/>
  <c r="M1242"/>
  <c r="N1242"/>
  <c r="A1243"/>
  <c r="B1243"/>
  <c r="C1243"/>
  <c r="D1243"/>
  <c r="F1243"/>
  <c r="G1243"/>
  <c r="H1243"/>
  <c r="I1243"/>
  <c r="J1243"/>
  <c r="K1243"/>
  <c r="L1243"/>
  <c r="M1243"/>
  <c r="N1243"/>
  <c r="A1244"/>
  <c r="B1244"/>
  <c r="C1244"/>
  <c r="D1244"/>
  <c r="F1244"/>
  <c r="G1244"/>
  <c r="H1244"/>
  <c r="I1244"/>
  <c r="J1244"/>
  <c r="K1244"/>
  <c r="L1244"/>
  <c r="M1244"/>
  <c r="N1244"/>
  <c r="A1245"/>
  <c r="B1245"/>
  <c r="C1245"/>
  <c r="D1245"/>
  <c r="F1245"/>
  <c r="G1245"/>
  <c r="H1245"/>
  <c r="I1245"/>
  <c r="J1245"/>
  <c r="K1245"/>
  <c r="L1245"/>
  <c r="M1245"/>
  <c r="N1245"/>
  <c r="A1246"/>
  <c r="B1246"/>
  <c r="C1246"/>
  <c r="D1246"/>
  <c r="F1246"/>
  <c r="G1246"/>
  <c r="H1246"/>
  <c r="I1246"/>
  <c r="J1246"/>
  <c r="K1246"/>
  <c r="L1246"/>
  <c r="M1246"/>
  <c r="N1246"/>
  <c r="A1247"/>
  <c r="B1247"/>
  <c r="C1247"/>
  <c r="D1247"/>
  <c r="F1247"/>
  <c r="G1247"/>
  <c r="H1247"/>
  <c r="I1247"/>
  <c r="J1247"/>
  <c r="K1247"/>
  <c r="L1247"/>
  <c r="M1247"/>
  <c r="N1247"/>
  <c r="A1248"/>
  <c r="B1248"/>
  <c r="C1248"/>
  <c r="D1248"/>
  <c r="F1248"/>
  <c r="G1248"/>
  <c r="H1248"/>
  <c r="I1248"/>
  <c r="J1248"/>
  <c r="K1248"/>
  <c r="L1248"/>
  <c r="M1248"/>
  <c r="N1248"/>
  <c r="A1249"/>
  <c r="B1249"/>
  <c r="C1249"/>
  <c r="D1249"/>
  <c r="F1249"/>
  <c r="G1249"/>
  <c r="H1249"/>
  <c r="I1249"/>
  <c r="J1249"/>
  <c r="K1249"/>
  <c r="L1249"/>
  <c r="M1249"/>
  <c r="N1249"/>
  <c r="A1250"/>
  <c r="B1250"/>
  <c r="C1250"/>
  <c r="D1250"/>
  <c r="F1250"/>
  <c r="G1250"/>
  <c r="H1250"/>
  <c r="I1250"/>
  <c r="J1250"/>
  <c r="K1250"/>
  <c r="L1250"/>
  <c r="M1250"/>
  <c r="N1250"/>
  <c r="A1251"/>
  <c r="B1251"/>
  <c r="C1251"/>
  <c r="D1251"/>
  <c r="F1251"/>
  <c r="G1251"/>
  <c r="H1251"/>
  <c r="I1251"/>
  <c r="J1251"/>
  <c r="K1251"/>
  <c r="L1251"/>
  <c r="M1251"/>
  <c r="N1251"/>
  <c r="A1252"/>
  <c r="B1252"/>
  <c r="C1252"/>
  <c r="D1252"/>
  <c r="F1252"/>
  <c r="G1252"/>
  <c r="H1252"/>
  <c r="I1252"/>
  <c r="J1252"/>
  <c r="K1252"/>
  <c r="L1252"/>
  <c r="M1252"/>
  <c r="N1252"/>
  <c r="A1253"/>
  <c r="B1253"/>
  <c r="C1253"/>
  <c r="D1253"/>
  <c r="F1253"/>
  <c r="G1253"/>
  <c r="H1253"/>
  <c r="I1253"/>
  <c r="J1253"/>
  <c r="K1253"/>
  <c r="L1253"/>
  <c r="M1253"/>
  <c r="N1253"/>
  <c r="A1254"/>
  <c r="B1254"/>
  <c r="C1254"/>
  <c r="D1254"/>
  <c r="F1254"/>
  <c r="G1254"/>
  <c r="H1254"/>
  <c r="I1254"/>
  <c r="J1254"/>
  <c r="K1254"/>
  <c r="L1254"/>
  <c r="M1254"/>
  <c r="N1254"/>
  <c r="A1255"/>
  <c r="B1255"/>
  <c r="C1255"/>
  <c r="D1255"/>
  <c r="F1255"/>
  <c r="G1255"/>
  <c r="H1255"/>
  <c r="I1255"/>
  <c r="J1255"/>
  <c r="K1255"/>
  <c r="L1255"/>
  <c r="M1255"/>
  <c r="N1255"/>
  <c r="A1256"/>
  <c r="B1256"/>
  <c r="C1256"/>
  <c r="D1256"/>
  <c r="F1256"/>
  <c r="G1256"/>
  <c r="H1256"/>
  <c r="I1256"/>
  <c r="J1256"/>
  <c r="K1256"/>
  <c r="L1256"/>
  <c r="M1256"/>
  <c r="N1256"/>
  <c r="A1257"/>
  <c r="B1257"/>
  <c r="C1257"/>
  <c r="D1257"/>
  <c r="F1257"/>
  <c r="G1257"/>
  <c r="H1257"/>
  <c r="I1257"/>
  <c r="J1257"/>
  <c r="K1257"/>
  <c r="L1257"/>
  <c r="M1257"/>
  <c r="N1257"/>
  <c r="A1258"/>
  <c r="B1258"/>
  <c r="C1258"/>
  <c r="D1258"/>
  <c r="F1258"/>
  <c r="G1258"/>
  <c r="H1258"/>
  <c r="I1258"/>
  <c r="J1258"/>
  <c r="K1258"/>
  <c r="L1258"/>
  <c r="M1258"/>
  <c r="N1258"/>
  <c r="A1259"/>
  <c r="B1259"/>
  <c r="C1259"/>
  <c r="D1259"/>
  <c r="F1259"/>
  <c r="G1259"/>
  <c r="H1259"/>
  <c r="I1259"/>
  <c r="J1259"/>
  <c r="K1259"/>
  <c r="L1259"/>
  <c r="M1259"/>
  <c r="N1259"/>
  <c r="A1260"/>
  <c r="B1260"/>
  <c r="C1260"/>
  <c r="D1260"/>
  <c r="F1260"/>
  <c r="G1260"/>
  <c r="H1260"/>
  <c r="I1260"/>
  <c r="J1260"/>
  <c r="K1260"/>
  <c r="L1260"/>
  <c r="M1260"/>
  <c r="N1260"/>
  <c r="A1261"/>
  <c r="B1261"/>
  <c r="C1261"/>
  <c r="D1261"/>
  <c r="F1261"/>
  <c r="G1261"/>
  <c r="H1261"/>
  <c r="I1261"/>
  <c r="J1261"/>
  <c r="K1261"/>
  <c r="L1261"/>
  <c r="M1261"/>
  <c r="N1261"/>
  <c r="A1262"/>
  <c r="B1262"/>
  <c r="C1262"/>
  <c r="D1262"/>
  <c r="F1262"/>
  <c r="G1262"/>
  <c r="H1262"/>
  <c r="I1262"/>
  <c r="J1262"/>
  <c r="K1262"/>
  <c r="L1262"/>
  <c r="M1262"/>
  <c r="N1262"/>
  <c r="A1263"/>
  <c r="B1263"/>
  <c r="C1263"/>
  <c r="D1263"/>
  <c r="F1263"/>
  <c r="G1263"/>
  <c r="H1263"/>
  <c r="I1263"/>
  <c r="J1263"/>
  <c r="K1263"/>
  <c r="L1263"/>
  <c r="M1263"/>
  <c r="N1263"/>
  <c r="A1264"/>
  <c r="B1264"/>
  <c r="C1264"/>
  <c r="D1264"/>
  <c r="F1264"/>
  <c r="G1264"/>
  <c r="H1264"/>
  <c r="I1264"/>
  <c r="J1264"/>
  <c r="K1264"/>
  <c r="L1264"/>
  <c r="M1264"/>
  <c r="N1264"/>
  <c r="A1265"/>
  <c r="B1265"/>
  <c r="C1265"/>
  <c r="D1265"/>
  <c r="F1265"/>
  <c r="G1265"/>
  <c r="H1265"/>
  <c r="I1265"/>
  <c r="J1265"/>
  <c r="K1265"/>
  <c r="L1265"/>
  <c r="M1265"/>
  <c r="N1265"/>
  <c r="A1266"/>
  <c r="B1266"/>
  <c r="C1266"/>
  <c r="D1266"/>
  <c r="F1266"/>
  <c r="G1266"/>
  <c r="H1266"/>
  <c r="I1266"/>
  <c r="J1266"/>
  <c r="K1266"/>
  <c r="L1266"/>
  <c r="M1266"/>
  <c r="N1266"/>
  <c r="A1267"/>
  <c r="B1267"/>
  <c r="C1267"/>
  <c r="D1267"/>
  <c r="F1267"/>
  <c r="G1267"/>
  <c r="H1267"/>
  <c r="I1267"/>
  <c r="J1267"/>
  <c r="K1267"/>
  <c r="L1267"/>
  <c r="M1267"/>
  <c r="N1267"/>
  <c r="A1268"/>
  <c r="B1268"/>
  <c r="C1268"/>
  <c r="D1268"/>
  <c r="F1268"/>
  <c r="G1268"/>
  <c r="H1268"/>
  <c r="I1268"/>
  <c r="J1268"/>
  <c r="K1268"/>
  <c r="L1268"/>
  <c r="M1268"/>
  <c r="N1268"/>
  <c r="A1269"/>
  <c r="B1269"/>
  <c r="C1269"/>
  <c r="D1269"/>
  <c r="F1269"/>
  <c r="G1269"/>
  <c r="H1269"/>
  <c r="I1269"/>
  <c r="J1269"/>
  <c r="K1269"/>
  <c r="L1269"/>
  <c r="M1269"/>
  <c r="N1269"/>
  <c r="A1270"/>
  <c r="B1270"/>
  <c r="C1270"/>
  <c r="D1270"/>
  <c r="F1270"/>
  <c r="G1270"/>
  <c r="H1270"/>
  <c r="I1270"/>
  <c r="J1270"/>
  <c r="K1270"/>
  <c r="L1270"/>
  <c r="M1270"/>
  <c r="N1270"/>
  <c r="A1271"/>
  <c r="B1271"/>
  <c r="C1271"/>
  <c r="D1271"/>
  <c r="F1271"/>
  <c r="G1271"/>
  <c r="H1271"/>
  <c r="I1271"/>
  <c r="J1271"/>
  <c r="K1271"/>
  <c r="L1271"/>
  <c r="M1271"/>
  <c r="N1271"/>
  <c r="A1272"/>
  <c r="B1272"/>
  <c r="C1272"/>
  <c r="D1272"/>
  <c r="F1272"/>
  <c r="G1272"/>
  <c r="H1272"/>
  <c r="I1272"/>
  <c r="J1272"/>
  <c r="K1272"/>
  <c r="L1272"/>
  <c r="M1272"/>
  <c r="N1272"/>
  <c r="A1273"/>
  <c r="B1273"/>
  <c r="C1273"/>
  <c r="D1273"/>
  <c r="F1273"/>
  <c r="G1273"/>
  <c r="H1273"/>
  <c r="I1273"/>
  <c r="J1273"/>
  <c r="K1273"/>
  <c r="L1273"/>
  <c r="M1273"/>
  <c r="N1273"/>
  <c r="A1274"/>
  <c r="B1274"/>
  <c r="C1274"/>
  <c r="D1274"/>
  <c r="F1274"/>
  <c r="G1274"/>
  <c r="H1274"/>
  <c r="I1274"/>
  <c r="J1274"/>
  <c r="K1274"/>
  <c r="L1274"/>
  <c r="M1274"/>
  <c r="N1274"/>
  <c r="A1275"/>
  <c r="B1275"/>
  <c r="C1275"/>
  <c r="D1275"/>
  <c r="F1275"/>
  <c r="G1275"/>
  <c r="H1275"/>
  <c r="I1275"/>
  <c r="J1275"/>
  <c r="K1275"/>
  <c r="L1275"/>
  <c r="M1275"/>
  <c r="N1275"/>
  <c r="A1276"/>
  <c r="B1276"/>
  <c r="C1276"/>
  <c r="D1276"/>
  <c r="F1276"/>
  <c r="G1276"/>
  <c r="H1276"/>
  <c r="I1276"/>
  <c r="J1276"/>
  <c r="K1276"/>
  <c r="L1276"/>
  <c r="M1276"/>
  <c r="N1276"/>
  <c r="A1277"/>
  <c r="B1277"/>
  <c r="C1277"/>
  <c r="D1277"/>
  <c r="F1277"/>
  <c r="G1277"/>
  <c r="H1277"/>
  <c r="I1277"/>
  <c r="J1277"/>
  <c r="K1277"/>
  <c r="L1277"/>
  <c r="M1277"/>
  <c r="N1277"/>
  <c r="A1278"/>
  <c r="B1278"/>
  <c r="C1278"/>
  <c r="D1278"/>
  <c r="F1278"/>
  <c r="G1278"/>
  <c r="H1278"/>
  <c r="I1278"/>
  <c r="J1278"/>
  <c r="K1278"/>
  <c r="L1278"/>
  <c r="M1278"/>
  <c r="N1278"/>
  <c r="A1279"/>
  <c r="B1279"/>
  <c r="C1279"/>
  <c r="D1279"/>
  <c r="F1279"/>
  <c r="G1279"/>
  <c r="H1279"/>
  <c r="I1279"/>
  <c r="J1279"/>
  <c r="K1279"/>
  <c r="L1279"/>
  <c r="M1279"/>
  <c r="N1279"/>
  <c r="A1280"/>
  <c r="B1280"/>
  <c r="C1280"/>
  <c r="D1280"/>
  <c r="F1280"/>
  <c r="G1280"/>
  <c r="H1280"/>
  <c r="I1280"/>
  <c r="J1280"/>
  <c r="K1280"/>
  <c r="L1280"/>
  <c r="M1280"/>
  <c r="N1280"/>
  <c r="A1281"/>
  <c r="B1281"/>
  <c r="C1281"/>
  <c r="D1281"/>
  <c r="F1281"/>
  <c r="G1281"/>
  <c r="H1281"/>
  <c r="I1281"/>
  <c r="J1281"/>
  <c r="K1281"/>
  <c r="L1281"/>
  <c r="M1281"/>
  <c r="N1281"/>
  <c r="A1282"/>
  <c r="B1282"/>
  <c r="C1282"/>
  <c r="D1282"/>
  <c r="F1282"/>
  <c r="G1282"/>
  <c r="H1282"/>
  <c r="I1282"/>
  <c r="J1282"/>
  <c r="K1282"/>
  <c r="L1282"/>
  <c r="M1282"/>
  <c r="N1282"/>
  <c r="A1283"/>
  <c r="B1283"/>
  <c r="C1283"/>
  <c r="D1283"/>
  <c r="F1283"/>
  <c r="G1283"/>
  <c r="H1283"/>
  <c r="I1283"/>
  <c r="J1283"/>
  <c r="K1283"/>
  <c r="L1283"/>
  <c r="M1283"/>
  <c r="N1283"/>
  <c r="A1284"/>
  <c r="B1284"/>
  <c r="C1284"/>
  <c r="D1284"/>
  <c r="F1284"/>
  <c r="G1284"/>
  <c r="H1284"/>
  <c r="I1284"/>
  <c r="J1284"/>
  <c r="K1284"/>
  <c r="L1284"/>
  <c r="M1284"/>
  <c r="N1284"/>
  <c r="A1285"/>
  <c r="B1285"/>
  <c r="C1285"/>
  <c r="D1285"/>
  <c r="F1285"/>
  <c r="G1285"/>
  <c r="H1285"/>
  <c r="I1285"/>
  <c r="J1285"/>
  <c r="K1285"/>
  <c r="L1285"/>
  <c r="M1285"/>
  <c r="N1285"/>
  <c r="A1286"/>
  <c r="B1286"/>
  <c r="C1286"/>
  <c r="D1286"/>
  <c r="F1286"/>
  <c r="G1286"/>
  <c r="H1286"/>
  <c r="I1286"/>
  <c r="J1286"/>
  <c r="K1286"/>
  <c r="L1286"/>
  <c r="M1286"/>
  <c r="N1286"/>
  <c r="A1287"/>
  <c r="B1287"/>
  <c r="C1287"/>
  <c r="D1287"/>
  <c r="F1287"/>
  <c r="G1287"/>
  <c r="H1287"/>
  <c r="I1287"/>
  <c r="J1287"/>
  <c r="K1287"/>
  <c r="L1287"/>
  <c r="M1287"/>
  <c r="N1287"/>
  <c r="A1288"/>
  <c r="B1288"/>
  <c r="C1288"/>
  <c r="D1288"/>
  <c r="F1288"/>
  <c r="G1288"/>
  <c r="H1288"/>
  <c r="I1288"/>
  <c r="J1288"/>
  <c r="K1288"/>
  <c r="L1288"/>
  <c r="M1288"/>
  <c r="N1288"/>
  <c r="A1289"/>
  <c r="B1289"/>
  <c r="C1289"/>
  <c r="D1289"/>
  <c r="F1289"/>
  <c r="G1289"/>
  <c r="H1289"/>
  <c r="I1289"/>
  <c r="J1289"/>
  <c r="K1289"/>
  <c r="L1289"/>
  <c r="M1289"/>
  <c r="N1289"/>
  <c r="A1290"/>
  <c r="B1290"/>
  <c r="C1290"/>
  <c r="D1290"/>
  <c r="F1290"/>
  <c r="G1290"/>
  <c r="H1290"/>
  <c r="I1290"/>
  <c r="J1290"/>
  <c r="K1290"/>
  <c r="L1290"/>
  <c r="M1290"/>
  <c r="N1290"/>
  <c r="A1291"/>
  <c r="B1291"/>
  <c r="C1291"/>
  <c r="D1291"/>
  <c r="F1291"/>
  <c r="G1291"/>
  <c r="H1291"/>
  <c r="I1291"/>
  <c r="J1291"/>
  <c r="K1291"/>
  <c r="L1291"/>
  <c r="M1291"/>
  <c r="N1291"/>
  <c r="A1292"/>
  <c r="B1292"/>
  <c r="C1292"/>
  <c r="D1292"/>
  <c r="F1292"/>
  <c r="G1292"/>
  <c r="H1292"/>
  <c r="I1292"/>
  <c r="J1292"/>
  <c r="K1292"/>
  <c r="L1292"/>
  <c r="M1292"/>
  <c r="N1292"/>
  <c r="A1293"/>
  <c r="B1293"/>
  <c r="C1293"/>
  <c r="D1293"/>
  <c r="F1293"/>
  <c r="G1293"/>
  <c r="H1293"/>
  <c r="I1293"/>
  <c r="J1293"/>
  <c r="K1293"/>
  <c r="L1293"/>
  <c r="M1293"/>
  <c r="N1293"/>
  <c r="A1294"/>
  <c r="B1294"/>
  <c r="C1294"/>
  <c r="D1294"/>
  <c r="F1294"/>
  <c r="G1294"/>
  <c r="H1294"/>
  <c r="I1294"/>
  <c r="J1294"/>
  <c r="K1294"/>
  <c r="L1294"/>
  <c r="M1294"/>
  <c r="N1294"/>
  <c r="A1295"/>
  <c r="B1295"/>
  <c r="C1295"/>
  <c r="D1295"/>
  <c r="F1295"/>
  <c r="G1295"/>
  <c r="H1295"/>
  <c r="I1295"/>
  <c r="J1295"/>
  <c r="K1295"/>
  <c r="L1295"/>
  <c r="M1295"/>
  <c r="N1295"/>
  <c r="A1296"/>
  <c r="B1296"/>
  <c r="C1296"/>
  <c r="D1296"/>
  <c r="F1296"/>
  <c r="G1296"/>
  <c r="H1296"/>
  <c r="I1296"/>
  <c r="J1296"/>
  <c r="K1296"/>
  <c r="L1296"/>
  <c r="M1296"/>
  <c r="N1296"/>
  <c r="A1297"/>
  <c r="B1297"/>
  <c r="C1297"/>
  <c r="D1297"/>
  <c r="F1297"/>
  <c r="G1297"/>
  <c r="H1297"/>
  <c r="I1297"/>
  <c r="J1297"/>
  <c r="K1297"/>
  <c r="L1297"/>
  <c r="M1297"/>
  <c r="N1297"/>
  <c r="A1298"/>
  <c r="B1298"/>
  <c r="C1298"/>
  <c r="D1298"/>
  <c r="F1298"/>
  <c r="G1298"/>
  <c r="H1298"/>
  <c r="I1298"/>
  <c r="J1298"/>
  <c r="K1298"/>
  <c r="L1298"/>
  <c r="M1298"/>
  <c r="N1298"/>
  <c r="A1299"/>
  <c r="B1299"/>
  <c r="C1299"/>
  <c r="D1299"/>
  <c r="F1299"/>
  <c r="G1299"/>
  <c r="H1299"/>
  <c r="I1299"/>
  <c r="J1299"/>
  <c r="K1299"/>
  <c r="L1299"/>
  <c r="M1299"/>
  <c r="N1299"/>
  <c r="A1300"/>
  <c r="B1300"/>
  <c r="C1300"/>
  <c r="D1300"/>
  <c r="F1300"/>
  <c r="G1300"/>
  <c r="H1300"/>
  <c r="I1300"/>
  <c r="J1300"/>
  <c r="K1300"/>
  <c r="L1300"/>
  <c r="M1300"/>
  <c r="N1300"/>
  <c r="A1301"/>
  <c r="B1301"/>
  <c r="C1301"/>
  <c r="D1301"/>
  <c r="F1301"/>
  <c r="G1301"/>
  <c r="H1301"/>
  <c r="I1301"/>
  <c r="J1301"/>
  <c r="K1301"/>
  <c r="L1301"/>
  <c r="M1301"/>
  <c r="N1301"/>
  <c r="A1302"/>
  <c r="B1302"/>
  <c r="C1302"/>
  <c r="D1302"/>
  <c r="F1302"/>
  <c r="G1302"/>
  <c r="H1302"/>
  <c r="I1302"/>
  <c r="J1302"/>
  <c r="K1302"/>
  <c r="L1302"/>
  <c r="M1302"/>
  <c r="N1302"/>
  <c r="A1303"/>
  <c r="B1303"/>
  <c r="C1303"/>
  <c r="D1303"/>
  <c r="F1303"/>
  <c r="G1303"/>
  <c r="H1303"/>
  <c r="I1303"/>
  <c r="J1303"/>
  <c r="K1303"/>
  <c r="L1303"/>
  <c r="M1303"/>
  <c r="N1303"/>
  <c r="A1304"/>
  <c r="B1304"/>
  <c r="C1304"/>
  <c r="D1304"/>
  <c r="F1304"/>
  <c r="G1304"/>
  <c r="H1304"/>
  <c r="I1304"/>
  <c r="J1304"/>
  <c r="K1304"/>
  <c r="L1304"/>
  <c r="M1304"/>
  <c r="N1304"/>
  <c r="A1305"/>
  <c r="B1305"/>
  <c r="C1305"/>
  <c r="D1305"/>
  <c r="F1305"/>
  <c r="G1305"/>
  <c r="H1305"/>
  <c r="I1305"/>
  <c r="J1305"/>
  <c r="K1305"/>
  <c r="L1305"/>
  <c r="M1305"/>
  <c r="N1305"/>
  <c r="A1306"/>
  <c r="B1306"/>
  <c r="C1306"/>
  <c r="D1306"/>
  <c r="F1306"/>
  <c r="G1306"/>
  <c r="H1306"/>
  <c r="I1306"/>
  <c r="J1306"/>
  <c r="K1306"/>
  <c r="L1306"/>
  <c r="M1306"/>
  <c r="N1306"/>
  <c r="A1307"/>
  <c r="B1307"/>
  <c r="C1307"/>
  <c r="D1307"/>
  <c r="F1307"/>
  <c r="G1307"/>
  <c r="H1307"/>
  <c r="I1307"/>
  <c r="J1307"/>
  <c r="K1307"/>
  <c r="L1307"/>
  <c r="M1307"/>
  <c r="N1307"/>
  <c r="A1308"/>
  <c r="B1308"/>
  <c r="C1308"/>
  <c r="D1308"/>
  <c r="F1308"/>
  <c r="G1308"/>
  <c r="H1308"/>
  <c r="I1308"/>
  <c r="J1308"/>
  <c r="K1308"/>
  <c r="L1308"/>
  <c r="M1308"/>
  <c r="N1308"/>
  <c r="A1309"/>
  <c r="B1309"/>
  <c r="C1309"/>
  <c r="D1309"/>
  <c r="F1309"/>
  <c r="G1309"/>
  <c r="H1309"/>
  <c r="I1309"/>
  <c r="J1309"/>
  <c r="K1309"/>
  <c r="L1309"/>
  <c r="M1309"/>
  <c r="N1309"/>
  <c r="A1310"/>
  <c r="B1310"/>
  <c r="C1310"/>
  <c r="D1310"/>
  <c r="F1310"/>
  <c r="G1310"/>
  <c r="H1310"/>
  <c r="I1310"/>
  <c r="J1310"/>
  <c r="K1310"/>
  <c r="L1310"/>
  <c r="M1310"/>
  <c r="N1310"/>
  <c r="A1311"/>
  <c r="B1311"/>
  <c r="C1311"/>
  <c r="D1311"/>
  <c r="F1311"/>
  <c r="G1311"/>
  <c r="H1311"/>
  <c r="I1311"/>
  <c r="J1311"/>
  <c r="K1311"/>
  <c r="L1311"/>
  <c r="M1311"/>
  <c r="N1311"/>
  <c r="A1312"/>
  <c r="B1312"/>
  <c r="C1312"/>
  <c r="D1312"/>
  <c r="F1312"/>
  <c r="G1312"/>
  <c r="H1312"/>
  <c r="I1312"/>
  <c r="J1312"/>
  <c r="K1312"/>
  <c r="L1312"/>
  <c r="M1312"/>
  <c r="N1312"/>
  <c r="A1313"/>
  <c r="B1313"/>
  <c r="C1313"/>
  <c r="D1313"/>
  <c r="F1313"/>
  <c r="G1313"/>
  <c r="H1313"/>
  <c r="I1313"/>
  <c r="J1313"/>
  <c r="K1313"/>
  <c r="L1313"/>
  <c r="M1313"/>
  <c r="N1313"/>
  <c r="A1314"/>
  <c r="B1314"/>
  <c r="C1314"/>
  <c r="D1314"/>
  <c r="F1314"/>
  <c r="G1314"/>
  <c r="H1314"/>
  <c r="I1314"/>
  <c r="J1314"/>
  <c r="K1314"/>
  <c r="L1314"/>
  <c r="M1314"/>
  <c r="N1314"/>
  <c r="A1315"/>
  <c r="B1315"/>
  <c r="C1315"/>
  <c r="D1315"/>
  <c r="F1315"/>
  <c r="G1315"/>
  <c r="H1315"/>
  <c r="I1315"/>
  <c r="J1315"/>
  <c r="K1315"/>
  <c r="L1315"/>
  <c r="M1315"/>
  <c r="N1315"/>
  <c r="A1316"/>
  <c r="B1316"/>
  <c r="C1316"/>
  <c r="D1316"/>
  <c r="F1316"/>
  <c r="G1316"/>
  <c r="H1316"/>
  <c r="I1316"/>
  <c r="J1316"/>
  <c r="K1316"/>
  <c r="L1316"/>
  <c r="M1316"/>
  <c r="N1316"/>
  <c r="A1317"/>
  <c r="B1317"/>
  <c r="C1317"/>
  <c r="D1317"/>
  <c r="F1317"/>
  <c r="G1317"/>
  <c r="H1317"/>
  <c r="I1317"/>
  <c r="J1317"/>
  <c r="K1317"/>
  <c r="L1317"/>
  <c r="M1317"/>
  <c r="N1317"/>
  <c r="A1318"/>
  <c r="B1318"/>
  <c r="C1318"/>
  <c r="D1318"/>
  <c r="F1318"/>
  <c r="G1318"/>
  <c r="H1318"/>
  <c r="I1318"/>
  <c r="J1318"/>
  <c r="K1318"/>
  <c r="L1318"/>
  <c r="M1318"/>
  <c r="N1318"/>
  <c r="A1319"/>
  <c r="B1319"/>
  <c r="C1319"/>
  <c r="D1319"/>
  <c r="F1319"/>
  <c r="G1319"/>
  <c r="H1319"/>
  <c r="I1319"/>
  <c r="J1319"/>
  <c r="K1319"/>
  <c r="L1319"/>
  <c r="M1319"/>
  <c r="N1319"/>
  <c r="A1320"/>
  <c r="B1320"/>
  <c r="C1320"/>
  <c r="D1320"/>
  <c r="F1320"/>
  <c r="G1320"/>
  <c r="H1320"/>
  <c r="I1320"/>
  <c r="J1320"/>
  <c r="K1320"/>
  <c r="L1320"/>
  <c r="M1320"/>
  <c r="N1320"/>
  <c r="A1321"/>
  <c r="B1321"/>
  <c r="C1321"/>
  <c r="D1321"/>
  <c r="F1321"/>
  <c r="G1321"/>
  <c r="H1321"/>
  <c r="I1321"/>
  <c r="J1321"/>
  <c r="K1321"/>
  <c r="L1321"/>
  <c r="M1321"/>
  <c r="N1321"/>
  <c r="A1322"/>
  <c r="B1322"/>
  <c r="C1322"/>
  <c r="D1322"/>
  <c r="F1322"/>
  <c r="G1322"/>
  <c r="H1322"/>
  <c r="I1322"/>
  <c r="J1322"/>
  <c r="K1322"/>
  <c r="L1322"/>
  <c r="M1322"/>
  <c r="N1322"/>
  <c r="A1323"/>
  <c r="B1323"/>
  <c r="C1323"/>
  <c r="D1323"/>
  <c r="F1323"/>
  <c r="G1323"/>
  <c r="H1323"/>
  <c r="I1323"/>
  <c r="J1323"/>
  <c r="K1323"/>
  <c r="L1323"/>
  <c r="M1323"/>
  <c r="N1323"/>
  <c r="A1324"/>
  <c r="B1324"/>
  <c r="C1324"/>
  <c r="D1324"/>
  <c r="F1324"/>
  <c r="G1324"/>
  <c r="H1324"/>
  <c r="I1324"/>
  <c r="J1324"/>
  <c r="K1324"/>
  <c r="L1324"/>
  <c r="M1324"/>
  <c r="N1324"/>
  <c r="A1325"/>
  <c r="B1325"/>
  <c r="C1325"/>
  <c r="D1325"/>
  <c r="F1325"/>
  <c r="G1325"/>
  <c r="H1325"/>
  <c r="I1325"/>
  <c r="J1325"/>
  <c r="K1325"/>
  <c r="L1325"/>
  <c r="M1325"/>
  <c r="N1325"/>
  <c r="A1326"/>
  <c r="B1326"/>
  <c r="C1326"/>
  <c r="D1326"/>
  <c r="F1326"/>
  <c r="G1326"/>
  <c r="H1326"/>
  <c r="I1326"/>
  <c r="J1326"/>
  <c r="K1326"/>
  <c r="L1326"/>
  <c r="M1326"/>
  <c r="N1326"/>
  <c r="A1327"/>
  <c r="B1327"/>
  <c r="C1327"/>
  <c r="D1327"/>
  <c r="F1327"/>
  <c r="G1327"/>
  <c r="H1327"/>
  <c r="I1327"/>
  <c r="J1327"/>
  <c r="K1327"/>
  <c r="L1327"/>
  <c r="M1327"/>
  <c r="N1327"/>
  <c r="A1328"/>
  <c r="B1328"/>
  <c r="C1328"/>
  <c r="D1328"/>
  <c r="F1328"/>
  <c r="G1328"/>
  <c r="H1328"/>
  <c r="I1328"/>
  <c r="J1328"/>
  <c r="K1328"/>
  <c r="L1328"/>
  <c r="M1328"/>
  <c r="N1328"/>
  <c r="A1329"/>
  <c r="B1329"/>
  <c r="C1329"/>
  <c r="D1329"/>
  <c r="F1329"/>
  <c r="G1329"/>
  <c r="H1329"/>
  <c r="I1329"/>
  <c r="J1329"/>
  <c r="K1329"/>
  <c r="L1329"/>
  <c r="M1329"/>
  <c r="N1329"/>
  <c r="A1330"/>
  <c r="B1330"/>
  <c r="C1330"/>
  <c r="D1330"/>
  <c r="F1330"/>
  <c r="G1330"/>
  <c r="H1330"/>
  <c r="I1330"/>
  <c r="J1330"/>
  <c r="K1330"/>
  <c r="L1330"/>
  <c r="M1330"/>
  <c r="N1330"/>
  <c r="A1331"/>
  <c r="B1331"/>
  <c r="C1331"/>
  <c r="D1331"/>
  <c r="F1331"/>
  <c r="G1331"/>
  <c r="H1331"/>
  <c r="I1331"/>
  <c r="J1331"/>
  <c r="K1331"/>
  <c r="L1331"/>
  <c r="M1331"/>
  <c r="N1331"/>
  <c r="A1332"/>
  <c r="B1332"/>
  <c r="C1332"/>
  <c r="D1332"/>
  <c r="F1332"/>
  <c r="G1332"/>
  <c r="H1332"/>
  <c r="I1332"/>
  <c r="J1332"/>
  <c r="K1332"/>
  <c r="L1332"/>
  <c r="M1332"/>
  <c r="N1332"/>
  <c r="A1333"/>
  <c r="B1333"/>
  <c r="C1333"/>
  <c r="D1333"/>
  <c r="F1333"/>
  <c r="G1333"/>
  <c r="H1333"/>
  <c r="I1333"/>
  <c r="J1333"/>
  <c r="K1333"/>
  <c r="L1333"/>
  <c r="M1333"/>
  <c r="N1333"/>
  <c r="A1334"/>
  <c r="B1334"/>
  <c r="C1334"/>
  <c r="D1334"/>
  <c r="F1334"/>
  <c r="G1334"/>
  <c r="H1334"/>
  <c r="I1334"/>
  <c r="J1334"/>
  <c r="K1334"/>
  <c r="L1334"/>
  <c r="M1334"/>
  <c r="N1334"/>
  <c r="A1335"/>
  <c r="B1335"/>
  <c r="C1335"/>
  <c r="D1335"/>
  <c r="F1335"/>
  <c r="G1335"/>
  <c r="H1335"/>
  <c r="I1335"/>
  <c r="J1335"/>
  <c r="K1335"/>
  <c r="L1335"/>
  <c r="M1335"/>
  <c r="N1335"/>
  <c r="A1336"/>
  <c r="B1336"/>
  <c r="C1336"/>
  <c r="D1336"/>
  <c r="F1336"/>
  <c r="G1336"/>
  <c r="H1336"/>
  <c r="I1336"/>
  <c r="J1336"/>
  <c r="K1336"/>
  <c r="L1336"/>
  <c r="M1336"/>
  <c r="N1336"/>
  <c r="A1337"/>
  <c r="B1337"/>
  <c r="C1337"/>
  <c r="D1337"/>
  <c r="F1337"/>
  <c r="G1337"/>
  <c r="H1337"/>
  <c r="I1337"/>
  <c r="J1337"/>
  <c r="K1337"/>
  <c r="L1337"/>
  <c r="M1337"/>
  <c r="N1337"/>
  <c r="A1338"/>
  <c r="B1338"/>
  <c r="C1338"/>
  <c r="D1338"/>
  <c r="F1338"/>
  <c r="G1338"/>
  <c r="H1338"/>
  <c r="I1338"/>
  <c r="J1338"/>
  <c r="K1338"/>
  <c r="L1338"/>
  <c r="M1338"/>
  <c r="N1338"/>
  <c r="A1339"/>
  <c r="B1339"/>
  <c r="C1339"/>
  <c r="D1339"/>
  <c r="F1339"/>
  <c r="G1339"/>
  <c r="H1339"/>
  <c r="I1339"/>
  <c r="J1339"/>
  <c r="K1339"/>
  <c r="L1339"/>
  <c r="M1339"/>
  <c r="N1339"/>
  <c r="A1340"/>
  <c r="B1340"/>
  <c r="C1340"/>
  <c r="D1340"/>
  <c r="F1340"/>
  <c r="G1340"/>
  <c r="H1340"/>
  <c r="I1340"/>
  <c r="J1340"/>
  <c r="K1340"/>
  <c r="L1340"/>
  <c r="M1340"/>
  <c r="N1340"/>
  <c r="A1341"/>
  <c r="B1341"/>
  <c r="C1341"/>
  <c r="D1341"/>
  <c r="F1341"/>
  <c r="G1341"/>
  <c r="H1341"/>
  <c r="I1341"/>
  <c r="J1341"/>
  <c r="K1341"/>
  <c r="L1341"/>
  <c r="M1341"/>
  <c r="N1341"/>
  <c r="A1342"/>
  <c r="B1342"/>
  <c r="C1342"/>
  <c r="D1342"/>
  <c r="F1342"/>
  <c r="G1342"/>
  <c r="H1342"/>
  <c r="I1342"/>
  <c r="J1342"/>
  <c r="K1342"/>
  <c r="L1342"/>
  <c r="M1342"/>
  <c r="N1342"/>
  <c r="A1343"/>
  <c r="B1343"/>
  <c r="C1343"/>
  <c r="D1343"/>
  <c r="F1343"/>
  <c r="G1343"/>
  <c r="H1343"/>
  <c r="I1343"/>
  <c r="J1343"/>
  <c r="K1343"/>
  <c r="L1343"/>
  <c r="M1343"/>
  <c r="N1343"/>
  <c r="A1344"/>
  <c r="B1344"/>
  <c r="C1344"/>
  <c r="D1344"/>
  <c r="F1344"/>
  <c r="G1344"/>
  <c r="H1344"/>
  <c r="I1344"/>
  <c r="J1344"/>
  <c r="K1344"/>
  <c r="L1344"/>
  <c r="M1344"/>
  <c r="N1344"/>
  <c r="A1345"/>
  <c r="B1345"/>
  <c r="C1345"/>
  <c r="D1345"/>
  <c r="F1345"/>
  <c r="G1345"/>
  <c r="H1345"/>
  <c r="I1345"/>
  <c r="J1345"/>
  <c r="K1345"/>
  <c r="L1345"/>
  <c r="M1345"/>
  <c r="N1345"/>
  <c r="A1346"/>
  <c r="B1346"/>
  <c r="C1346"/>
  <c r="D1346"/>
  <c r="F1346"/>
  <c r="G1346"/>
  <c r="H1346"/>
  <c r="I1346"/>
  <c r="J1346"/>
  <c r="K1346"/>
  <c r="L1346"/>
  <c r="M1346"/>
  <c r="N1346"/>
  <c r="A1347"/>
  <c r="B1347"/>
  <c r="C1347"/>
  <c r="D1347"/>
  <c r="F1347"/>
  <c r="G1347"/>
  <c r="H1347"/>
  <c r="I1347"/>
  <c r="J1347"/>
  <c r="K1347"/>
  <c r="L1347"/>
  <c r="M1347"/>
  <c r="N1347"/>
  <c r="A1348"/>
  <c r="B1348"/>
  <c r="C1348"/>
  <c r="D1348"/>
  <c r="F1348"/>
  <c r="G1348"/>
  <c r="H1348"/>
  <c r="I1348"/>
  <c r="J1348"/>
  <c r="K1348"/>
  <c r="L1348"/>
  <c r="M1348"/>
  <c r="N1348"/>
  <c r="A1349"/>
  <c r="B1349"/>
  <c r="C1349"/>
  <c r="D1349"/>
  <c r="F1349"/>
  <c r="G1349"/>
  <c r="H1349"/>
  <c r="I1349"/>
  <c r="J1349"/>
  <c r="K1349"/>
  <c r="L1349"/>
  <c r="M1349"/>
  <c r="N1349"/>
  <c r="A1350"/>
  <c r="B1350"/>
  <c r="C1350"/>
  <c r="D1350"/>
  <c r="F1350"/>
  <c r="G1350"/>
  <c r="H1350"/>
  <c r="I1350"/>
  <c r="J1350"/>
  <c r="K1350"/>
  <c r="L1350"/>
  <c r="M1350"/>
  <c r="N1350"/>
  <c r="A1351"/>
  <c r="B1351"/>
  <c r="C1351"/>
  <c r="D1351"/>
  <c r="F1351"/>
  <c r="G1351"/>
  <c r="H1351"/>
  <c r="I1351"/>
  <c r="J1351"/>
  <c r="K1351"/>
  <c r="L1351"/>
  <c r="M1351"/>
  <c r="N1351"/>
  <c r="A1352"/>
  <c r="B1352"/>
  <c r="C1352"/>
  <c r="D1352"/>
  <c r="F1352"/>
  <c r="G1352"/>
  <c r="H1352"/>
  <c r="I1352"/>
  <c r="J1352"/>
  <c r="K1352"/>
  <c r="L1352"/>
  <c r="M1352"/>
  <c r="N1352"/>
  <c r="A1353"/>
  <c r="B1353"/>
  <c r="C1353"/>
  <c r="D1353"/>
  <c r="F1353"/>
  <c r="G1353"/>
  <c r="H1353"/>
  <c r="I1353"/>
  <c r="J1353"/>
  <c r="K1353"/>
  <c r="L1353"/>
  <c r="M1353"/>
  <c r="N1353"/>
  <c r="A1354"/>
  <c r="B1354"/>
  <c r="C1354"/>
  <c r="D1354"/>
  <c r="F1354"/>
  <c r="G1354"/>
  <c r="H1354"/>
  <c r="I1354"/>
  <c r="J1354"/>
  <c r="K1354"/>
  <c r="L1354"/>
  <c r="M1354"/>
  <c r="N1354"/>
  <c r="A1355"/>
  <c r="B1355"/>
  <c r="C1355"/>
  <c r="D1355"/>
  <c r="F1355"/>
  <c r="G1355"/>
  <c r="H1355"/>
  <c r="I1355"/>
  <c r="J1355"/>
  <c r="K1355"/>
  <c r="L1355"/>
  <c r="M1355"/>
  <c r="N1355"/>
  <c r="A1356"/>
  <c r="B1356"/>
  <c r="C1356"/>
  <c r="D1356"/>
  <c r="F1356"/>
  <c r="G1356"/>
  <c r="H1356"/>
  <c r="I1356"/>
  <c r="J1356"/>
  <c r="K1356"/>
  <c r="L1356"/>
  <c r="M1356"/>
  <c r="N1356"/>
  <c r="A1357"/>
  <c r="B1357"/>
  <c r="C1357"/>
  <c r="D1357"/>
  <c r="F1357"/>
  <c r="G1357"/>
  <c r="H1357"/>
  <c r="I1357"/>
  <c r="J1357"/>
  <c r="K1357"/>
  <c r="L1357"/>
  <c r="M1357"/>
  <c r="N1357"/>
  <c r="A1358"/>
  <c r="B1358"/>
  <c r="C1358"/>
  <c r="D1358"/>
  <c r="F1358"/>
  <c r="G1358"/>
  <c r="H1358"/>
  <c r="I1358"/>
  <c r="J1358"/>
  <c r="K1358"/>
  <c r="L1358"/>
  <c r="M1358"/>
  <c r="N1358"/>
  <c r="A1359"/>
  <c r="B1359"/>
  <c r="C1359"/>
  <c r="D1359"/>
  <c r="F1359"/>
  <c r="G1359"/>
  <c r="H1359"/>
  <c r="I1359"/>
  <c r="J1359"/>
  <c r="K1359"/>
  <c r="L1359"/>
  <c r="M1359"/>
  <c r="N1359"/>
  <c r="A1360"/>
  <c r="B1360"/>
  <c r="C1360"/>
  <c r="D1360"/>
  <c r="F1360"/>
  <c r="G1360"/>
  <c r="H1360"/>
  <c r="I1360"/>
  <c r="J1360"/>
  <c r="K1360"/>
  <c r="L1360"/>
  <c r="M1360"/>
  <c r="N1360"/>
  <c r="A1361"/>
  <c r="B1361"/>
  <c r="C1361"/>
  <c r="D1361"/>
  <c r="F1361"/>
  <c r="G1361"/>
  <c r="H1361"/>
  <c r="I1361"/>
  <c r="J1361"/>
  <c r="K1361"/>
  <c r="L1361"/>
  <c r="M1361"/>
  <c r="N1361"/>
  <c r="A1362"/>
  <c r="B1362"/>
  <c r="C1362"/>
  <c r="D1362"/>
  <c r="F1362"/>
  <c r="G1362"/>
  <c r="H1362"/>
  <c r="I1362"/>
  <c r="J1362"/>
  <c r="K1362"/>
  <c r="L1362"/>
  <c r="M1362"/>
  <c r="N1362"/>
  <c r="A1363"/>
  <c r="B1363"/>
  <c r="C1363"/>
  <c r="D1363"/>
  <c r="F1363"/>
  <c r="G1363"/>
  <c r="H1363"/>
  <c r="I1363"/>
  <c r="J1363"/>
  <c r="K1363"/>
  <c r="L1363"/>
  <c r="M1363"/>
  <c r="N1363"/>
  <c r="A1364"/>
  <c r="B1364"/>
  <c r="C1364"/>
  <c r="D1364"/>
  <c r="F1364"/>
  <c r="G1364"/>
  <c r="H1364"/>
  <c r="I1364"/>
  <c r="J1364"/>
  <c r="K1364"/>
  <c r="L1364"/>
  <c r="M1364"/>
  <c r="N1364"/>
  <c r="A1365"/>
  <c r="B1365"/>
  <c r="C1365"/>
  <c r="D1365"/>
  <c r="F1365"/>
  <c r="G1365"/>
  <c r="H1365"/>
  <c r="I1365"/>
  <c r="J1365"/>
  <c r="K1365"/>
  <c r="L1365"/>
  <c r="M1365"/>
  <c r="N1365"/>
  <c r="A1366"/>
  <c r="B1366"/>
  <c r="C1366"/>
  <c r="D1366"/>
  <c r="F1366"/>
  <c r="G1366"/>
  <c r="H1366"/>
  <c r="I1366"/>
  <c r="J1366"/>
  <c r="K1366"/>
  <c r="L1366"/>
  <c r="M1366"/>
  <c r="N1366"/>
  <c r="A1367"/>
  <c r="B1367"/>
  <c r="C1367"/>
  <c r="D1367"/>
  <c r="F1367"/>
  <c r="G1367"/>
  <c r="H1367"/>
  <c r="I1367"/>
  <c r="J1367"/>
  <c r="K1367"/>
  <c r="L1367"/>
  <c r="M1367"/>
  <c r="N1367"/>
  <c r="A1368"/>
  <c r="B1368"/>
  <c r="C1368"/>
  <c r="D1368"/>
  <c r="F1368"/>
  <c r="G1368"/>
  <c r="H1368"/>
  <c r="I1368"/>
  <c r="J1368"/>
  <c r="K1368"/>
  <c r="L1368"/>
  <c r="M1368"/>
  <c r="N1368"/>
  <c r="A1369"/>
  <c r="B1369"/>
  <c r="C1369"/>
  <c r="D1369"/>
  <c r="F1369"/>
  <c r="G1369"/>
  <c r="H1369"/>
  <c r="I1369"/>
  <c r="J1369"/>
  <c r="K1369"/>
  <c r="L1369"/>
  <c r="M1369"/>
  <c r="N1369"/>
  <c r="A1370"/>
  <c r="B1370"/>
  <c r="C1370"/>
  <c r="D1370"/>
  <c r="F1370"/>
  <c r="G1370"/>
  <c r="H1370"/>
  <c r="I1370"/>
  <c r="J1370"/>
  <c r="K1370"/>
  <c r="L1370"/>
  <c r="M1370"/>
  <c r="N1370"/>
  <c r="A1371"/>
  <c r="B1371"/>
  <c r="C1371"/>
  <c r="D1371"/>
  <c r="F1371"/>
  <c r="G1371"/>
  <c r="H1371"/>
  <c r="I1371"/>
  <c r="J1371"/>
  <c r="K1371"/>
  <c r="L1371"/>
  <c r="M1371"/>
  <c r="N1371"/>
  <c r="A1372"/>
  <c r="B1372"/>
  <c r="C1372"/>
  <c r="D1372"/>
  <c r="F1372"/>
  <c r="G1372"/>
  <c r="H1372"/>
  <c r="I1372"/>
  <c r="J1372"/>
  <c r="K1372"/>
  <c r="L1372"/>
  <c r="M1372"/>
  <c r="N1372"/>
  <c r="A1373"/>
  <c r="B1373"/>
  <c r="C1373"/>
  <c r="D1373"/>
  <c r="F1373"/>
  <c r="G1373"/>
  <c r="H1373"/>
  <c r="I1373"/>
  <c r="J1373"/>
  <c r="K1373"/>
  <c r="L1373"/>
  <c r="M1373"/>
  <c r="N1373"/>
  <c r="A1374"/>
  <c r="B1374"/>
  <c r="C1374"/>
  <c r="D1374"/>
  <c r="F1374"/>
  <c r="G1374"/>
  <c r="H1374"/>
  <c r="I1374"/>
  <c r="J1374"/>
  <c r="K1374"/>
  <c r="L1374"/>
  <c r="M1374"/>
  <c r="N1374"/>
  <c r="A1375"/>
  <c r="B1375"/>
  <c r="C1375"/>
  <c r="D1375"/>
  <c r="F1375"/>
  <c r="G1375"/>
  <c r="H1375"/>
  <c r="I1375"/>
  <c r="J1375"/>
  <c r="K1375"/>
  <c r="L1375"/>
  <c r="M1375"/>
  <c r="N1375"/>
  <c r="A1376"/>
  <c r="B1376"/>
  <c r="C1376"/>
  <c r="D1376"/>
  <c r="F1376"/>
  <c r="G1376"/>
  <c r="H1376"/>
  <c r="I1376"/>
  <c r="J1376"/>
  <c r="K1376"/>
  <c r="L1376"/>
  <c r="M1376"/>
  <c r="N1376"/>
  <c r="A1377"/>
  <c r="B1377"/>
  <c r="C1377"/>
  <c r="D1377"/>
  <c r="F1377"/>
  <c r="G1377"/>
  <c r="H1377"/>
  <c r="I1377"/>
  <c r="J1377"/>
  <c r="K1377"/>
  <c r="L1377"/>
  <c r="M1377"/>
  <c r="N1377"/>
  <c r="A1378"/>
  <c r="B1378"/>
  <c r="C1378"/>
  <c r="D1378"/>
  <c r="F1378"/>
  <c r="G1378"/>
  <c r="H1378"/>
  <c r="I1378"/>
  <c r="J1378"/>
  <c r="K1378"/>
  <c r="L1378"/>
  <c r="M1378"/>
  <c r="N1378"/>
  <c r="A1379"/>
  <c r="B1379"/>
  <c r="C1379"/>
  <c r="D1379"/>
  <c r="F1379"/>
  <c r="G1379"/>
  <c r="H1379"/>
  <c r="I1379"/>
  <c r="J1379"/>
  <c r="K1379"/>
  <c r="L1379"/>
  <c r="M1379"/>
  <c r="N1379"/>
  <c r="A1380"/>
  <c r="B1380"/>
  <c r="C1380"/>
  <c r="D1380"/>
  <c r="F1380"/>
  <c r="G1380"/>
  <c r="H1380"/>
  <c r="I1380"/>
  <c r="J1380"/>
  <c r="K1380"/>
  <c r="L1380"/>
  <c r="M1380"/>
  <c r="N1380"/>
  <c r="A1381"/>
  <c r="B1381"/>
  <c r="C1381"/>
  <c r="D1381"/>
  <c r="F1381"/>
  <c r="G1381"/>
  <c r="H1381"/>
  <c r="I1381"/>
  <c r="J1381"/>
  <c r="K1381"/>
  <c r="L1381"/>
  <c r="M1381"/>
  <c r="N1381"/>
  <c r="A1382"/>
  <c r="B1382"/>
  <c r="C1382"/>
  <c r="D1382"/>
  <c r="F1382"/>
  <c r="G1382"/>
  <c r="H1382"/>
  <c r="I1382"/>
  <c r="J1382"/>
  <c r="K1382"/>
  <c r="L1382"/>
  <c r="M1382"/>
  <c r="N1382"/>
  <c r="A1383"/>
  <c r="B1383"/>
  <c r="C1383"/>
  <c r="D1383"/>
  <c r="F1383"/>
  <c r="G1383"/>
  <c r="H1383"/>
  <c r="I1383"/>
  <c r="J1383"/>
  <c r="K1383"/>
  <c r="L1383"/>
  <c r="M1383"/>
  <c r="N1383"/>
  <c r="A1384"/>
  <c r="B1384"/>
  <c r="C1384"/>
  <c r="D1384"/>
  <c r="F1384"/>
  <c r="G1384"/>
  <c r="H1384"/>
  <c r="I1384"/>
  <c r="J1384"/>
  <c r="K1384"/>
  <c r="L1384"/>
  <c r="M1384"/>
  <c r="N1384"/>
  <c r="A1385"/>
  <c r="B1385"/>
  <c r="C1385"/>
  <c r="D1385"/>
  <c r="F1385"/>
  <c r="G1385"/>
  <c r="H1385"/>
  <c r="I1385"/>
  <c r="J1385"/>
  <c r="K1385"/>
  <c r="L1385"/>
  <c r="M1385"/>
  <c r="N1385"/>
  <c r="A1386"/>
  <c r="B1386"/>
  <c r="C1386"/>
  <c r="D1386"/>
  <c r="F1386"/>
  <c r="G1386"/>
  <c r="H1386"/>
  <c r="I1386"/>
  <c r="J1386"/>
  <c r="K1386"/>
  <c r="L1386"/>
  <c r="M1386"/>
  <c r="N1386"/>
  <c r="A1387"/>
  <c r="B1387"/>
  <c r="C1387"/>
  <c r="D1387"/>
  <c r="F1387"/>
  <c r="G1387"/>
  <c r="H1387"/>
  <c r="I1387"/>
  <c r="J1387"/>
  <c r="K1387"/>
  <c r="L1387"/>
  <c r="M1387"/>
  <c r="N1387"/>
  <c r="A1388"/>
  <c r="B1388"/>
  <c r="C1388"/>
  <c r="D1388"/>
  <c r="F1388"/>
  <c r="G1388"/>
  <c r="H1388"/>
  <c r="I1388"/>
  <c r="J1388"/>
  <c r="K1388"/>
  <c r="L1388"/>
  <c r="M1388"/>
  <c r="N1388"/>
  <c r="A1389"/>
  <c r="B1389"/>
  <c r="C1389"/>
  <c r="D1389"/>
  <c r="F1389"/>
  <c r="G1389"/>
  <c r="H1389"/>
  <c r="I1389"/>
  <c r="J1389"/>
  <c r="K1389"/>
  <c r="L1389"/>
  <c r="M1389"/>
  <c r="N1389"/>
  <c r="A1390"/>
  <c r="B1390"/>
  <c r="C1390"/>
  <c r="D1390"/>
  <c r="F1390"/>
  <c r="G1390"/>
  <c r="H1390"/>
  <c r="I1390"/>
  <c r="J1390"/>
  <c r="K1390"/>
  <c r="L1390"/>
  <c r="M1390"/>
  <c r="N1390"/>
  <c r="A1391"/>
  <c r="B1391"/>
  <c r="C1391"/>
  <c r="D1391"/>
  <c r="F1391"/>
  <c r="G1391"/>
  <c r="H1391"/>
  <c r="I1391"/>
  <c r="J1391"/>
  <c r="K1391"/>
  <c r="L1391"/>
  <c r="M1391"/>
  <c r="N1391"/>
  <c r="A1392"/>
  <c r="B1392"/>
  <c r="C1392"/>
  <c r="D1392"/>
  <c r="F1392"/>
  <c r="G1392"/>
  <c r="H1392"/>
  <c r="I1392"/>
  <c r="J1392"/>
  <c r="K1392"/>
  <c r="L1392"/>
  <c r="M1392"/>
  <c r="N1392"/>
  <c r="A1393"/>
  <c r="B1393"/>
  <c r="C1393"/>
  <c r="D1393"/>
  <c r="F1393"/>
  <c r="G1393"/>
  <c r="H1393"/>
  <c r="I1393"/>
  <c r="J1393"/>
  <c r="K1393"/>
  <c r="L1393"/>
  <c r="M1393"/>
  <c r="N1393"/>
  <c r="A1394"/>
  <c r="B1394"/>
  <c r="C1394"/>
  <c r="D1394"/>
  <c r="F1394"/>
  <c r="G1394"/>
  <c r="H1394"/>
  <c r="I1394"/>
  <c r="J1394"/>
  <c r="K1394"/>
  <c r="L1394"/>
  <c r="M1394"/>
  <c r="N1394"/>
  <c r="A1395"/>
  <c r="B1395"/>
  <c r="C1395"/>
  <c r="D1395"/>
  <c r="F1395"/>
  <c r="G1395"/>
  <c r="H1395"/>
  <c r="I1395"/>
  <c r="J1395"/>
  <c r="K1395"/>
  <c r="L1395"/>
  <c r="M1395"/>
  <c r="N1395"/>
  <c r="A1396"/>
  <c r="B1396"/>
  <c r="C1396"/>
  <c r="D1396"/>
  <c r="F1396"/>
  <c r="G1396"/>
  <c r="H1396"/>
  <c r="I1396"/>
  <c r="J1396"/>
  <c r="K1396"/>
  <c r="L1396"/>
  <c r="M1396"/>
  <c r="N1396"/>
  <c r="A1397"/>
  <c r="B1397"/>
  <c r="C1397"/>
  <c r="D1397"/>
  <c r="F1397"/>
  <c r="G1397"/>
  <c r="H1397"/>
  <c r="I1397"/>
  <c r="J1397"/>
  <c r="K1397"/>
  <c r="L1397"/>
  <c r="M1397"/>
  <c r="N1397"/>
  <c r="A1398"/>
  <c r="B1398"/>
  <c r="C1398"/>
  <c r="D1398"/>
  <c r="F1398"/>
  <c r="G1398"/>
  <c r="H1398"/>
  <c r="I1398"/>
  <c r="J1398"/>
  <c r="K1398"/>
  <c r="L1398"/>
  <c r="M1398"/>
  <c r="N1398"/>
  <c r="A1399"/>
  <c r="B1399"/>
  <c r="C1399"/>
  <c r="D1399"/>
  <c r="F1399"/>
  <c r="G1399"/>
  <c r="H1399"/>
  <c r="I1399"/>
  <c r="J1399"/>
  <c r="K1399"/>
  <c r="L1399"/>
  <c r="M1399"/>
  <c r="N1399"/>
  <c r="A1400"/>
  <c r="B1400"/>
  <c r="C1400"/>
  <c r="D1400"/>
  <c r="F1400"/>
  <c r="G1400"/>
  <c r="H1400"/>
  <c r="I1400"/>
  <c r="J1400"/>
  <c r="K1400"/>
  <c r="L1400"/>
  <c r="M1400"/>
  <c r="N1400"/>
  <c r="A1401"/>
  <c r="B1401"/>
  <c r="C1401"/>
  <c r="D1401"/>
  <c r="F1401"/>
  <c r="G1401"/>
  <c r="H1401"/>
  <c r="I1401"/>
  <c r="J1401"/>
  <c r="K1401"/>
  <c r="L1401"/>
  <c r="M1401"/>
  <c r="N1401"/>
  <c r="A1402"/>
  <c r="B1402"/>
  <c r="C1402"/>
  <c r="D1402"/>
  <c r="F1402"/>
  <c r="G1402"/>
  <c r="H1402"/>
  <c r="I1402"/>
  <c r="J1402"/>
  <c r="K1402"/>
  <c r="L1402"/>
  <c r="M1402"/>
  <c r="N1402"/>
  <c r="A1403"/>
  <c r="B1403"/>
  <c r="C1403"/>
  <c r="D1403"/>
  <c r="F1403"/>
  <c r="G1403"/>
  <c r="H1403"/>
  <c r="I1403"/>
  <c r="J1403"/>
  <c r="K1403"/>
  <c r="L1403"/>
  <c r="M1403"/>
  <c r="N1403"/>
  <c r="A1404"/>
  <c r="B1404"/>
  <c r="C1404"/>
  <c r="D1404"/>
  <c r="F1404"/>
  <c r="G1404"/>
  <c r="H1404"/>
  <c r="I1404"/>
  <c r="J1404"/>
  <c r="K1404"/>
  <c r="L1404"/>
  <c r="M1404"/>
  <c r="N1404"/>
  <c r="A1405"/>
  <c r="B1405"/>
  <c r="C1405"/>
  <c r="D1405"/>
  <c r="F1405"/>
  <c r="G1405"/>
  <c r="H1405"/>
  <c r="I1405"/>
  <c r="J1405"/>
  <c r="K1405"/>
  <c r="L1405"/>
  <c r="M1405"/>
  <c r="N1405"/>
  <c r="A1406"/>
  <c r="B1406"/>
  <c r="C1406"/>
  <c r="D1406"/>
  <c r="F1406"/>
  <c r="G1406"/>
  <c r="H1406"/>
  <c r="I1406"/>
  <c r="J1406"/>
  <c r="K1406"/>
  <c r="L1406"/>
  <c r="M1406"/>
  <c r="N1406"/>
  <c r="A1407"/>
  <c r="B1407"/>
  <c r="C1407"/>
  <c r="D1407"/>
  <c r="F1407"/>
  <c r="G1407"/>
  <c r="H1407"/>
  <c r="I1407"/>
  <c r="J1407"/>
  <c r="K1407"/>
  <c r="L1407"/>
  <c r="M1407"/>
  <c r="N1407"/>
  <c r="A1408"/>
  <c r="B1408"/>
  <c r="C1408"/>
  <c r="D1408"/>
  <c r="F1408"/>
  <c r="G1408"/>
  <c r="H1408"/>
  <c r="I1408"/>
  <c r="J1408"/>
  <c r="K1408"/>
  <c r="L1408"/>
  <c r="M1408"/>
  <c r="N1408"/>
  <c r="A1409"/>
  <c r="B1409"/>
  <c r="C1409"/>
  <c r="D1409"/>
  <c r="F1409"/>
  <c r="G1409"/>
  <c r="H1409"/>
  <c r="I1409"/>
  <c r="J1409"/>
  <c r="K1409"/>
  <c r="L1409"/>
  <c r="M1409"/>
  <c r="N1409"/>
  <c r="A1410"/>
  <c r="B1410"/>
  <c r="C1410"/>
  <c r="D1410"/>
  <c r="F1410"/>
  <c r="G1410"/>
  <c r="H1410"/>
  <c r="I1410"/>
  <c r="J1410"/>
  <c r="K1410"/>
  <c r="L1410"/>
  <c r="M1410"/>
  <c r="N1410"/>
  <c r="A1411"/>
  <c r="B1411"/>
  <c r="C1411"/>
  <c r="D1411"/>
  <c r="F1411"/>
  <c r="G1411"/>
  <c r="H1411"/>
  <c r="I1411"/>
  <c r="J1411"/>
  <c r="K1411"/>
  <c r="L1411"/>
  <c r="M1411"/>
  <c r="N1411"/>
  <c r="A1412"/>
  <c r="B1412"/>
  <c r="C1412"/>
  <c r="D1412"/>
  <c r="F1412"/>
  <c r="G1412"/>
  <c r="H1412"/>
  <c r="I1412"/>
  <c r="J1412"/>
  <c r="K1412"/>
  <c r="L1412"/>
  <c r="M1412"/>
  <c r="N1412"/>
  <c r="A1413"/>
  <c r="B1413"/>
  <c r="C1413"/>
  <c r="D1413"/>
  <c r="F1413"/>
  <c r="G1413"/>
  <c r="H1413"/>
  <c r="I1413"/>
  <c r="J1413"/>
  <c r="K1413"/>
  <c r="L1413"/>
  <c r="M1413"/>
  <c r="N1413"/>
  <c r="A1414"/>
  <c r="B1414"/>
  <c r="C1414"/>
  <c r="D1414"/>
  <c r="F1414"/>
  <c r="G1414"/>
  <c r="H1414"/>
  <c r="I1414"/>
  <c r="J1414"/>
  <c r="K1414"/>
  <c r="L1414"/>
  <c r="M1414"/>
  <c r="N1414"/>
  <c r="A1415"/>
  <c r="B1415"/>
  <c r="C1415"/>
  <c r="D1415"/>
  <c r="F1415"/>
  <c r="G1415"/>
  <c r="H1415"/>
  <c r="I1415"/>
  <c r="J1415"/>
  <c r="K1415"/>
  <c r="L1415"/>
  <c r="M1415"/>
  <c r="N1415"/>
  <c r="A1416"/>
  <c r="B1416"/>
  <c r="C1416"/>
  <c r="D1416"/>
  <c r="F1416"/>
  <c r="G1416"/>
  <c r="H1416"/>
  <c r="I1416"/>
  <c r="J1416"/>
  <c r="K1416"/>
  <c r="L1416"/>
  <c r="M1416"/>
  <c r="N1416"/>
  <c r="A1417"/>
  <c r="B1417"/>
  <c r="C1417"/>
  <c r="D1417"/>
  <c r="F1417"/>
  <c r="G1417"/>
  <c r="H1417"/>
  <c r="I1417"/>
  <c r="J1417"/>
  <c r="K1417"/>
  <c r="L1417"/>
  <c r="M1417"/>
  <c r="N1417"/>
  <c r="A1418"/>
  <c r="B1418"/>
  <c r="C1418"/>
  <c r="D1418"/>
  <c r="F1418"/>
  <c r="G1418"/>
  <c r="H1418"/>
  <c r="I1418"/>
  <c r="J1418"/>
  <c r="K1418"/>
  <c r="L1418"/>
  <c r="M1418"/>
  <c r="N1418"/>
  <c r="A1419"/>
  <c r="B1419"/>
  <c r="C1419"/>
  <c r="D1419"/>
  <c r="F1419"/>
  <c r="G1419"/>
  <c r="H1419"/>
  <c r="I1419"/>
  <c r="J1419"/>
  <c r="K1419"/>
  <c r="L1419"/>
  <c r="M1419"/>
  <c r="N1419"/>
  <c r="A1420"/>
  <c r="B1420"/>
  <c r="C1420"/>
  <c r="D1420"/>
  <c r="F1420"/>
  <c r="G1420"/>
  <c r="H1420"/>
  <c r="I1420"/>
  <c r="J1420"/>
  <c r="K1420"/>
  <c r="L1420"/>
  <c r="M1420"/>
  <c r="N1420"/>
  <c r="A1421"/>
  <c r="B1421"/>
  <c r="C1421"/>
  <c r="D1421"/>
  <c r="F1421"/>
  <c r="G1421"/>
  <c r="H1421"/>
  <c r="I1421"/>
  <c r="J1421"/>
  <c r="K1421"/>
  <c r="L1421"/>
  <c r="M1421"/>
  <c r="N1421"/>
  <c r="A1422"/>
  <c r="B1422"/>
  <c r="C1422"/>
  <c r="D1422"/>
  <c r="F1422"/>
  <c r="G1422"/>
  <c r="H1422"/>
  <c r="I1422"/>
  <c r="J1422"/>
  <c r="K1422"/>
  <c r="L1422"/>
  <c r="M1422"/>
  <c r="N1422"/>
  <c r="A1423"/>
  <c r="B1423"/>
  <c r="C1423"/>
  <c r="D1423"/>
  <c r="F1423"/>
  <c r="G1423"/>
  <c r="H1423"/>
  <c r="I1423"/>
  <c r="J1423"/>
  <c r="K1423"/>
  <c r="L1423"/>
  <c r="M1423"/>
  <c r="N1423"/>
  <c r="A1424"/>
  <c r="B1424"/>
  <c r="C1424"/>
  <c r="D1424"/>
  <c r="F1424"/>
  <c r="G1424"/>
  <c r="H1424"/>
  <c r="I1424"/>
  <c r="J1424"/>
  <c r="K1424"/>
  <c r="L1424"/>
  <c r="M1424"/>
  <c r="N1424"/>
  <c r="A1425"/>
  <c r="B1425"/>
  <c r="C1425"/>
  <c r="D1425"/>
  <c r="F1425"/>
  <c r="G1425"/>
  <c r="H1425"/>
  <c r="I1425"/>
  <c r="J1425"/>
  <c r="K1425"/>
  <c r="L1425"/>
  <c r="M1425"/>
  <c r="N1425"/>
  <c r="A1426"/>
  <c r="B1426"/>
  <c r="C1426"/>
  <c r="D1426"/>
  <c r="F1426"/>
  <c r="G1426"/>
  <c r="H1426"/>
  <c r="I1426"/>
  <c r="J1426"/>
  <c r="K1426"/>
  <c r="L1426"/>
  <c r="M1426"/>
  <c r="N1426"/>
  <c r="A1427"/>
  <c r="B1427"/>
  <c r="C1427"/>
  <c r="D1427"/>
  <c r="F1427"/>
  <c r="G1427"/>
  <c r="H1427"/>
  <c r="I1427"/>
  <c r="J1427"/>
  <c r="K1427"/>
  <c r="L1427"/>
  <c r="M1427"/>
  <c r="N1427"/>
  <c r="A1428"/>
  <c r="B1428"/>
  <c r="C1428"/>
  <c r="D1428"/>
  <c r="F1428"/>
  <c r="G1428"/>
  <c r="H1428"/>
  <c r="I1428"/>
  <c r="J1428"/>
  <c r="K1428"/>
  <c r="L1428"/>
  <c r="M1428"/>
  <c r="N1428"/>
  <c r="A1429"/>
  <c r="B1429"/>
  <c r="C1429"/>
  <c r="D1429"/>
  <c r="F1429"/>
  <c r="G1429"/>
  <c r="H1429"/>
  <c r="I1429"/>
  <c r="J1429"/>
  <c r="K1429"/>
  <c r="L1429"/>
  <c r="M1429"/>
  <c r="N1429"/>
  <c r="A1430"/>
  <c r="B1430"/>
  <c r="C1430"/>
  <c r="D1430"/>
  <c r="F1430"/>
  <c r="G1430"/>
  <c r="H1430"/>
  <c r="I1430"/>
  <c r="J1430"/>
  <c r="K1430"/>
  <c r="L1430"/>
  <c r="M1430"/>
  <c r="N1430"/>
  <c r="A1431"/>
  <c r="B1431"/>
  <c r="C1431"/>
  <c r="D1431"/>
  <c r="F1431"/>
  <c r="G1431"/>
  <c r="H1431"/>
  <c r="I1431"/>
  <c r="J1431"/>
  <c r="K1431"/>
  <c r="L1431"/>
  <c r="M1431"/>
  <c r="N1431"/>
  <c r="A1432"/>
  <c r="B1432"/>
  <c r="C1432"/>
  <c r="D1432"/>
  <c r="F1432"/>
  <c r="G1432"/>
  <c r="H1432"/>
  <c r="I1432"/>
  <c r="J1432"/>
  <c r="K1432"/>
  <c r="L1432"/>
  <c r="M1432"/>
  <c r="N1432"/>
  <c r="A1433"/>
  <c r="B1433"/>
  <c r="C1433"/>
  <c r="D1433"/>
  <c r="F1433"/>
  <c r="G1433"/>
  <c r="H1433"/>
  <c r="I1433"/>
  <c r="J1433"/>
  <c r="K1433"/>
  <c r="L1433"/>
  <c r="M1433"/>
  <c r="N1433"/>
  <c r="A1434"/>
  <c r="B1434"/>
  <c r="C1434"/>
  <c r="D1434"/>
  <c r="F1434"/>
  <c r="G1434"/>
  <c r="H1434"/>
  <c r="I1434"/>
  <c r="J1434"/>
  <c r="K1434"/>
  <c r="L1434"/>
  <c r="M1434"/>
  <c r="N1434"/>
  <c r="A1435"/>
  <c r="B1435"/>
  <c r="C1435"/>
  <c r="D1435"/>
  <c r="F1435"/>
  <c r="G1435"/>
  <c r="H1435"/>
  <c r="I1435"/>
  <c r="J1435"/>
  <c r="K1435"/>
  <c r="L1435"/>
  <c r="M1435"/>
  <c r="N1435"/>
  <c r="A1436"/>
  <c r="B1436"/>
  <c r="C1436"/>
  <c r="D1436"/>
  <c r="F1436"/>
  <c r="G1436"/>
  <c r="H1436"/>
  <c r="I1436"/>
  <c r="J1436"/>
  <c r="K1436"/>
  <c r="L1436"/>
  <c r="M1436"/>
  <c r="N1436"/>
  <c r="A1437"/>
  <c r="B1437"/>
  <c r="C1437"/>
  <c r="D1437"/>
  <c r="F1437"/>
  <c r="G1437"/>
  <c r="H1437"/>
  <c r="I1437"/>
  <c r="J1437"/>
  <c r="K1437"/>
  <c r="L1437"/>
  <c r="M1437"/>
  <c r="N1437"/>
  <c r="A1438"/>
  <c r="B1438"/>
  <c r="C1438"/>
  <c r="D1438"/>
  <c r="F1438"/>
  <c r="G1438"/>
  <c r="H1438"/>
  <c r="I1438"/>
  <c r="J1438"/>
  <c r="K1438"/>
  <c r="L1438"/>
  <c r="M1438"/>
  <c r="N1438"/>
  <c r="A1439"/>
  <c r="B1439"/>
  <c r="C1439"/>
  <c r="D1439"/>
  <c r="F1439"/>
  <c r="G1439"/>
  <c r="H1439"/>
  <c r="I1439"/>
  <c r="J1439"/>
  <c r="K1439"/>
  <c r="L1439"/>
  <c r="M1439"/>
  <c r="N1439"/>
  <c r="A1440"/>
  <c r="B1440"/>
  <c r="C1440"/>
  <c r="D1440"/>
  <c r="F1440"/>
  <c r="G1440"/>
  <c r="H1440"/>
  <c r="I1440"/>
  <c r="J1440"/>
  <c r="K1440"/>
  <c r="L1440"/>
  <c r="M1440"/>
  <c r="N1440"/>
  <c r="A1441"/>
  <c r="B1441"/>
  <c r="C1441"/>
  <c r="D1441"/>
  <c r="F1441"/>
  <c r="G1441"/>
  <c r="H1441"/>
  <c r="I1441"/>
  <c r="J1441"/>
  <c r="K1441"/>
  <c r="L1441"/>
  <c r="M1441"/>
  <c r="N1441"/>
  <c r="A1442"/>
  <c r="B1442"/>
  <c r="C1442"/>
  <c r="D1442"/>
  <c r="F1442"/>
  <c r="G1442"/>
  <c r="H1442"/>
  <c r="I1442"/>
  <c r="J1442"/>
  <c r="K1442"/>
  <c r="L1442"/>
  <c r="M1442"/>
  <c r="N1442"/>
  <c r="A1443"/>
  <c r="B1443"/>
  <c r="C1443"/>
  <c r="D1443"/>
  <c r="F1443"/>
  <c r="G1443"/>
  <c r="H1443"/>
  <c r="I1443"/>
  <c r="J1443"/>
  <c r="K1443"/>
  <c r="L1443"/>
  <c r="M1443"/>
  <c r="N1443"/>
  <c r="A1444"/>
  <c r="B1444"/>
  <c r="C1444"/>
  <c r="D1444"/>
  <c r="F1444"/>
  <c r="G1444"/>
  <c r="H1444"/>
  <c r="I1444"/>
  <c r="J1444"/>
  <c r="K1444"/>
  <c r="L1444"/>
  <c r="M1444"/>
  <c r="N1444"/>
  <c r="A1445"/>
  <c r="B1445"/>
  <c r="C1445"/>
  <c r="D1445"/>
  <c r="F1445"/>
  <c r="G1445"/>
  <c r="H1445"/>
  <c r="I1445"/>
  <c r="J1445"/>
  <c r="K1445"/>
  <c r="L1445"/>
  <c r="M1445"/>
  <c r="N1445"/>
  <c r="A1446"/>
  <c r="B1446"/>
  <c r="C1446"/>
  <c r="D1446"/>
  <c r="F1446"/>
  <c r="G1446"/>
  <c r="H1446"/>
  <c r="I1446"/>
  <c r="J1446"/>
  <c r="K1446"/>
  <c r="L1446"/>
  <c r="M1446"/>
  <c r="N1446"/>
  <c r="A1447"/>
  <c r="B1447"/>
  <c r="C1447"/>
  <c r="D1447"/>
  <c r="F1447"/>
  <c r="G1447"/>
  <c r="H1447"/>
  <c r="I1447"/>
  <c r="J1447"/>
  <c r="K1447"/>
  <c r="L1447"/>
  <c r="M1447"/>
  <c r="N1447"/>
  <c r="A1448"/>
  <c r="B1448"/>
  <c r="C1448"/>
  <c r="D1448"/>
  <c r="F1448"/>
  <c r="G1448"/>
  <c r="H1448"/>
  <c r="I1448"/>
  <c r="J1448"/>
  <c r="K1448"/>
  <c r="L1448"/>
  <c r="M1448"/>
  <c r="N1448"/>
  <c r="A1449"/>
  <c r="B1449"/>
  <c r="C1449"/>
  <c r="D1449"/>
  <c r="F1449"/>
  <c r="G1449"/>
  <c r="H1449"/>
  <c r="I1449"/>
  <c r="J1449"/>
  <c r="K1449"/>
  <c r="L1449"/>
  <c r="M1449"/>
  <c r="N1449"/>
  <c r="A1450"/>
  <c r="B1450"/>
  <c r="C1450"/>
  <c r="D1450"/>
  <c r="F1450"/>
  <c r="G1450"/>
  <c r="H1450"/>
  <c r="I1450"/>
  <c r="J1450"/>
  <c r="K1450"/>
  <c r="L1450"/>
  <c r="M1450"/>
  <c r="N1450"/>
  <c r="A1451"/>
  <c r="B1451"/>
  <c r="C1451"/>
  <c r="D1451"/>
  <c r="F1451"/>
  <c r="G1451"/>
  <c r="H1451"/>
  <c r="I1451"/>
  <c r="J1451"/>
  <c r="K1451"/>
  <c r="L1451"/>
  <c r="M1451"/>
  <c r="N1451"/>
  <c r="A1452"/>
  <c r="B1452"/>
  <c r="C1452"/>
  <c r="D1452"/>
  <c r="F1452"/>
  <c r="G1452"/>
  <c r="H1452"/>
  <c r="I1452"/>
  <c r="J1452"/>
  <c r="K1452"/>
  <c r="L1452"/>
  <c r="M1452"/>
  <c r="N1452"/>
  <c r="A1453"/>
  <c r="B1453"/>
  <c r="C1453"/>
  <c r="D1453"/>
  <c r="F1453"/>
  <c r="G1453"/>
  <c r="H1453"/>
  <c r="I1453"/>
  <c r="J1453"/>
  <c r="K1453"/>
  <c r="L1453"/>
  <c r="M1453"/>
  <c r="N1453"/>
  <c r="A1454"/>
  <c r="B1454"/>
  <c r="C1454"/>
  <c r="D1454"/>
  <c r="F1454"/>
  <c r="G1454"/>
  <c r="H1454"/>
  <c r="I1454"/>
  <c r="J1454"/>
  <c r="K1454"/>
  <c r="L1454"/>
  <c r="M1454"/>
  <c r="N1454"/>
  <c r="A1455"/>
  <c r="B1455"/>
  <c r="C1455"/>
  <c r="D1455"/>
  <c r="F1455"/>
  <c r="G1455"/>
  <c r="H1455"/>
  <c r="I1455"/>
  <c r="J1455"/>
  <c r="K1455"/>
  <c r="L1455"/>
  <c r="M1455"/>
  <c r="N1455"/>
  <c r="A1456"/>
  <c r="B1456"/>
  <c r="C1456"/>
  <c r="D1456"/>
  <c r="F1456"/>
  <c r="G1456"/>
  <c r="H1456"/>
  <c r="I1456"/>
  <c r="J1456"/>
  <c r="K1456"/>
  <c r="L1456"/>
  <c r="M1456"/>
  <c r="N1456"/>
  <c r="A1457"/>
  <c r="B1457"/>
  <c r="C1457"/>
  <c r="D1457"/>
  <c r="F1457"/>
  <c r="G1457"/>
  <c r="H1457"/>
  <c r="I1457"/>
  <c r="J1457"/>
  <c r="K1457"/>
  <c r="L1457"/>
  <c r="M1457"/>
  <c r="N1457"/>
  <c r="A1458"/>
  <c r="B1458"/>
  <c r="C1458"/>
  <c r="D1458"/>
  <c r="F1458"/>
  <c r="G1458"/>
  <c r="H1458"/>
  <c r="I1458"/>
  <c r="J1458"/>
  <c r="K1458"/>
  <c r="L1458"/>
  <c r="M1458"/>
  <c r="N1458"/>
  <c r="A1459"/>
  <c r="B1459"/>
  <c r="C1459"/>
  <c r="D1459"/>
  <c r="F1459"/>
  <c r="G1459"/>
  <c r="H1459"/>
  <c r="I1459"/>
  <c r="J1459"/>
  <c r="K1459"/>
  <c r="L1459"/>
  <c r="M1459"/>
  <c r="N1459"/>
  <c r="A1460"/>
  <c r="B1460"/>
  <c r="C1460"/>
  <c r="D1460"/>
  <c r="F1460"/>
  <c r="G1460"/>
  <c r="H1460"/>
  <c r="I1460"/>
  <c r="J1460"/>
  <c r="K1460"/>
  <c r="L1460"/>
  <c r="M1460"/>
  <c r="N1460"/>
  <c r="A1461"/>
  <c r="B1461"/>
  <c r="C1461"/>
  <c r="D1461"/>
  <c r="F1461"/>
  <c r="G1461"/>
  <c r="H1461"/>
  <c r="I1461"/>
  <c r="J1461"/>
  <c r="K1461"/>
  <c r="L1461"/>
  <c r="M1461"/>
  <c r="N1461"/>
  <c r="A1462"/>
  <c r="B1462"/>
  <c r="C1462"/>
  <c r="D1462"/>
  <c r="F1462"/>
  <c r="G1462"/>
  <c r="H1462"/>
  <c r="I1462"/>
  <c r="J1462"/>
  <c r="K1462"/>
  <c r="L1462"/>
  <c r="M1462"/>
  <c r="N1462"/>
  <c r="A1463"/>
  <c r="B1463"/>
  <c r="C1463"/>
  <c r="D1463"/>
  <c r="F1463"/>
  <c r="G1463"/>
  <c r="H1463"/>
  <c r="I1463"/>
  <c r="J1463"/>
  <c r="K1463"/>
  <c r="L1463"/>
  <c r="M1463"/>
  <c r="N1463"/>
  <c r="A1464"/>
  <c r="B1464"/>
  <c r="C1464"/>
  <c r="D1464"/>
  <c r="F1464"/>
  <c r="G1464"/>
  <c r="H1464"/>
  <c r="I1464"/>
  <c r="J1464"/>
  <c r="K1464"/>
  <c r="L1464"/>
  <c r="M1464"/>
  <c r="N1464"/>
  <c r="A1465"/>
  <c r="B1465"/>
  <c r="C1465"/>
  <c r="D1465"/>
  <c r="F1465"/>
  <c r="G1465"/>
  <c r="H1465"/>
  <c r="I1465"/>
  <c r="J1465"/>
  <c r="K1465"/>
  <c r="L1465"/>
  <c r="M1465"/>
  <c r="N1465"/>
  <c r="A1466"/>
  <c r="B1466"/>
  <c r="C1466"/>
  <c r="D1466"/>
  <c r="F1466"/>
  <c r="G1466"/>
  <c r="H1466"/>
  <c r="I1466"/>
  <c r="J1466"/>
  <c r="K1466"/>
  <c r="L1466"/>
  <c r="M1466"/>
  <c r="N1466"/>
  <c r="A1467"/>
  <c r="B1467"/>
  <c r="C1467"/>
  <c r="D1467"/>
  <c r="F1467"/>
  <c r="G1467"/>
  <c r="H1467"/>
  <c r="I1467"/>
  <c r="J1467"/>
  <c r="K1467"/>
  <c r="L1467"/>
  <c r="M1467"/>
  <c r="N1467"/>
  <c r="A1468"/>
  <c r="B1468"/>
  <c r="C1468"/>
  <c r="D1468"/>
  <c r="F1468"/>
  <c r="G1468"/>
  <c r="H1468"/>
  <c r="I1468"/>
  <c r="J1468"/>
  <c r="K1468"/>
  <c r="L1468"/>
  <c r="M1468"/>
  <c r="N1468"/>
  <c r="A1469"/>
  <c r="B1469"/>
  <c r="C1469"/>
  <c r="D1469"/>
  <c r="F1469"/>
  <c r="G1469"/>
  <c r="H1469"/>
  <c r="I1469"/>
  <c r="J1469"/>
  <c r="K1469"/>
  <c r="L1469"/>
  <c r="M1469"/>
  <c r="N1469"/>
  <c r="A1470"/>
  <c r="B1470"/>
  <c r="C1470"/>
  <c r="D1470"/>
  <c r="F1470"/>
  <c r="G1470"/>
  <c r="H1470"/>
  <c r="I1470"/>
  <c r="J1470"/>
  <c r="K1470"/>
  <c r="L1470"/>
  <c r="M1470"/>
  <c r="N1470"/>
  <c r="A1471"/>
  <c r="B1471"/>
  <c r="C1471"/>
  <c r="D1471"/>
  <c r="F1471"/>
  <c r="G1471"/>
  <c r="H1471"/>
  <c r="I1471"/>
  <c r="J1471"/>
  <c r="K1471"/>
  <c r="L1471"/>
  <c r="M1471"/>
  <c r="N1471"/>
  <c r="A1472"/>
  <c r="B1472"/>
  <c r="C1472"/>
  <c r="D1472"/>
  <c r="F1472"/>
  <c r="G1472"/>
  <c r="H1472"/>
  <c r="I1472"/>
  <c r="J1472"/>
  <c r="K1472"/>
  <c r="L1472"/>
  <c r="M1472"/>
  <c r="N1472"/>
  <c r="A1473"/>
  <c r="B1473"/>
  <c r="C1473"/>
  <c r="D1473"/>
  <c r="F1473"/>
  <c r="G1473"/>
  <c r="H1473"/>
  <c r="I1473"/>
  <c r="J1473"/>
  <c r="K1473"/>
  <c r="L1473"/>
  <c r="M1473"/>
  <c r="N1473"/>
  <c r="A1474"/>
  <c r="B1474"/>
  <c r="C1474"/>
  <c r="D1474"/>
  <c r="F1474"/>
  <c r="G1474"/>
  <c r="H1474"/>
  <c r="I1474"/>
  <c r="J1474"/>
  <c r="K1474"/>
  <c r="L1474"/>
  <c r="M1474"/>
  <c r="N1474"/>
  <c r="A1475"/>
  <c r="B1475"/>
  <c r="C1475"/>
  <c r="D1475"/>
  <c r="F1475"/>
  <c r="G1475"/>
  <c r="H1475"/>
  <c r="I1475"/>
  <c r="J1475"/>
  <c r="K1475"/>
  <c r="L1475"/>
  <c r="M1475"/>
  <c r="N1475"/>
  <c r="A1476"/>
  <c r="B1476"/>
  <c r="C1476"/>
  <c r="D1476"/>
  <c r="F1476"/>
  <c r="G1476"/>
  <c r="H1476"/>
  <c r="I1476"/>
  <c r="J1476"/>
  <c r="K1476"/>
  <c r="L1476"/>
  <c r="M1476"/>
  <c r="N1476"/>
  <c r="A1477"/>
  <c r="B1477"/>
  <c r="C1477"/>
  <c r="D1477"/>
  <c r="F1477"/>
  <c r="G1477"/>
  <c r="H1477"/>
  <c r="I1477"/>
  <c r="J1477"/>
  <c r="K1477"/>
  <c r="L1477"/>
  <c r="M1477"/>
  <c r="N1477"/>
  <c r="A1478"/>
  <c r="B1478"/>
  <c r="C1478"/>
  <c r="D1478"/>
  <c r="F1478"/>
  <c r="G1478"/>
  <c r="H1478"/>
  <c r="I1478"/>
  <c r="J1478"/>
  <c r="K1478"/>
  <c r="L1478"/>
  <c r="M1478"/>
  <c r="N1478"/>
  <c r="A1479"/>
  <c r="B1479"/>
  <c r="C1479"/>
  <c r="D1479"/>
  <c r="F1479"/>
  <c r="G1479"/>
  <c r="H1479"/>
  <c r="I1479"/>
  <c r="J1479"/>
  <c r="K1479"/>
  <c r="L1479"/>
  <c r="M1479"/>
  <c r="N1479"/>
  <c r="A1480"/>
  <c r="B1480"/>
  <c r="C1480"/>
  <c r="D1480"/>
  <c r="F1480"/>
  <c r="G1480"/>
  <c r="H1480"/>
  <c r="I1480"/>
  <c r="J1480"/>
  <c r="K1480"/>
  <c r="L1480"/>
  <c r="M1480"/>
  <c r="N1480"/>
  <c r="A1481"/>
  <c r="B1481"/>
  <c r="C1481"/>
  <c r="D1481"/>
  <c r="F1481"/>
  <c r="G1481"/>
  <c r="H1481"/>
  <c r="I1481"/>
  <c r="J1481"/>
  <c r="K1481"/>
  <c r="L1481"/>
  <c r="M1481"/>
  <c r="N1481"/>
  <c r="A1482"/>
  <c r="B1482"/>
  <c r="C1482"/>
  <c r="D1482"/>
  <c r="F1482"/>
  <c r="G1482"/>
  <c r="H1482"/>
  <c r="I1482"/>
  <c r="J1482"/>
  <c r="K1482"/>
  <c r="L1482"/>
  <c r="M1482"/>
  <c r="N1482"/>
  <c r="A1483"/>
  <c r="B1483"/>
  <c r="C1483"/>
  <c r="D1483"/>
  <c r="F1483"/>
  <c r="G1483"/>
  <c r="H1483"/>
  <c r="I1483"/>
  <c r="J1483"/>
  <c r="K1483"/>
  <c r="L1483"/>
  <c r="M1483"/>
  <c r="N1483"/>
  <c r="A1484"/>
  <c r="B1484"/>
  <c r="C1484"/>
  <c r="D1484"/>
  <c r="F1484"/>
  <c r="G1484"/>
  <c r="H1484"/>
  <c r="I1484"/>
  <c r="J1484"/>
  <c r="K1484"/>
  <c r="L1484"/>
  <c r="M1484"/>
  <c r="N1484"/>
  <c r="A1485"/>
  <c r="B1485"/>
  <c r="C1485"/>
  <c r="D1485"/>
  <c r="F1485"/>
  <c r="G1485"/>
  <c r="H1485"/>
  <c r="I1485"/>
  <c r="J1485"/>
  <c r="K1485"/>
  <c r="L1485"/>
  <c r="M1485"/>
  <c r="N1485"/>
  <c r="A1486"/>
  <c r="B1486"/>
  <c r="C1486"/>
  <c r="D1486"/>
  <c r="F1486"/>
  <c r="G1486"/>
  <c r="H1486"/>
  <c r="I1486"/>
  <c r="J1486"/>
  <c r="K1486"/>
  <c r="L1486"/>
  <c r="M1486"/>
  <c r="N1486"/>
  <c r="A1487"/>
  <c r="B1487"/>
  <c r="C1487"/>
  <c r="D1487"/>
  <c r="F1487"/>
  <c r="G1487"/>
  <c r="H1487"/>
  <c r="I1487"/>
  <c r="J1487"/>
  <c r="K1487"/>
  <c r="L1487"/>
  <c r="M1487"/>
  <c r="N1487"/>
  <c r="A1488"/>
  <c r="B1488"/>
  <c r="C1488"/>
  <c r="D1488"/>
  <c r="F1488"/>
  <c r="G1488"/>
  <c r="H1488"/>
  <c r="I1488"/>
  <c r="J1488"/>
  <c r="K1488"/>
  <c r="L1488"/>
  <c r="M1488"/>
  <c r="N1488"/>
  <c r="A1489"/>
  <c r="B1489"/>
  <c r="C1489"/>
  <c r="D1489"/>
  <c r="F1489"/>
  <c r="G1489"/>
  <c r="H1489"/>
  <c r="I1489"/>
  <c r="J1489"/>
  <c r="K1489"/>
  <c r="L1489"/>
  <c r="M1489"/>
  <c r="N1489"/>
  <c r="A1490"/>
  <c r="B1490"/>
  <c r="C1490"/>
  <c r="D1490"/>
  <c r="F1490"/>
  <c r="G1490"/>
  <c r="H1490"/>
  <c r="I1490"/>
  <c r="J1490"/>
  <c r="K1490"/>
  <c r="L1490"/>
  <c r="M1490"/>
  <c r="N1490"/>
  <c r="A1491"/>
  <c r="B1491"/>
  <c r="C1491"/>
  <c r="D1491"/>
  <c r="F1491"/>
  <c r="G1491"/>
  <c r="H1491"/>
  <c r="I1491"/>
  <c r="J1491"/>
  <c r="K1491"/>
  <c r="L1491"/>
  <c r="M1491"/>
  <c r="N1491"/>
  <c r="A1492"/>
  <c r="B1492"/>
  <c r="C1492"/>
  <c r="D1492"/>
  <c r="F1492"/>
  <c r="G1492"/>
  <c r="H1492"/>
  <c r="I1492"/>
  <c r="J1492"/>
  <c r="K1492"/>
  <c r="L1492"/>
  <c r="M1492"/>
  <c r="N1492"/>
  <c r="A1493"/>
  <c r="B1493"/>
  <c r="C1493"/>
  <c r="D1493"/>
  <c r="F1493"/>
  <c r="G1493"/>
  <c r="H1493"/>
  <c r="I1493"/>
  <c r="J1493"/>
  <c r="K1493"/>
  <c r="L1493"/>
  <c r="M1493"/>
  <c r="N1493"/>
  <c r="A1494"/>
  <c r="B1494"/>
  <c r="C1494"/>
  <c r="D1494"/>
  <c r="F1494"/>
  <c r="G1494"/>
  <c r="H1494"/>
  <c r="I1494"/>
  <c r="J1494"/>
  <c r="K1494"/>
  <c r="L1494"/>
  <c r="M1494"/>
  <c r="N1494"/>
  <c r="A1495"/>
  <c r="B1495"/>
  <c r="C1495"/>
  <c r="D1495"/>
  <c r="F1495"/>
  <c r="G1495"/>
  <c r="H1495"/>
  <c r="I1495"/>
  <c r="J1495"/>
  <c r="K1495"/>
  <c r="L1495"/>
  <c r="M1495"/>
  <c r="N1495"/>
  <c r="A1496"/>
  <c r="B1496"/>
  <c r="C1496"/>
  <c r="D1496"/>
  <c r="F1496"/>
  <c r="G1496"/>
  <c r="H1496"/>
  <c r="I1496"/>
  <c r="J1496"/>
  <c r="K1496"/>
  <c r="L1496"/>
  <c r="M1496"/>
  <c r="N1496"/>
  <c r="A1497"/>
  <c r="B1497"/>
  <c r="C1497"/>
  <c r="D1497"/>
  <c r="F1497"/>
  <c r="G1497"/>
  <c r="H1497"/>
  <c r="I1497"/>
  <c r="J1497"/>
  <c r="K1497"/>
  <c r="L1497"/>
  <c r="M1497"/>
  <c r="N1497"/>
  <c r="A1498"/>
  <c r="B1498"/>
  <c r="C1498"/>
  <c r="D1498"/>
  <c r="F1498"/>
  <c r="G1498"/>
  <c r="H1498"/>
  <c r="I1498"/>
  <c r="J1498"/>
  <c r="K1498"/>
  <c r="L1498"/>
  <c r="M1498"/>
  <c r="N1498"/>
  <c r="A1499"/>
  <c r="B1499"/>
  <c r="C1499"/>
  <c r="D1499"/>
  <c r="F1499"/>
  <c r="G1499"/>
  <c r="H1499"/>
  <c r="I1499"/>
  <c r="J1499"/>
  <c r="K1499"/>
  <c r="L1499"/>
  <c r="M1499"/>
  <c r="N1499"/>
  <c r="A1500"/>
  <c r="B1500"/>
  <c r="C1500"/>
  <c r="D1500"/>
  <c r="F1500"/>
  <c r="G1500"/>
  <c r="H1500"/>
  <c r="I1500"/>
  <c r="J1500"/>
  <c r="K1500"/>
  <c r="L1500"/>
  <c r="M1500"/>
  <c r="N1500"/>
  <c r="A1501"/>
  <c r="B1501"/>
  <c r="C1501"/>
  <c r="D1501"/>
  <c r="F1501"/>
  <c r="G1501"/>
  <c r="H1501"/>
  <c r="I1501"/>
  <c r="J1501"/>
  <c r="K1501"/>
  <c r="L1501"/>
  <c r="M1501"/>
  <c r="N1501"/>
  <c r="A1502"/>
  <c r="B1502"/>
  <c r="C1502"/>
  <c r="D1502"/>
  <c r="F1502"/>
  <c r="G1502"/>
  <c r="H1502"/>
  <c r="I1502"/>
  <c r="J1502"/>
  <c r="K1502"/>
  <c r="L1502"/>
  <c r="M1502"/>
  <c r="N1502"/>
  <c r="A1503"/>
  <c r="B1503"/>
  <c r="C1503"/>
  <c r="D1503"/>
  <c r="F1503"/>
  <c r="G1503"/>
  <c r="H1503"/>
  <c r="I1503"/>
  <c r="J1503"/>
  <c r="K1503"/>
  <c r="L1503"/>
  <c r="M1503"/>
  <c r="N1503"/>
  <c r="A1504"/>
  <c r="B1504"/>
  <c r="C1504"/>
  <c r="D1504"/>
  <c r="F1504"/>
  <c r="G1504"/>
  <c r="H1504"/>
  <c r="I1504"/>
  <c r="J1504"/>
  <c r="K1504"/>
  <c r="L1504"/>
  <c r="M1504"/>
  <c r="N1504"/>
  <c r="A1505"/>
  <c r="B1505"/>
  <c r="C1505"/>
  <c r="D1505"/>
  <c r="F1505"/>
  <c r="G1505"/>
  <c r="H1505"/>
  <c r="I1505"/>
  <c r="J1505"/>
  <c r="K1505"/>
  <c r="L1505"/>
  <c r="M1505"/>
  <c r="N1505"/>
  <c r="A1506"/>
  <c r="B1506"/>
  <c r="C1506"/>
  <c r="D1506"/>
  <c r="F1506"/>
  <c r="G1506"/>
  <c r="H1506"/>
  <c r="I1506"/>
  <c r="J1506"/>
  <c r="K1506"/>
  <c r="L1506"/>
  <c r="M1506"/>
  <c r="N1506"/>
  <c r="A1507"/>
  <c r="B1507"/>
  <c r="C1507"/>
  <c r="D1507"/>
  <c r="F1507"/>
  <c r="G1507"/>
  <c r="H1507"/>
  <c r="I1507"/>
  <c r="J1507"/>
  <c r="K1507"/>
  <c r="L1507"/>
  <c r="M1507"/>
  <c r="N1507"/>
  <c r="A1508"/>
  <c r="B1508"/>
  <c r="C1508"/>
  <c r="D1508"/>
  <c r="F1508"/>
  <c r="G1508"/>
  <c r="H1508"/>
  <c r="I1508"/>
  <c r="J1508"/>
  <c r="K1508"/>
  <c r="L1508"/>
  <c r="M1508"/>
  <c r="N1508"/>
  <c r="A1509"/>
  <c r="B1509"/>
  <c r="C1509"/>
  <c r="D1509"/>
  <c r="F1509"/>
  <c r="G1509"/>
  <c r="H1509"/>
  <c r="I1509"/>
  <c r="J1509"/>
  <c r="K1509"/>
  <c r="L1509"/>
  <c r="M1509"/>
  <c r="N1509"/>
  <c r="A1510"/>
  <c r="B1510"/>
  <c r="C1510"/>
  <c r="D1510"/>
  <c r="F1510"/>
  <c r="G1510"/>
  <c r="H1510"/>
  <c r="I1510"/>
  <c r="J1510"/>
  <c r="K1510"/>
  <c r="L1510"/>
  <c r="M1510"/>
  <c r="N1510"/>
  <c r="A1511"/>
  <c r="B1511"/>
  <c r="C1511"/>
  <c r="D1511"/>
  <c r="F1511"/>
  <c r="G1511"/>
  <c r="H1511"/>
  <c r="I1511"/>
  <c r="J1511"/>
  <c r="K1511"/>
  <c r="L1511"/>
  <c r="M1511"/>
  <c r="N1511"/>
  <c r="A1512"/>
  <c r="B1512"/>
  <c r="C1512"/>
  <c r="D1512"/>
  <c r="F1512"/>
  <c r="G1512"/>
  <c r="H1512"/>
  <c r="I1512"/>
  <c r="J1512"/>
  <c r="K1512"/>
  <c r="L1512"/>
  <c r="M1512"/>
  <c r="N1512"/>
  <c r="A1513"/>
  <c r="B1513"/>
  <c r="C1513"/>
  <c r="D1513"/>
  <c r="F1513"/>
  <c r="G1513"/>
  <c r="H1513"/>
  <c r="I1513"/>
  <c r="J1513"/>
  <c r="K1513"/>
  <c r="L1513"/>
  <c r="M1513"/>
  <c r="N1513"/>
  <c r="A1514"/>
  <c r="B1514"/>
  <c r="C1514"/>
  <c r="D1514"/>
  <c r="F1514"/>
  <c r="G1514"/>
  <c r="H1514"/>
  <c r="I1514"/>
  <c r="J1514"/>
  <c r="K1514"/>
  <c r="L1514"/>
  <c r="M1514"/>
  <c r="N1514"/>
  <c r="A1515"/>
  <c r="B1515"/>
  <c r="C1515"/>
  <c r="D1515"/>
  <c r="F1515"/>
  <c r="G1515"/>
  <c r="H1515"/>
  <c r="I1515"/>
  <c r="J1515"/>
  <c r="K1515"/>
  <c r="L1515"/>
  <c r="M1515"/>
  <c r="N1515"/>
  <c r="A1516"/>
  <c r="B1516"/>
  <c r="C1516"/>
  <c r="D1516"/>
  <c r="F1516"/>
  <c r="G1516"/>
  <c r="H1516"/>
  <c r="I1516"/>
  <c r="J1516"/>
  <c r="K1516"/>
  <c r="L1516"/>
  <c r="M1516"/>
  <c r="N1516"/>
  <c r="A1517"/>
  <c r="B1517"/>
  <c r="C1517"/>
  <c r="D1517"/>
  <c r="F1517"/>
  <c r="G1517"/>
  <c r="H1517"/>
  <c r="I1517"/>
  <c r="J1517"/>
  <c r="K1517"/>
  <c r="L1517"/>
  <c r="M1517"/>
  <c r="N1517"/>
  <c r="A1518"/>
  <c r="B1518"/>
  <c r="C1518"/>
  <c r="D1518"/>
  <c r="F1518"/>
  <c r="G1518"/>
  <c r="H1518"/>
  <c r="I1518"/>
  <c r="J1518"/>
  <c r="K1518"/>
  <c r="L1518"/>
  <c r="M1518"/>
  <c r="N1518"/>
  <c r="A1519"/>
  <c r="B1519"/>
  <c r="C1519"/>
  <c r="D1519"/>
  <c r="F1519"/>
  <c r="G1519"/>
  <c r="H1519"/>
  <c r="I1519"/>
  <c r="J1519"/>
  <c r="K1519"/>
  <c r="L1519"/>
  <c r="M1519"/>
  <c r="N1519"/>
  <c r="A1520"/>
  <c r="B1520"/>
  <c r="C1520"/>
  <c r="D1520"/>
  <c r="F1520"/>
  <c r="G1520"/>
  <c r="H1520"/>
  <c r="I1520"/>
  <c r="J1520"/>
  <c r="K1520"/>
  <c r="L1520"/>
  <c r="M1520"/>
  <c r="N1520"/>
  <c r="A1521"/>
  <c r="B1521"/>
  <c r="C1521"/>
  <c r="D1521"/>
  <c r="F1521"/>
  <c r="G1521"/>
  <c r="H1521"/>
  <c r="I1521"/>
  <c r="J1521"/>
  <c r="K1521"/>
  <c r="L1521"/>
  <c r="M1521"/>
  <c r="N1521"/>
  <c r="A1522"/>
  <c r="B1522"/>
  <c r="C1522"/>
  <c r="D1522"/>
  <c r="F1522"/>
  <c r="G1522"/>
  <c r="H1522"/>
  <c r="I1522"/>
  <c r="J1522"/>
  <c r="K1522"/>
  <c r="L1522"/>
  <c r="M1522"/>
  <c r="N1522"/>
  <c r="A1523"/>
  <c r="B1523"/>
  <c r="C1523"/>
  <c r="D1523"/>
  <c r="F1523"/>
  <c r="G1523"/>
  <c r="H1523"/>
  <c r="I1523"/>
  <c r="J1523"/>
  <c r="K1523"/>
  <c r="L1523"/>
  <c r="M1523"/>
  <c r="N1523"/>
  <c r="A1524"/>
  <c r="B1524"/>
  <c r="C1524"/>
  <c r="D1524"/>
  <c r="F1524"/>
  <c r="G1524"/>
  <c r="H1524"/>
  <c r="I1524"/>
  <c r="J1524"/>
  <c r="K1524"/>
  <c r="L1524"/>
  <c r="M1524"/>
  <c r="N1524"/>
  <c r="A1525"/>
  <c r="B1525"/>
  <c r="C1525"/>
  <c r="D1525"/>
  <c r="F1525"/>
  <c r="G1525"/>
  <c r="H1525"/>
  <c r="I1525"/>
  <c r="J1525"/>
  <c r="K1525"/>
  <c r="L1525"/>
  <c r="M1525"/>
  <c r="N1525"/>
  <c r="A1526"/>
  <c r="B1526"/>
  <c r="C1526"/>
  <c r="D1526"/>
  <c r="F1526"/>
  <c r="G1526"/>
  <c r="H1526"/>
  <c r="I1526"/>
  <c r="J1526"/>
  <c r="K1526"/>
  <c r="L1526"/>
  <c r="M1526"/>
  <c r="N1526"/>
  <c r="A1527"/>
  <c r="B1527"/>
  <c r="C1527"/>
  <c r="D1527"/>
  <c r="F1527"/>
  <c r="G1527"/>
  <c r="H1527"/>
  <c r="I1527"/>
  <c r="J1527"/>
  <c r="K1527"/>
  <c r="L1527"/>
  <c r="M1527"/>
  <c r="N1527"/>
  <c r="A1528"/>
  <c r="B1528"/>
  <c r="C1528"/>
  <c r="D1528"/>
  <c r="F1528"/>
  <c r="G1528"/>
  <c r="H1528"/>
  <c r="I1528"/>
  <c r="J1528"/>
  <c r="K1528"/>
  <c r="L1528"/>
  <c r="M1528"/>
  <c r="N1528"/>
  <c r="A1529"/>
  <c r="B1529"/>
  <c r="C1529"/>
  <c r="D1529"/>
  <c r="F1529"/>
  <c r="G1529"/>
  <c r="H1529"/>
  <c r="I1529"/>
  <c r="J1529"/>
  <c r="K1529"/>
  <c r="L1529"/>
  <c r="M1529"/>
  <c r="N1529"/>
  <c r="A1530"/>
  <c r="B1530"/>
  <c r="C1530"/>
  <c r="D1530"/>
  <c r="F1530"/>
  <c r="G1530"/>
  <c r="H1530"/>
  <c r="I1530"/>
  <c r="J1530"/>
  <c r="K1530"/>
  <c r="L1530"/>
  <c r="M1530"/>
  <c r="N1530"/>
  <c r="A1531"/>
  <c r="B1531"/>
  <c r="C1531"/>
  <c r="D1531"/>
  <c r="F1531"/>
  <c r="G1531"/>
  <c r="H1531"/>
  <c r="I1531"/>
  <c r="J1531"/>
  <c r="K1531"/>
  <c r="L1531"/>
  <c r="M1531"/>
  <c r="N1531"/>
  <c r="A1532"/>
  <c r="B1532"/>
  <c r="C1532"/>
  <c r="D1532"/>
  <c r="F1532"/>
  <c r="G1532"/>
  <c r="H1532"/>
  <c r="I1532"/>
  <c r="J1532"/>
  <c r="K1532"/>
  <c r="L1532"/>
  <c r="M1532"/>
  <c r="N1532"/>
  <c r="A1533"/>
  <c r="B1533"/>
  <c r="C1533"/>
  <c r="D1533"/>
  <c r="F1533"/>
  <c r="G1533"/>
  <c r="H1533"/>
  <c r="I1533"/>
  <c r="J1533"/>
  <c r="K1533"/>
  <c r="L1533"/>
  <c r="M1533"/>
  <c r="N1533"/>
  <c r="A1534"/>
  <c r="B1534"/>
  <c r="C1534"/>
  <c r="D1534"/>
  <c r="F1534"/>
  <c r="G1534"/>
  <c r="H1534"/>
  <c r="I1534"/>
  <c r="J1534"/>
  <c r="K1534"/>
  <c r="L1534"/>
  <c r="M1534"/>
  <c r="N1534"/>
  <c r="A1535"/>
  <c r="B1535"/>
  <c r="C1535"/>
  <c r="D1535"/>
  <c r="F1535"/>
  <c r="G1535"/>
  <c r="H1535"/>
  <c r="I1535"/>
  <c r="J1535"/>
  <c r="K1535"/>
  <c r="L1535"/>
  <c r="M1535"/>
  <c r="N1535"/>
  <c r="A1536"/>
  <c r="B1536"/>
  <c r="C1536"/>
  <c r="D1536"/>
  <c r="F1536"/>
  <c r="G1536"/>
  <c r="H1536"/>
  <c r="I1536"/>
  <c r="J1536"/>
  <c r="K1536"/>
  <c r="L1536"/>
  <c r="M1536"/>
  <c r="N1536"/>
  <c r="A1537"/>
  <c r="B1537"/>
  <c r="C1537"/>
  <c r="D1537"/>
  <c r="F1537"/>
  <c r="G1537"/>
  <c r="H1537"/>
  <c r="I1537"/>
  <c r="J1537"/>
  <c r="K1537"/>
  <c r="L1537"/>
  <c r="M1537"/>
  <c r="N1537"/>
  <c r="A1538"/>
  <c r="B1538"/>
  <c r="C1538"/>
  <c r="D1538"/>
  <c r="F1538"/>
  <c r="G1538"/>
  <c r="H1538"/>
  <c r="I1538"/>
  <c r="J1538"/>
  <c r="K1538"/>
  <c r="L1538"/>
  <c r="M1538"/>
  <c r="N1538"/>
  <c r="A1539"/>
  <c r="B1539"/>
  <c r="C1539"/>
  <c r="D1539"/>
  <c r="F1539"/>
  <c r="G1539"/>
  <c r="H1539"/>
  <c r="I1539"/>
  <c r="J1539"/>
  <c r="K1539"/>
  <c r="L1539"/>
  <c r="M1539"/>
  <c r="N1539"/>
  <c r="A1540"/>
  <c r="B1540"/>
  <c r="C1540"/>
  <c r="D1540"/>
  <c r="F1540"/>
  <c r="G1540"/>
  <c r="H1540"/>
  <c r="I1540"/>
  <c r="J1540"/>
  <c r="K1540"/>
  <c r="L1540"/>
  <c r="M1540"/>
  <c r="N1540"/>
  <c r="A1541"/>
  <c r="B1541"/>
  <c r="C1541"/>
  <c r="D1541"/>
  <c r="F1541"/>
  <c r="G1541"/>
  <c r="H1541"/>
  <c r="I1541"/>
  <c r="J1541"/>
  <c r="K1541"/>
  <c r="L1541"/>
  <c r="M1541"/>
  <c r="N1541"/>
  <c r="A1542"/>
  <c r="B1542"/>
  <c r="C1542"/>
  <c r="D1542"/>
  <c r="F1542"/>
  <c r="G1542"/>
  <c r="H1542"/>
  <c r="I1542"/>
  <c r="J1542"/>
  <c r="K1542"/>
  <c r="L1542"/>
  <c r="M1542"/>
  <c r="N1542"/>
  <c r="A1543"/>
  <c r="B1543"/>
  <c r="C1543"/>
  <c r="D1543"/>
  <c r="F1543"/>
  <c r="G1543"/>
  <c r="H1543"/>
  <c r="I1543"/>
  <c r="J1543"/>
  <c r="K1543"/>
  <c r="L1543"/>
  <c r="M1543"/>
  <c r="N1543"/>
  <c r="A1544"/>
  <c r="B1544"/>
  <c r="C1544"/>
  <c r="D1544"/>
  <c r="F1544"/>
  <c r="G1544"/>
  <c r="H1544"/>
  <c r="I1544"/>
  <c r="J1544"/>
  <c r="K1544"/>
  <c r="L1544"/>
  <c r="M1544"/>
  <c r="N1544"/>
  <c r="A1545"/>
  <c r="B1545"/>
  <c r="C1545"/>
  <c r="D1545"/>
  <c r="F1545"/>
  <c r="G1545"/>
  <c r="H1545"/>
  <c r="I1545"/>
  <c r="J1545"/>
  <c r="K1545"/>
  <c r="L1545"/>
  <c r="M1545"/>
  <c r="N1545"/>
  <c r="A1546"/>
  <c r="B1546"/>
  <c r="C1546"/>
  <c r="D1546"/>
  <c r="F1546"/>
  <c r="G1546"/>
  <c r="H1546"/>
  <c r="I1546"/>
  <c r="J1546"/>
  <c r="K1546"/>
  <c r="L1546"/>
  <c r="M1546"/>
  <c r="N1546"/>
  <c r="A1547"/>
  <c r="B1547"/>
  <c r="C1547"/>
  <c r="D1547"/>
  <c r="F1547"/>
  <c r="G1547"/>
  <c r="H1547"/>
  <c r="I1547"/>
  <c r="J1547"/>
  <c r="K1547"/>
  <c r="L1547"/>
  <c r="M1547"/>
  <c r="N1547"/>
  <c r="A1548"/>
  <c r="B1548"/>
  <c r="C1548"/>
  <c r="D1548"/>
  <c r="F1548"/>
  <c r="G1548"/>
  <c r="H1548"/>
  <c r="I1548"/>
  <c r="J1548"/>
  <c r="K1548"/>
  <c r="L1548"/>
  <c r="M1548"/>
  <c r="N1548"/>
  <c r="A1549"/>
  <c r="B1549"/>
  <c r="C1549"/>
  <c r="D1549"/>
  <c r="F1549"/>
  <c r="G1549"/>
  <c r="H1549"/>
  <c r="I1549"/>
  <c r="J1549"/>
  <c r="K1549"/>
  <c r="L1549"/>
  <c r="M1549"/>
  <c r="N1549"/>
  <c r="A1550"/>
  <c r="B1550"/>
  <c r="C1550"/>
  <c r="D1550"/>
  <c r="F1550"/>
  <c r="G1550"/>
  <c r="H1550"/>
  <c r="I1550"/>
  <c r="J1550"/>
  <c r="K1550"/>
  <c r="L1550"/>
  <c r="M1550"/>
  <c r="N1550"/>
  <c r="A1551"/>
  <c r="B1551"/>
  <c r="C1551"/>
  <c r="D1551"/>
  <c r="F1551"/>
  <c r="G1551"/>
  <c r="H1551"/>
  <c r="I1551"/>
  <c r="J1551"/>
  <c r="K1551"/>
  <c r="L1551"/>
  <c r="M1551"/>
  <c r="N1551"/>
  <c r="A1552"/>
  <c r="B1552"/>
  <c r="C1552"/>
  <c r="D1552"/>
  <c r="F1552"/>
  <c r="G1552"/>
  <c r="H1552"/>
  <c r="I1552"/>
  <c r="J1552"/>
  <c r="K1552"/>
  <c r="L1552"/>
  <c r="M1552"/>
  <c r="N1552"/>
  <c r="A1553"/>
  <c r="B1553"/>
  <c r="C1553"/>
  <c r="D1553"/>
  <c r="F1553"/>
  <c r="G1553"/>
  <c r="H1553"/>
  <c r="I1553"/>
  <c r="J1553"/>
  <c r="K1553"/>
  <c r="L1553"/>
  <c r="M1553"/>
  <c r="N1553"/>
  <c r="A1554"/>
  <c r="B1554"/>
  <c r="C1554"/>
  <c r="D1554"/>
  <c r="F1554"/>
  <c r="G1554"/>
  <c r="H1554"/>
  <c r="I1554"/>
  <c r="J1554"/>
  <c r="K1554"/>
  <c r="L1554"/>
  <c r="M1554"/>
  <c r="N1554"/>
  <c r="A1555"/>
  <c r="B1555"/>
  <c r="C1555"/>
  <c r="D1555"/>
  <c r="F1555"/>
  <c r="G1555"/>
  <c r="H1555"/>
  <c r="I1555"/>
  <c r="J1555"/>
  <c r="K1555"/>
  <c r="L1555"/>
  <c r="M1555"/>
  <c r="N1555"/>
  <c r="A1556"/>
  <c r="B1556"/>
  <c r="C1556"/>
  <c r="D1556"/>
  <c r="F1556"/>
  <c r="G1556"/>
  <c r="H1556"/>
  <c r="I1556"/>
  <c r="J1556"/>
  <c r="K1556"/>
  <c r="L1556"/>
  <c r="M1556"/>
  <c r="N1556"/>
  <c r="A1557"/>
  <c r="B1557"/>
  <c r="C1557"/>
  <c r="D1557"/>
  <c r="F1557"/>
  <c r="G1557"/>
  <c r="H1557"/>
  <c r="I1557"/>
  <c r="J1557"/>
  <c r="K1557"/>
  <c r="L1557"/>
  <c r="M1557"/>
  <c r="N1557"/>
  <c r="A1558"/>
  <c r="B1558"/>
  <c r="C1558"/>
  <c r="D1558"/>
  <c r="F1558"/>
  <c r="G1558"/>
  <c r="H1558"/>
  <c r="I1558"/>
  <c r="J1558"/>
  <c r="K1558"/>
  <c r="L1558"/>
  <c r="M1558"/>
  <c r="N1558"/>
  <c r="A1559"/>
  <c r="B1559"/>
  <c r="C1559"/>
  <c r="D1559"/>
  <c r="F1559"/>
  <c r="G1559"/>
  <c r="H1559"/>
  <c r="I1559"/>
  <c r="J1559"/>
  <c r="K1559"/>
  <c r="L1559"/>
  <c r="M1559"/>
  <c r="N1559"/>
  <c r="A1560"/>
  <c r="B1560"/>
  <c r="C1560"/>
  <c r="D1560"/>
  <c r="F1560"/>
  <c r="G1560"/>
  <c r="H1560"/>
  <c r="I1560"/>
  <c r="J1560"/>
  <c r="K1560"/>
  <c r="L1560"/>
  <c r="M1560"/>
  <c r="N1560"/>
  <c r="A1561"/>
  <c r="B1561"/>
  <c r="C1561"/>
  <c r="D1561"/>
  <c r="F1561"/>
  <c r="G1561"/>
  <c r="H1561"/>
  <c r="I1561"/>
  <c r="J1561"/>
  <c r="K1561"/>
  <c r="L1561"/>
  <c r="M1561"/>
  <c r="N1561"/>
  <c r="A1562"/>
  <c r="B1562"/>
  <c r="C1562"/>
  <c r="D1562"/>
  <c r="F1562"/>
  <c r="G1562"/>
  <c r="H1562"/>
  <c r="I1562"/>
  <c r="J1562"/>
  <c r="K1562"/>
  <c r="L1562"/>
  <c r="M1562"/>
  <c r="N1562"/>
  <c r="A1563"/>
  <c r="B1563"/>
  <c r="C1563"/>
  <c r="D1563"/>
  <c r="F1563"/>
  <c r="G1563"/>
  <c r="H1563"/>
  <c r="I1563"/>
  <c r="J1563"/>
  <c r="K1563"/>
  <c r="L1563"/>
  <c r="M1563"/>
  <c r="N1563"/>
  <c r="A1564"/>
  <c r="B1564"/>
  <c r="C1564"/>
  <c r="D1564"/>
  <c r="F1564"/>
  <c r="G1564"/>
  <c r="H1564"/>
  <c r="I1564"/>
  <c r="J1564"/>
  <c r="K1564"/>
  <c r="L1564"/>
  <c r="M1564"/>
  <c r="N1564"/>
  <c r="A1565"/>
  <c r="B1565"/>
  <c r="C1565"/>
  <c r="D1565"/>
  <c r="F1565"/>
  <c r="G1565"/>
  <c r="H1565"/>
  <c r="I1565"/>
  <c r="J1565"/>
  <c r="K1565"/>
  <c r="L1565"/>
  <c r="M1565"/>
  <c r="N1565"/>
  <c r="A1566"/>
  <c r="B1566"/>
  <c r="C1566"/>
  <c r="D1566"/>
  <c r="F1566"/>
  <c r="G1566"/>
  <c r="H1566"/>
  <c r="I1566"/>
  <c r="J1566"/>
  <c r="K1566"/>
  <c r="L1566"/>
  <c r="M1566"/>
  <c r="N1566"/>
  <c r="A1567"/>
  <c r="B1567"/>
  <c r="C1567"/>
  <c r="D1567"/>
  <c r="F1567"/>
  <c r="G1567"/>
  <c r="H1567"/>
  <c r="I1567"/>
  <c r="J1567"/>
  <c r="K1567"/>
  <c r="L1567"/>
  <c r="M1567"/>
  <c r="N1567"/>
  <c r="A1568"/>
  <c r="B1568"/>
  <c r="C1568"/>
  <c r="D1568"/>
  <c r="F1568"/>
  <c r="G1568"/>
  <c r="H1568"/>
  <c r="I1568"/>
  <c r="J1568"/>
  <c r="K1568"/>
  <c r="L1568"/>
  <c r="M1568"/>
  <c r="N1568"/>
  <c r="A1569"/>
  <c r="B1569"/>
  <c r="C1569"/>
  <c r="D1569"/>
  <c r="F1569"/>
  <c r="G1569"/>
  <c r="H1569"/>
  <c r="I1569"/>
  <c r="J1569"/>
  <c r="K1569"/>
  <c r="L1569"/>
  <c r="M1569"/>
  <c r="N1569"/>
  <c r="A1570"/>
  <c r="B1570"/>
  <c r="C1570"/>
  <c r="D1570"/>
  <c r="F1570"/>
  <c r="G1570"/>
  <c r="H1570"/>
  <c r="I1570"/>
  <c r="J1570"/>
  <c r="K1570"/>
  <c r="L1570"/>
  <c r="M1570"/>
  <c r="N1570"/>
  <c r="A1571"/>
  <c r="B1571"/>
  <c r="C1571"/>
  <c r="D1571"/>
  <c r="F1571"/>
  <c r="G1571"/>
  <c r="H1571"/>
  <c r="I1571"/>
  <c r="J1571"/>
  <c r="K1571"/>
  <c r="L1571"/>
  <c r="M1571"/>
  <c r="N1571"/>
  <c r="A1572"/>
  <c r="B1572"/>
  <c r="C1572"/>
  <c r="D1572"/>
  <c r="F1572"/>
  <c r="G1572"/>
  <c r="H1572"/>
  <c r="I1572"/>
  <c r="J1572"/>
  <c r="K1572"/>
  <c r="L1572"/>
  <c r="M1572"/>
  <c r="N1572"/>
  <c r="A1573"/>
  <c r="B1573"/>
  <c r="C1573"/>
  <c r="D1573"/>
  <c r="F1573"/>
  <c r="G1573"/>
  <c r="H1573"/>
  <c r="I1573"/>
  <c r="J1573"/>
  <c r="K1573"/>
  <c r="L1573"/>
  <c r="M1573"/>
  <c r="N1573"/>
  <c r="A1574"/>
  <c r="B1574"/>
  <c r="C1574"/>
  <c r="D1574"/>
  <c r="F1574"/>
  <c r="G1574"/>
  <c r="H1574"/>
  <c r="I1574"/>
  <c r="J1574"/>
  <c r="K1574"/>
  <c r="L1574"/>
  <c r="M1574"/>
  <c r="N1574"/>
  <c r="A1575"/>
  <c r="B1575"/>
  <c r="C1575"/>
  <c r="D1575"/>
  <c r="F1575"/>
  <c r="G1575"/>
  <c r="H1575"/>
  <c r="I1575"/>
  <c r="J1575"/>
  <c r="K1575"/>
  <c r="L1575"/>
  <c r="M1575"/>
  <c r="N1575"/>
  <c r="A1576"/>
  <c r="B1576"/>
  <c r="C1576"/>
  <c r="D1576"/>
  <c r="F1576"/>
  <c r="G1576"/>
  <c r="H1576"/>
  <c r="I1576"/>
  <c r="J1576"/>
  <c r="K1576"/>
  <c r="L1576"/>
  <c r="M1576"/>
  <c r="N1576"/>
  <c r="A1577"/>
  <c r="B1577"/>
  <c r="C1577"/>
  <c r="D1577"/>
  <c r="F1577"/>
  <c r="G1577"/>
  <c r="H1577"/>
  <c r="I1577"/>
  <c r="J1577"/>
  <c r="K1577"/>
  <c r="L1577"/>
  <c r="M1577"/>
  <c r="N1577"/>
  <c r="A1578"/>
  <c r="B1578"/>
  <c r="C1578"/>
  <c r="D1578"/>
  <c r="F1578"/>
  <c r="G1578"/>
  <c r="H1578"/>
  <c r="I1578"/>
  <c r="J1578"/>
  <c r="K1578"/>
  <c r="L1578"/>
  <c r="M1578"/>
  <c r="N1578"/>
  <c r="A1579"/>
  <c r="B1579"/>
  <c r="C1579"/>
  <c r="D1579"/>
  <c r="F1579"/>
  <c r="G1579"/>
  <c r="H1579"/>
  <c r="I1579"/>
  <c r="J1579"/>
  <c r="K1579"/>
  <c r="L1579"/>
  <c r="M1579"/>
  <c r="N1579"/>
  <c r="A1580"/>
  <c r="B1580"/>
  <c r="C1580"/>
  <c r="D1580"/>
  <c r="F1580"/>
  <c r="G1580"/>
  <c r="H1580"/>
  <c r="I1580"/>
  <c r="J1580"/>
  <c r="K1580"/>
  <c r="L1580"/>
  <c r="M1580"/>
  <c r="N1580"/>
  <c r="A1581"/>
  <c r="B1581"/>
  <c r="C1581"/>
  <c r="D1581"/>
  <c r="F1581"/>
  <c r="G1581"/>
  <c r="H1581"/>
  <c r="I1581"/>
  <c r="J1581"/>
  <c r="K1581"/>
  <c r="L1581"/>
  <c r="M1581"/>
  <c r="N1581"/>
  <c r="A1582"/>
  <c r="B1582"/>
  <c r="C1582"/>
  <c r="D1582"/>
  <c r="F1582"/>
  <c r="G1582"/>
  <c r="H1582"/>
  <c r="I1582"/>
  <c r="J1582"/>
  <c r="K1582"/>
  <c r="L1582"/>
  <c r="M1582"/>
  <c r="N1582"/>
  <c r="A1583"/>
  <c r="B1583"/>
  <c r="C1583"/>
  <c r="D1583"/>
  <c r="F1583"/>
  <c r="G1583"/>
  <c r="H1583"/>
  <c r="I1583"/>
  <c r="J1583"/>
  <c r="K1583"/>
  <c r="L1583"/>
  <c r="M1583"/>
  <c r="N1583"/>
  <c r="A1584"/>
  <c r="B1584"/>
  <c r="C1584"/>
  <c r="D1584"/>
  <c r="F1584"/>
  <c r="G1584"/>
  <c r="H1584"/>
  <c r="I1584"/>
  <c r="J1584"/>
  <c r="K1584"/>
  <c r="L1584"/>
  <c r="M1584"/>
  <c r="N1584"/>
  <c r="A1585"/>
  <c r="B1585"/>
  <c r="C1585"/>
  <c r="D1585"/>
  <c r="F1585"/>
  <c r="G1585"/>
  <c r="H1585"/>
  <c r="I1585"/>
  <c r="J1585"/>
  <c r="K1585"/>
  <c r="L1585"/>
  <c r="M1585"/>
  <c r="N1585"/>
  <c r="A1586"/>
  <c r="B1586"/>
  <c r="C1586"/>
  <c r="D1586"/>
  <c r="F1586"/>
  <c r="G1586"/>
  <c r="H1586"/>
  <c r="I1586"/>
  <c r="J1586"/>
  <c r="K1586"/>
  <c r="L1586"/>
  <c r="M1586"/>
  <c r="N1586"/>
  <c r="A1587"/>
  <c r="B1587"/>
  <c r="C1587"/>
  <c r="D1587"/>
  <c r="F1587"/>
  <c r="G1587"/>
  <c r="H1587"/>
  <c r="I1587"/>
  <c r="J1587"/>
  <c r="K1587"/>
  <c r="L1587"/>
  <c r="M1587"/>
  <c r="N1587"/>
  <c r="A1588"/>
  <c r="B1588"/>
  <c r="C1588"/>
  <c r="D1588"/>
  <c r="F1588"/>
  <c r="G1588"/>
  <c r="H1588"/>
  <c r="I1588"/>
  <c r="J1588"/>
  <c r="K1588"/>
  <c r="L1588"/>
  <c r="M1588"/>
  <c r="N1588"/>
  <c r="A1589"/>
  <c r="B1589"/>
  <c r="C1589"/>
  <c r="D1589"/>
  <c r="F1589"/>
  <c r="G1589"/>
  <c r="H1589"/>
  <c r="I1589"/>
  <c r="J1589"/>
  <c r="K1589"/>
  <c r="L1589"/>
  <c r="M1589"/>
  <c r="N1589"/>
  <c r="A1590"/>
  <c r="B1590"/>
  <c r="C1590"/>
  <c r="D1590"/>
  <c r="F1590"/>
  <c r="G1590"/>
  <c r="H1590"/>
  <c r="I1590"/>
  <c r="J1590"/>
  <c r="K1590"/>
  <c r="L1590"/>
  <c r="M1590"/>
  <c r="N1590"/>
  <c r="A1591"/>
  <c r="B1591"/>
  <c r="C1591"/>
  <c r="D1591"/>
  <c r="F1591"/>
  <c r="G1591"/>
  <c r="H1591"/>
  <c r="I1591"/>
  <c r="J1591"/>
  <c r="K1591"/>
  <c r="L1591"/>
  <c r="M1591"/>
  <c r="N1591"/>
  <c r="A1592"/>
  <c r="B1592"/>
  <c r="C1592"/>
  <c r="D1592"/>
  <c r="F1592"/>
  <c r="G1592"/>
  <c r="H1592"/>
  <c r="I1592"/>
  <c r="J1592"/>
  <c r="K1592"/>
  <c r="L1592"/>
  <c r="M1592"/>
  <c r="N1592"/>
  <c r="A1593"/>
  <c r="B1593"/>
  <c r="C1593"/>
  <c r="D1593"/>
  <c r="F1593"/>
  <c r="G1593"/>
  <c r="H1593"/>
  <c r="I1593"/>
  <c r="J1593"/>
  <c r="K1593"/>
  <c r="L1593"/>
  <c r="M1593"/>
  <c r="N1593"/>
  <c r="A1594"/>
  <c r="B1594"/>
  <c r="C1594"/>
  <c r="D1594"/>
  <c r="F1594"/>
  <c r="G1594"/>
  <c r="H1594"/>
  <c r="I1594"/>
  <c r="J1594"/>
  <c r="K1594"/>
  <c r="L1594"/>
  <c r="M1594"/>
  <c r="N1594"/>
  <c r="A1595"/>
  <c r="B1595"/>
  <c r="C1595"/>
  <c r="D1595"/>
  <c r="F1595"/>
  <c r="G1595"/>
  <c r="H1595"/>
  <c r="I1595"/>
  <c r="J1595"/>
  <c r="K1595"/>
  <c r="L1595"/>
  <c r="M1595"/>
  <c r="N1595"/>
  <c r="A1596"/>
  <c r="B1596"/>
  <c r="C1596"/>
  <c r="D1596"/>
  <c r="F1596"/>
  <c r="G1596"/>
  <c r="H1596"/>
  <c r="I1596"/>
  <c r="J1596"/>
  <c r="K1596"/>
  <c r="L1596"/>
  <c r="M1596"/>
  <c r="N1596"/>
  <c r="A1597"/>
  <c r="B1597"/>
  <c r="C1597"/>
  <c r="D1597"/>
  <c r="F1597"/>
  <c r="G1597"/>
  <c r="H1597"/>
  <c r="I1597"/>
  <c r="J1597"/>
  <c r="K1597"/>
  <c r="L1597"/>
  <c r="M1597"/>
  <c r="N1597"/>
  <c r="A1598"/>
  <c r="B1598"/>
  <c r="C1598"/>
  <c r="D1598"/>
  <c r="F1598"/>
  <c r="G1598"/>
  <c r="H1598"/>
  <c r="I1598"/>
  <c r="J1598"/>
  <c r="K1598"/>
  <c r="L1598"/>
  <c r="M1598"/>
  <c r="N1598"/>
  <c r="A1599"/>
  <c r="B1599"/>
  <c r="C1599"/>
  <c r="D1599"/>
  <c r="F1599"/>
  <c r="G1599"/>
  <c r="H1599"/>
  <c r="I1599"/>
  <c r="J1599"/>
  <c r="K1599"/>
  <c r="L1599"/>
  <c r="M1599"/>
  <c r="N1599"/>
  <c r="A1600"/>
  <c r="B1600"/>
  <c r="C1600"/>
  <c r="D1600"/>
  <c r="F1600"/>
  <c r="G1600"/>
  <c r="H1600"/>
  <c r="I1600"/>
  <c r="J1600"/>
  <c r="K1600"/>
  <c r="L1600"/>
  <c r="M1600"/>
  <c r="N1600"/>
  <c r="A1601"/>
  <c r="B1601"/>
  <c r="C1601"/>
  <c r="D1601"/>
  <c r="F1601"/>
  <c r="G1601"/>
  <c r="H1601"/>
  <c r="I1601"/>
  <c r="J1601"/>
  <c r="K1601"/>
  <c r="L1601"/>
  <c r="M1601"/>
  <c r="N1601"/>
  <c r="A1602"/>
  <c r="B1602"/>
  <c r="C1602"/>
  <c r="D1602"/>
  <c r="F1602"/>
  <c r="G1602"/>
  <c r="H1602"/>
  <c r="I1602"/>
  <c r="J1602"/>
  <c r="K1602"/>
  <c r="L1602"/>
  <c r="M1602"/>
  <c r="N1602"/>
  <c r="A1603"/>
  <c r="B1603"/>
  <c r="C1603"/>
  <c r="D1603"/>
  <c r="F1603"/>
  <c r="G1603"/>
  <c r="H1603"/>
  <c r="I1603"/>
  <c r="J1603"/>
  <c r="K1603"/>
  <c r="L1603"/>
  <c r="M1603"/>
  <c r="N1603"/>
  <c r="A1604"/>
  <c r="B1604"/>
  <c r="C1604"/>
  <c r="D1604"/>
  <c r="F1604"/>
  <c r="G1604"/>
  <c r="H1604"/>
  <c r="I1604"/>
  <c r="J1604"/>
  <c r="K1604"/>
  <c r="L1604"/>
  <c r="M1604"/>
  <c r="N1604"/>
  <c r="A1605"/>
  <c r="B1605"/>
  <c r="C1605"/>
  <c r="D1605"/>
  <c r="F1605"/>
  <c r="G1605"/>
  <c r="H1605"/>
  <c r="I1605"/>
  <c r="J1605"/>
  <c r="K1605"/>
  <c r="L1605"/>
  <c r="M1605"/>
  <c r="N1605"/>
  <c r="A1606"/>
  <c r="B1606"/>
  <c r="C1606"/>
  <c r="D1606"/>
  <c r="F1606"/>
  <c r="G1606"/>
  <c r="H1606"/>
  <c r="I1606"/>
  <c r="J1606"/>
  <c r="K1606"/>
  <c r="L1606"/>
  <c r="M1606"/>
  <c r="N1606"/>
  <c r="A1607"/>
  <c r="B1607"/>
  <c r="C1607"/>
  <c r="D1607"/>
  <c r="F1607"/>
  <c r="G1607"/>
  <c r="H1607"/>
  <c r="I1607"/>
  <c r="J1607"/>
  <c r="K1607"/>
  <c r="L1607"/>
  <c r="M1607"/>
  <c r="N1607"/>
  <c r="A1608"/>
  <c r="B1608"/>
  <c r="C1608"/>
  <c r="D1608"/>
  <c r="F1608"/>
  <c r="G1608"/>
  <c r="H1608"/>
  <c r="I1608"/>
  <c r="J1608"/>
  <c r="K1608"/>
  <c r="L1608"/>
  <c r="M1608"/>
  <c r="N1608"/>
  <c r="A1609"/>
  <c r="B1609"/>
  <c r="C1609"/>
  <c r="D1609"/>
  <c r="F1609"/>
  <c r="G1609"/>
  <c r="H1609"/>
  <c r="I1609"/>
  <c r="J1609"/>
  <c r="K1609"/>
  <c r="L1609"/>
  <c r="M1609"/>
  <c r="N1609"/>
  <c r="A1610"/>
  <c r="B1610"/>
  <c r="C1610"/>
  <c r="D1610"/>
  <c r="F1610"/>
  <c r="G1610"/>
  <c r="H1610"/>
  <c r="I1610"/>
  <c r="J1610"/>
  <c r="K1610"/>
  <c r="L1610"/>
  <c r="M1610"/>
  <c r="N1610"/>
  <c r="A1611"/>
  <c r="B1611"/>
  <c r="C1611"/>
  <c r="D1611"/>
  <c r="F1611"/>
  <c r="G1611"/>
  <c r="H1611"/>
  <c r="I1611"/>
  <c r="J1611"/>
  <c r="K1611"/>
  <c r="L1611"/>
  <c r="M1611"/>
  <c r="N1611"/>
  <c r="A1612"/>
  <c r="B1612"/>
  <c r="C1612"/>
  <c r="D1612"/>
  <c r="F1612"/>
  <c r="G1612"/>
  <c r="H1612"/>
  <c r="I1612"/>
  <c r="J1612"/>
  <c r="K1612"/>
  <c r="L1612"/>
  <c r="M1612"/>
  <c r="N1612"/>
  <c r="A1613"/>
  <c r="B1613"/>
  <c r="C1613"/>
  <c r="D1613"/>
  <c r="F1613"/>
  <c r="G1613"/>
  <c r="H1613"/>
  <c r="I1613"/>
  <c r="J1613"/>
  <c r="K1613"/>
  <c r="L1613"/>
  <c r="M1613"/>
  <c r="N1613"/>
  <c r="A1614"/>
  <c r="B1614"/>
  <c r="C1614"/>
  <c r="D1614"/>
  <c r="F1614"/>
  <c r="G1614"/>
  <c r="H1614"/>
  <c r="I1614"/>
  <c r="J1614"/>
  <c r="K1614"/>
  <c r="L1614"/>
  <c r="M1614"/>
  <c r="N1614"/>
  <c r="A1615"/>
  <c r="B1615"/>
  <c r="C1615"/>
  <c r="D1615"/>
  <c r="F1615"/>
  <c r="G1615"/>
  <c r="H1615"/>
  <c r="I1615"/>
  <c r="J1615"/>
  <c r="K1615"/>
  <c r="L1615"/>
  <c r="M1615"/>
  <c r="N1615"/>
  <c r="A1616"/>
  <c r="B1616"/>
  <c r="C1616"/>
  <c r="D1616"/>
  <c r="F1616"/>
  <c r="G1616"/>
  <c r="H1616"/>
  <c r="I1616"/>
  <c r="J1616"/>
  <c r="K1616"/>
  <c r="L1616"/>
  <c r="M1616"/>
  <c r="N1616"/>
  <c r="A1617"/>
  <c r="B1617"/>
  <c r="C1617"/>
  <c r="D1617"/>
  <c r="F1617"/>
  <c r="G1617"/>
  <c r="H1617"/>
  <c r="I1617"/>
  <c r="J1617"/>
  <c r="K1617"/>
  <c r="L1617"/>
  <c r="M1617"/>
  <c r="N1617"/>
  <c r="A1618"/>
  <c r="B1618"/>
  <c r="C1618"/>
  <c r="D1618"/>
  <c r="F1618"/>
  <c r="G1618"/>
  <c r="H1618"/>
  <c r="I1618"/>
  <c r="J1618"/>
  <c r="K1618"/>
  <c r="L1618"/>
  <c r="M1618"/>
  <c r="N1618"/>
  <c r="A1619"/>
  <c r="B1619"/>
  <c r="C1619"/>
  <c r="D1619"/>
  <c r="F1619"/>
  <c r="G1619"/>
  <c r="H1619"/>
  <c r="I1619"/>
  <c r="J1619"/>
  <c r="K1619"/>
  <c r="L1619"/>
  <c r="M1619"/>
  <c r="N1619"/>
  <c r="A1620"/>
  <c r="B1620"/>
  <c r="C1620"/>
  <c r="D1620"/>
  <c r="F1620"/>
  <c r="G1620"/>
  <c r="H1620"/>
  <c r="I1620"/>
  <c r="J1620"/>
  <c r="K1620"/>
  <c r="L1620"/>
  <c r="M1620"/>
  <c r="N1620"/>
  <c r="A1621"/>
  <c r="B1621"/>
  <c r="C1621"/>
  <c r="D1621"/>
  <c r="F1621"/>
  <c r="G1621"/>
  <c r="H1621"/>
  <c r="I1621"/>
  <c r="J1621"/>
  <c r="K1621"/>
  <c r="L1621"/>
  <c r="M1621"/>
  <c r="N1621"/>
  <c r="A1622"/>
  <c r="B1622"/>
  <c r="C1622"/>
  <c r="D1622"/>
  <c r="F1622"/>
  <c r="G1622"/>
  <c r="H1622"/>
  <c r="I1622"/>
  <c r="J1622"/>
  <c r="K1622"/>
  <c r="L1622"/>
  <c r="M1622"/>
  <c r="N1622"/>
  <c r="A1623"/>
  <c r="B1623"/>
  <c r="C1623"/>
  <c r="D1623"/>
  <c r="F1623"/>
  <c r="G1623"/>
  <c r="H1623"/>
  <c r="I1623"/>
  <c r="J1623"/>
  <c r="K1623"/>
  <c r="L1623"/>
  <c r="M1623"/>
  <c r="N1623"/>
  <c r="A1624"/>
  <c r="B1624"/>
  <c r="C1624"/>
  <c r="D1624"/>
  <c r="F1624"/>
  <c r="G1624"/>
  <c r="H1624"/>
  <c r="I1624"/>
  <c r="J1624"/>
  <c r="K1624"/>
  <c r="L1624"/>
  <c r="M1624"/>
  <c r="N1624"/>
  <c r="A1625"/>
  <c r="B1625"/>
  <c r="C1625"/>
  <c r="D1625"/>
  <c r="F1625"/>
  <c r="G1625"/>
  <c r="H1625"/>
  <c r="I1625"/>
  <c r="J1625"/>
  <c r="K1625"/>
  <c r="L1625"/>
  <c r="M1625"/>
  <c r="N1625"/>
  <c r="A1626"/>
  <c r="B1626"/>
  <c r="C1626"/>
  <c r="D1626"/>
  <c r="F1626"/>
  <c r="G1626"/>
  <c r="H1626"/>
  <c r="I1626"/>
  <c r="J1626"/>
  <c r="K1626"/>
  <c r="L1626"/>
  <c r="M1626"/>
  <c r="N1626"/>
  <c r="A1627"/>
  <c r="B1627"/>
  <c r="C1627"/>
  <c r="D1627"/>
  <c r="F1627"/>
  <c r="G1627"/>
  <c r="H1627"/>
  <c r="I1627"/>
  <c r="J1627"/>
  <c r="K1627"/>
  <c r="L1627"/>
  <c r="M1627"/>
  <c r="N1627"/>
  <c r="A1628"/>
  <c r="B1628"/>
  <c r="C1628"/>
  <c r="D1628"/>
  <c r="F1628"/>
  <c r="G1628"/>
  <c r="H1628"/>
  <c r="I1628"/>
  <c r="J1628"/>
  <c r="K1628"/>
  <c r="L1628"/>
  <c r="M1628"/>
  <c r="N1628"/>
  <c r="A1629"/>
  <c r="B1629"/>
  <c r="C1629"/>
  <c r="D1629"/>
  <c r="F1629"/>
  <c r="G1629"/>
  <c r="H1629"/>
  <c r="I1629"/>
  <c r="J1629"/>
  <c r="K1629"/>
  <c r="L1629"/>
  <c r="M1629"/>
  <c r="N1629"/>
  <c r="A1630"/>
  <c r="B1630"/>
  <c r="C1630"/>
  <c r="D1630"/>
  <c r="F1630"/>
  <c r="G1630"/>
  <c r="H1630"/>
  <c r="I1630"/>
  <c r="J1630"/>
  <c r="K1630"/>
  <c r="L1630"/>
  <c r="M1630"/>
  <c r="N1630"/>
  <c r="A1631"/>
  <c r="B1631"/>
  <c r="C1631"/>
  <c r="D1631"/>
  <c r="F1631"/>
  <c r="G1631"/>
  <c r="H1631"/>
  <c r="I1631"/>
  <c r="J1631"/>
  <c r="K1631"/>
  <c r="L1631"/>
  <c r="M1631"/>
  <c r="N1631"/>
  <c r="A1632"/>
  <c r="B1632"/>
  <c r="C1632"/>
  <c r="D1632"/>
  <c r="F1632"/>
  <c r="G1632"/>
  <c r="H1632"/>
  <c r="I1632"/>
  <c r="J1632"/>
  <c r="K1632"/>
  <c r="L1632"/>
  <c r="M1632"/>
  <c r="N1632"/>
  <c r="A1633"/>
  <c r="B1633"/>
  <c r="C1633"/>
  <c r="D1633"/>
  <c r="F1633"/>
  <c r="G1633"/>
  <c r="H1633"/>
  <c r="I1633"/>
  <c r="J1633"/>
  <c r="K1633"/>
  <c r="L1633"/>
  <c r="M1633"/>
  <c r="N1633"/>
  <c r="A1634"/>
  <c r="B1634"/>
  <c r="C1634"/>
  <c r="D1634"/>
  <c r="F1634"/>
  <c r="G1634"/>
  <c r="H1634"/>
  <c r="I1634"/>
  <c r="J1634"/>
  <c r="K1634"/>
  <c r="L1634"/>
  <c r="M1634"/>
  <c r="N1634"/>
  <c r="A1635"/>
  <c r="B1635"/>
  <c r="C1635"/>
  <c r="D1635"/>
  <c r="F1635"/>
  <c r="G1635"/>
  <c r="H1635"/>
  <c r="I1635"/>
  <c r="J1635"/>
  <c r="K1635"/>
  <c r="L1635"/>
  <c r="M1635"/>
  <c r="N1635"/>
  <c r="A1636"/>
  <c r="B1636"/>
  <c r="C1636"/>
  <c r="D1636"/>
  <c r="F1636"/>
  <c r="G1636"/>
  <c r="H1636"/>
  <c r="I1636"/>
  <c r="J1636"/>
  <c r="K1636"/>
  <c r="L1636"/>
  <c r="M1636"/>
  <c r="N1636"/>
  <c r="A1637"/>
  <c r="B1637"/>
  <c r="C1637"/>
  <c r="D1637"/>
  <c r="F1637"/>
  <c r="G1637"/>
  <c r="H1637"/>
  <c r="I1637"/>
  <c r="J1637"/>
  <c r="K1637"/>
  <c r="L1637"/>
  <c r="M1637"/>
  <c r="N1637"/>
  <c r="A1638"/>
  <c r="B1638"/>
  <c r="C1638"/>
  <c r="D1638"/>
  <c r="F1638"/>
  <c r="G1638"/>
  <c r="H1638"/>
  <c r="I1638"/>
  <c r="J1638"/>
  <c r="K1638"/>
  <c r="L1638"/>
  <c r="M1638"/>
  <c r="N1638"/>
  <c r="A1639"/>
  <c r="B1639"/>
  <c r="C1639"/>
  <c r="D1639"/>
  <c r="F1639"/>
  <c r="G1639"/>
  <c r="H1639"/>
  <c r="I1639"/>
  <c r="J1639"/>
  <c r="K1639"/>
  <c r="L1639"/>
  <c r="M1639"/>
  <c r="N1639"/>
  <c r="A1640"/>
  <c r="B1640"/>
  <c r="C1640"/>
  <c r="D1640"/>
  <c r="F1640"/>
  <c r="G1640"/>
  <c r="H1640"/>
  <c r="I1640"/>
  <c r="J1640"/>
  <c r="K1640"/>
  <c r="L1640"/>
  <c r="M1640"/>
  <c r="N1640"/>
  <c r="A1641"/>
  <c r="B1641"/>
  <c r="C1641"/>
  <c r="D1641"/>
  <c r="F1641"/>
  <c r="G1641"/>
  <c r="H1641"/>
  <c r="I1641"/>
  <c r="J1641"/>
  <c r="K1641"/>
  <c r="L1641"/>
  <c r="M1641"/>
  <c r="N1641"/>
  <c r="A1642"/>
  <c r="B1642"/>
  <c r="C1642"/>
  <c r="D1642"/>
  <c r="F1642"/>
  <c r="G1642"/>
  <c r="H1642"/>
  <c r="I1642"/>
  <c r="J1642"/>
  <c r="K1642"/>
  <c r="L1642"/>
  <c r="M1642"/>
  <c r="N1642"/>
  <c r="A1643"/>
  <c r="B1643"/>
  <c r="C1643"/>
  <c r="D1643"/>
  <c r="F1643"/>
  <c r="G1643"/>
  <c r="H1643"/>
  <c r="I1643"/>
  <c r="J1643"/>
  <c r="K1643"/>
  <c r="L1643"/>
  <c r="M1643"/>
  <c r="N1643"/>
  <c r="A1644"/>
  <c r="B1644"/>
  <c r="C1644"/>
  <c r="D1644"/>
  <c r="F1644"/>
  <c r="G1644"/>
  <c r="H1644"/>
  <c r="I1644"/>
  <c r="J1644"/>
  <c r="K1644"/>
  <c r="L1644"/>
  <c r="M1644"/>
  <c r="N1644"/>
  <c r="A1645"/>
  <c r="B1645"/>
  <c r="C1645"/>
  <c r="D1645"/>
  <c r="F1645"/>
  <c r="G1645"/>
  <c r="H1645"/>
  <c r="I1645"/>
  <c r="J1645"/>
  <c r="K1645"/>
  <c r="L1645"/>
  <c r="M1645"/>
  <c r="N1645"/>
  <c r="A1646"/>
  <c r="B1646"/>
  <c r="C1646"/>
  <c r="D1646"/>
  <c r="F1646"/>
  <c r="G1646"/>
  <c r="H1646"/>
  <c r="I1646"/>
  <c r="J1646"/>
  <c r="K1646"/>
  <c r="L1646"/>
  <c r="M1646"/>
  <c r="N1646"/>
  <c r="A1647"/>
  <c r="B1647"/>
  <c r="C1647"/>
  <c r="D1647"/>
  <c r="F1647"/>
  <c r="G1647"/>
  <c r="H1647"/>
  <c r="I1647"/>
  <c r="J1647"/>
  <c r="K1647"/>
  <c r="L1647"/>
  <c r="M1647"/>
  <c r="N1647"/>
  <c r="A1648"/>
  <c r="B1648"/>
  <c r="C1648"/>
  <c r="D1648"/>
  <c r="F1648"/>
  <c r="G1648"/>
  <c r="H1648"/>
  <c r="I1648"/>
  <c r="J1648"/>
  <c r="K1648"/>
  <c r="L1648"/>
  <c r="M1648"/>
  <c r="N1648"/>
  <c r="A1649"/>
  <c r="B1649"/>
  <c r="C1649"/>
  <c r="D1649"/>
  <c r="F1649"/>
  <c r="G1649"/>
  <c r="H1649"/>
  <c r="I1649"/>
  <c r="J1649"/>
  <c r="K1649"/>
  <c r="L1649"/>
  <c r="M1649"/>
  <c r="N1649"/>
  <c r="A1650"/>
  <c r="B1650"/>
  <c r="C1650"/>
  <c r="D1650"/>
  <c r="F1650"/>
  <c r="G1650"/>
  <c r="H1650"/>
  <c r="I1650"/>
  <c r="J1650"/>
  <c r="K1650"/>
  <c r="L1650"/>
  <c r="M1650"/>
  <c r="N1650"/>
  <c r="A1651"/>
  <c r="B1651"/>
  <c r="C1651"/>
  <c r="D1651"/>
  <c r="F1651"/>
  <c r="G1651"/>
  <c r="H1651"/>
  <c r="I1651"/>
  <c r="J1651"/>
  <c r="K1651"/>
  <c r="L1651"/>
  <c r="M1651"/>
  <c r="N1651"/>
  <c r="A1652"/>
  <c r="B1652"/>
  <c r="C1652"/>
  <c r="D1652"/>
  <c r="E1652"/>
  <c r="F1652"/>
  <c r="G1652"/>
  <c r="H1652"/>
  <c r="I1652"/>
  <c r="J1652"/>
  <c r="K1652"/>
  <c r="L1652"/>
  <c r="M1652"/>
  <c r="N1652"/>
  <c r="A1653"/>
  <c r="B1653"/>
  <c r="C1653"/>
  <c r="D1653"/>
  <c r="E1653"/>
  <c r="F1653"/>
  <c r="G1653"/>
  <c r="H1653"/>
  <c r="I1653"/>
  <c r="J1653"/>
  <c r="K1653"/>
  <c r="L1653"/>
  <c r="M1653"/>
  <c r="N1653"/>
  <c r="A1654"/>
  <c r="B1654"/>
  <c r="C1654"/>
  <c r="D1654"/>
  <c r="E1654"/>
  <c r="F1654"/>
  <c r="G1654"/>
  <c r="H1654"/>
  <c r="I1654"/>
  <c r="J1654"/>
  <c r="K1654"/>
  <c r="L1654"/>
  <c r="M1654"/>
  <c r="N1654"/>
  <c r="N2"/>
  <c r="M2"/>
  <c r="L2"/>
  <c r="K2"/>
  <c r="J2"/>
  <c r="I2"/>
  <c r="B2"/>
  <c r="C2"/>
  <c r="D2"/>
  <c r="F2"/>
  <c r="G2"/>
  <c r="H2"/>
  <c r="A2"/>
  <c r="E7" i="1"/>
  <c r="E3" i="2" s="1"/>
  <c r="E8" i="1"/>
  <c r="E4" i="2" s="1"/>
  <c r="E9" i="1"/>
  <c r="E5" i="2" s="1"/>
  <c r="E10" i="1"/>
  <c r="E6" i="2" s="1"/>
  <c r="E11" i="1"/>
  <c r="E7" i="2" s="1"/>
  <c r="E12" i="1"/>
  <c r="E8" i="2" s="1"/>
  <c r="E13" i="1"/>
  <c r="E9" i="2" s="1"/>
  <c r="E14" i="1"/>
  <c r="E10" i="2" s="1"/>
  <c r="E15" i="1"/>
  <c r="E11" i="2" s="1"/>
  <c r="E16" i="1"/>
  <c r="E12" i="2" s="1"/>
  <c r="E17" i="1"/>
  <c r="E13" i="2" s="1"/>
  <c r="E18" i="1"/>
  <c r="E14" i="2" s="1"/>
  <c r="E19" i="1"/>
  <c r="E15" i="2" s="1"/>
  <c r="E20" i="1"/>
  <c r="E16" i="2" s="1"/>
  <c r="E21" i="1"/>
  <c r="E17" i="2" s="1"/>
  <c r="E22" i="1"/>
  <c r="E18" i="2" s="1"/>
  <c r="E23" i="1"/>
  <c r="E19" i="2" s="1"/>
  <c r="E24" i="1"/>
  <c r="E20" i="2" s="1"/>
  <c r="E25" i="1"/>
  <c r="E21" i="2" s="1"/>
  <c r="E26" i="1"/>
  <c r="E22" i="2" s="1"/>
  <c r="E27" i="1"/>
  <c r="E23" i="2" s="1"/>
  <c r="E28" i="1"/>
  <c r="E24" i="2" s="1"/>
  <c r="E29" i="1"/>
  <c r="E25" i="2" s="1"/>
  <c r="E30" i="1"/>
  <c r="E26" i="2" s="1"/>
  <c r="E31" i="1"/>
  <c r="E27" i="2" s="1"/>
  <c r="E32" i="1"/>
  <c r="E28" i="2" s="1"/>
  <c r="E33" i="1"/>
  <c r="E29" i="2" s="1"/>
  <c r="E34" i="1"/>
  <c r="E30" i="2" s="1"/>
  <c r="E35" i="1"/>
  <c r="E31" i="2" s="1"/>
  <c r="E36" i="1"/>
  <c r="E32" i="2" s="1"/>
  <c r="E37" i="1"/>
  <c r="E33" i="2" s="1"/>
  <c r="E38" i="1"/>
  <c r="E34" i="2" s="1"/>
  <c r="E39" i="1"/>
  <c r="E35" i="2" s="1"/>
  <c r="E40" i="1"/>
  <c r="E36" i="2" s="1"/>
  <c r="E41" i="1"/>
  <c r="E37" i="2" s="1"/>
  <c r="E42" i="1"/>
  <c r="E38" i="2" s="1"/>
  <c r="E43" i="1"/>
  <c r="E39" i="2" s="1"/>
  <c r="E44" i="1"/>
  <c r="E40" i="2" s="1"/>
  <c r="E45" i="1"/>
  <c r="E41" i="2" s="1"/>
  <c r="E46" i="1"/>
  <c r="E42" i="2" s="1"/>
  <c r="E47" i="1"/>
  <c r="E43" i="2" s="1"/>
  <c r="E48" i="1"/>
  <c r="E44" i="2" s="1"/>
  <c r="E49" i="1"/>
  <c r="E45" i="2" s="1"/>
  <c r="E50" i="1"/>
  <c r="E46" i="2" s="1"/>
  <c r="E51" i="1"/>
  <c r="E47" i="2" s="1"/>
  <c r="E52" i="1"/>
  <c r="E48" i="2" s="1"/>
  <c r="E53" i="1"/>
  <c r="E49" i="2" s="1"/>
  <c r="E54" i="1"/>
  <c r="E50" i="2" s="1"/>
  <c r="E55" i="1"/>
  <c r="E51" i="2" s="1"/>
  <c r="E56" i="1"/>
  <c r="E52" i="2" s="1"/>
  <c r="E57" i="1"/>
  <c r="E53" i="2" s="1"/>
  <c r="E58" i="1"/>
  <c r="E54" i="2" s="1"/>
  <c r="E59" i="1"/>
  <c r="E55" i="2" s="1"/>
  <c r="E60" i="1"/>
  <c r="E56" i="2" s="1"/>
  <c r="E61" i="1"/>
  <c r="E57" i="2" s="1"/>
  <c r="E62" i="1"/>
  <c r="E58" i="2" s="1"/>
  <c r="E63" i="1"/>
  <c r="E59" i="2" s="1"/>
  <c r="E64" i="1"/>
  <c r="E60" i="2" s="1"/>
  <c r="E65" i="1"/>
  <c r="E61" i="2" s="1"/>
  <c r="E66" i="1"/>
  <c r="E62" i="2" s="1"/>
  <c r="E67" i="1"/>
  <c r="E63" i="2" s="1"/>
  <c r="E68" i="1"/>
  <c r="E64" i="2" s="1"/>
  <c r="E69" i="1"/>
  <c r="E65" i="2" s="1"/>
  <c r="E70" i="1"/>
  <c r="E66" i="2" s="1"/>
  <c r="E71" i="1"/>
  <c r="E67" i="2" s="1"/>
  <c r="E72" i="1"/>
  <c r="E68" i="2" s="1"/>
  <c r="E73" i="1"/>
  <c r="E69" i="2" s="1"/>
  <c r="E74" i="1"/>
  <c r="E70" i="2" s="1"/>
  <c r="E75" i="1"/>
  <c r="E71" i="2" s="1"/>
  <c r="E76" i="1"/>
  <c r="E72" i="2" s="1"/>
  <c r="E77" i="1"/>
  <c r="E73" i="2" s="1"/>
  <c r="E78" i="1"/>
  <c r="E74" i="2" s="1"/>
  <c r="E79" i="1"/>
  <c r="E75" i="2" s="1"/>
  <c r="E80" i="1"/>
  <c r="E76" i="2" s="1"/>
  <c r="E81" i="1"/>
  <c r="E77" i="2" s="1"/>
  <c r="E82" i="1"/>
  <c r="E78" i="2" s="1"/>
  <c r="E83" i="1"/>
  <c r="E79" i="2" s="1"/>
  <c r="E84" i="1"/>
  <c r="E80" i="2" s="1"/>
  <c r="E85" i="1"/>
  <c r="E81" i="2" s="1"/>
  <c r="E86" i="1"/>
  <c r="E82" i="2" s="1"/>
  <c r="E87" i="1"/>
  <c r="E83" i="2" s="1"/>
  <c r="E88" i="1"/>
  <c r="E84" i="2" s="1"/>
  <c r="E89" i="1"/>
  <c r="E85" i="2" s="1"/>
  <c r="E90" i="1"/>
  <c r="E86" i="2" s="1"/>
  <c r="E91" i="1"/>
  <c r="E87" i="2" s="1"/>
  <c r="E92" i="1"/>
  <c r="E88" i="2" s="1"/>
  <c r="E93" i="1"/>
  <c r="E89" i="2" s="1"/>
  <c r="E94" i="1"/>
  <c r="E90" i="2" s="1"/>
  <c r="E95" i="1"/>
  <c r="E91" i="2" s="1"/>
  <c r="E96" i="1"/>
  <c r="E92" i="2" s="1"/>
  <c r="E97" i="1"/>
  <c r="E93" i="2" s="1"/>
  <c r="E98" i="1"/>
  <c r="E94" i="2" s="1"/>
  <c r="E99" i="1"/>
  <c r="E95" i="2" s="1"/>
  <c r="E100" i="1"/>
  <c r="E96" i="2" s="1"/>
  <c r="E101" i="1"/>
  <c r="E97" i="2" s="1"/>
  <c r="E102" i="1"/>
  <c r="E98" i="2" s="1"/>
  <c r="E103" i="1"/>
  <c r="E99" i="2" s="1"/>
  <c r="E104" i="1"/>
  <c r="E100" i="2" s="1"/>
  <c r="E105" i="1"/>
  <c r="E101" i="2" s="1"/>
  <c r="E106" i="1"/>
  <c r="E102" i="2" s="1"/>
  <c r="E107" i="1"/>
  <c r="E103" i="2" s="1"/>
  <c r="E108" i="1"/>
  <c r="E104" i="2" s="1"/>
  <c r="E109" i="1"/>
  <c r="E105" i="2" s="1"/>
  <c r="E110" i="1"/>
  <c r="E106" i="2" s="1"/>
  <c r="E111" i="1"/>
  <c r="E107" i="2" s="1"/>
  <c r="E112" i="1"/>
  <c r="E108" i="2" s="1"/>
  <c r="E113" i="1"/>
  <c r="E109" i="2" s="1"/>
  <c r="E114" i="1"/>
  <c r="E110" i="2" s="1"/>
  <c r="E115" i="1"/>
  <c r="E111" i="2" s="1"/>
  <c r="E116" i="1"/>
  <c r="E112" i="2" s="1"/>
  <c r="E117" i="1"/>
  <c r="E113" i="2" s="1"/>
  <c r="E118" i="1"/>
  <c r="E114" i="2" s="1"/>
  <c r="E119" i="1"/>
  <c r="E115" i="2" s="1"/>
  <c r="E120" i="1"/>
  <c r="E116" i="2" s="1"/>
  <c r="E121" i="1"/>
  <c r="E117" i="2" s="1"/>
  <c r="E122" i="1"/>
  <c r="E118" i="2" s="1"/>
  <c r="E123" i="1"/>
  <c r="E119" i="2" s="1"/>
  <c r="E124" i="1"/>
  <c r="E120" i="2" s="1"/>
  <c r="E125" i="1"/>
  <c r="E121" i="2" s="1"/>
  <c r="E126" i="1"/>
  <c r="E122" i="2" s="1"/>
  <c r="E127" i="1"/>
  <c r="E123" i="2" s="1"/>
  <c r="E128" i="1"/>
  <c r="E124" i="2" s="1"/>
  <c r="E129" i="1"/>
  <c r="E125" i="2" s="1"/>
  <c r="E130" i="1"/>
  <c r="E126" i="2" s="1"/>
  <c r="E131" i="1"/>
  <c r="E127" i="2" s="1"/>
  <c r="E132" i="1"/>
  <c r="E128" i="2" s="1"/>
  <c r="E133" i="1"/>
  <c r="E129" i="2" s="1"/>
  <c r="E134" i="1"/>
  <c r="E130" i="2" s="1"/>
  <c r="E135" i="1"/>
  <c r="E131" i="2" s="1"/>
  <c r="E136" i="1"/>
  <c r="E132" i="2" s="1"/>
  <c r="E137" i="1"/>
  <c r="E133" i="2" s="1"/>
  <c r="E138" i="1"/>
  <c r="E134" i="2" s="1"/>
  <c r="E139" i="1"/>
  <c r="E135" i="2" s="1"/>
  <c r="E140" i="1"/>
  <c r="E136" i="2" s="1"/>
  <c r="E141" i="1"/>
  <c r="E137" i="2" s="1"/>
  <c r="E142" i="1"/>
  <c r="E138" i="2" s="1"/>
  <c r="E143" i="1"/>
  <c r="E139" i="2" s="1"/>
  <c r="E144" i="1"/>
  <c r="E140" i="2" s="1"/>
  <c r="E145" i="1"/>
  <c r="E141" i="2" s="1"/>
  <c r="E146" i="1"/>
  <c r="E142" i="2" s="1"/>
  <c r="E147" i="1"/>
  <c r="E143" i="2" s="1"/>
  <c r="E148" i="1"/>
  <c r="E144" i="2" s="1"/>
  <c r="E149" i="1"/>
  <c r="E145" i="2" s="1"/>
  <c r="E150" i="1"/>
  <c r="E146" i="2" s="1"/>
  <c r="E151" i="1"/>
  <c r="E147" i="2" s="1"/>
  <c r="E152" i="1"/>
  <c r="E148" i="2" s="1"/>
  <c r="E153" i="1"/>
  <c r="E149" i="2" s="1"/>
  <c r="E154" i="1"/>
  <c r="E150" i="2" s="1"/>
  <c r="E155" i="1"/>
  <c r="E151" i="2" s="1"/>
  <c r="E156" i="1"/>
  <c r="E152" i="2" s="1"/>
  <c r="E157" i="1"/>
  <c r="E153" i="2" s="1"/>
  <c r="E158" i="1"/>
  <c r="E154" i="2" s="1"/>
  <c r="E159" i="1"/>
  <c r="E155" i="2" s="1"/>
  <c r="E160" i="1"/>
  <c r="E156" i="2" s="1"/>
  <c r="E161" i="1"/>
  <c r="E157" i="2" s="1"/>
  <c r="E162" i="1"/>
  <c r="E158" i="2" s="1"/>
  <c r="E163" i="1"/>
  <c r="E159" i="2" s="1"/>
  <c r="E164" i="1"/>
  <c r="E160" i="2" s="1"/>
  <c r="E165" i="1"/>
  <c r="E161" i="2" s="1"/>
  <c r="E166" i="1"/>
  <c r="E162" i="2" s="1"/>
  <c r="E167" i="1"/>
  <c r="E163" i="2" s="1"/>
  <c r="E168" i="1"/>
  <c r="E164" i="2" s="1"/>
  <c r="E169" i="1"/>
  <c r="E165" i="2" s="1"/>
  <c r="E170" i="1"/>
  <c r="E166" i="2" s="1"/>
  <c r="E171" i="1"/>
  <c r="E167" i="2" s="1"/>
  <c r="E172" i="1"/>
  <c r="E168" i="2" s="1"/>
  <c r="E173" i="1"/>
  <c r="E169" i="2" s="1"/>
  <c r="E174" i="1"/>
  <c r="E170" i="2" s="1"/>
  <c r="E175" i="1"/>
  <c r="E171" i="2" s="1"/>
  <c r="E176" i="1"/>
  <c r="E172" i="2" s="1"/>
  <c r="E177" i="1"/>
  <c r="E173" i="2" s="1"/>
  <c r="E178" i="1"/>
  <c r="E174" i="2" s="1"/>
  <c r="E179" i="1"/>
  <c r="E175" i="2" s="1"/>
  <c r="E180" i="1"/>
  <c r="E176" i="2" s="1"/>
  <c r="E181" i="1"/>
  <c r="E177" i="2" s="1"/>
  <c r="E182" i="1"/>
  <c r="E178" i="2" s="1"/>
  <c r="E183" i="1"/>
  <c r="E179" i="2" s="1"/>
  <c r="E184" i="1"/>
  <c r="E180" i="2" s="1"/>
  <c r="E185" i="1"/>
  <c r="E181" i="2" s="1"/>
  <c r="E186" i="1"/>
  <c r="E182" i="2" s="1"/>
  <c r="E187" i="1"/>
  <c r="E183" i="2" s="1"/>
  <c r="E188" i="1"/>
  <c r="E184" i="2" s="1"/>
  <c r="E189" i="1"/>
  <c r="E185" i="2" s="1"/>
  <c r="E190" i="1"/>
  <c r="E186" i="2" s="1"/>
  <c r="E191" i="1"/>
  <c r="E187" i="2" s="1"/>
  <c r="E192" i="1"/>
  <c r="E188" i="2" s="1"/>
  <c r="E193" i="1"/>
  <c r="E189" i="2" s="1"/>
  <c r="E194" i="1"/>
  <c r="E190" i="2" s="1"/>
  <c r="E195" i="1"/>
  <c r="E191" i="2" s="1"/>
  <c r="E196" i="1"/>
  <c r="E192" i="2" s="1"/>
  <c r="E197" i="1"/>
  <c r="E193" i="2" s="1"/>
  <c r="E198" i="1"/>
  <c r="E194" i="2" s="1"/>
  <c r="E199" i="1"/>
  <c r="E195" i="2" s="1"/>
  <c r="E200" i="1"/>
  <c r="E196" i="2" s="1"/>
  <c r="E201" i="1"/>
  <c r="E197" i="2" s="1"/>
  <c r="E202" i="1"/>
  <c r="E198" i="2" s="1"/>
  <c r="E203" i="1"/>
  <c r="E199" i="2" s="1"/>
  <c r="E204" i="1"/>
  <c r="E200" i="2" s="1"/>
  <c r="E205" i="1"/>
  <c r="E201" i="2" s="1"/>
  <c r="E206" i="1"/>
  <c r="E202" i="2" s="1"/>
  <c r="E207" i="1"/>
  <c r="E203" i="2" s="1"/>
  <c r="E208" i="1"/>
  <c r="E204" i="2" s="1"/>
  <c r="E209" i="1"/>
  <c r="E205" i="2" s="1"/>
  <c r="E210" i="1"/>
  <c r="E206" i="2" s="1"/>
  <c r="E211" i="1"/>
  <c r="E207" i="2" s="1"/>
  <c r="E212" i="1"/>
  <c r="E208" i="2" s="1"/>
  <c r="E213" i="1"/>
  <c r="E209" i="2" s="1"/>
  <c r="E214" i="1"/>
  <c r="E210" i="2" s="1"/>
  <c r="E215" i="1"/>
  <c r="E211" i="2" s="1"/>
  <c r="E216" i="1"/>
  <c r="E212" i="2" s="1"/>
  <c r="E217" i="1"/>
  <c r="E213" i="2" s="1"/>
  <c r="E218" i="1"/>
  <c r="E214" i="2" s="1"/>
  <c r="E219" i="1"/>
  <c r="E215" i="2" s="1"/>
  <c r="E220" i="1"/>
  <c r="E216" i="2" s="1"/>
  <c r="E221" i="1"/>
  <c r="E217" i="2" s="1"/>
  <c r="E222" i="1"/>
  <c r="E218" i="2" s="1"/>
  <c r="E223" i="1"/>
  <c r="E219" i="2" s="1"/>
  <c r="E224" i="1"/>
  <c r="E220" i="2" s="1"/>
  <c r="E225" i="1"/>
  <c r="E221" i="2" s="1"/>
  <c r="E226" i="1"/>
  <c r="E222" i="2" s="1"/>
  <c r="E227" i="1"/>
  <c r="E223" i="2" s="1"/>
  <c r="E228" i="1"/>
  <c r="E224" i="2" s="1"/>
  <c r="E229" i="1"/>
  <c r="E225" i="2" s="1"/>
  <c r="E230" i="1"/>
  <c r="E226" i="2" s="1"/>
  <c r="E231" i="1"/>
  <c r="E227" i="2" s="1"/>
  <c r="E232" i="1"/>
  <c r="E228" i="2" s="1"/>
  <c r="E233" i="1"/>
  <c r="E229" i="2" s="1"/>
  <c r="E234" i="1"/>
  <c r="E230" i="2" s="1"/>
  <c r="E235" i="1"/>
  <c r="E231" i="2" s="1"/>
  <c r="E236" i="1"/>
  <c r="E232" i="2" s="1"/>
  <c r="E237" i="1"/>
  <c r="E233" i="2" s="1"/>
  <c r="E238" i="1"/>
  <c r="E234" i="2" s="1"/>
  <c r="E239" i="1"/>
  <c r="E235" i="2" s="1"/>
  <c r="E240" i="1"/>
  <c r="E236" i="2" s="1"/>
  <c r="E241" i="1"/>
  <c r="E237" i="2" s="1"/>
  <c r="E242" i="1"/>
  <c r="E238" i="2" s="1"/>
  <c r="E243" i="1"/>
  <c r="E239" i="2" s="1"/>
  <c r="E244" i="1"/>
  <c r="E240" i="2" s="1"/>
  <c r="E245" i="1"/>
  <c r="E241" i="2" s="1"/>
  <c r="E246" i="1"/>
  <c r="E242" i="2" s="1"/>
  <c r="E247" i="1"/>
  <c r="E243" i="2" s="1"/>
  <c r="E248" i="1"/>
  <c r="E244" i="2" s="1"/>
  <c r="E249" i="1"/>
  <c r="E245" i="2" s="1"/>
  <c r="E250" i="1"/>
  <c r="E246" i="2" s="1"/>
  <c r="E251" i="1"/>
  <c r="E247" i="2" s="1"/>
  <c r="E252" i="1"/>
  <c r="E248" i="2" s="1"/>
  <c r="E253" i="1"/>
  <c r="E249" i="2" s="1"/>
  <c r="E254" i="1"/>
  <c r="E250" i="2" s="1"/>
  <c r="E255" i="1"/>
  <c r="E251" i="2" s="1"/>
  <c r="E256" i="1"/>
  <c r="E252" i="2" s="1"/>
  <c r="E257" i="1"/>
  <c r="E253" i="2" s="1"/>
  <c r="E258" i="1"/>
  <c r="E254" i="2" s="1"/>
  <c r="E259" i="1"/>
  <c r="E255" i="2" s="1"/>
  <c r="E260" i="1"/>
  <c r="E256" i="2" s="1"/>
  <c r="E261" i="1"/>
  <c r="E257" i="2" s="1"/>
  <c r="E262" i="1"/>
  <c r="E258" i="2" s="1"/>
  <c r="E263" i="1"/>
  <c r="E259" i="2" s="1"/>
  <c r="E264" i="1"/>
  <c r="E260" i="2" s="1"/>
  <c r="E265" i="1"/>
  <c r="E261" i="2" s="1"/>
  <c r="E266" i="1"/>
  <c r="E262" i="2" s="1"/>
  <c r="E267" i="1"/>
  <c r="E263" i="2" s="1"/>
  <c r="E268" i="1"/>
  <c r="E264" i="2" s="1"/>
  <c r="E269" i="1"/>
  <c r="E265" i="2" s="1"/>
  <c r="E270" i="1"/>
  <c r="E266" i="2" s="1"/>
  <c r="E271" i="1"/>
  <c r="E267" i="2" s="1"/>
  <c r="E272" i="1"/>
  <c r="E268" i="2" s="1"/>
  <c r="E273" i="1"/>
  <c r="E269" i="2" s="1"/>
  <c r="E274" i="1"/>
  <c r="E270" i="2" s="1"/>
  <c r="E275" i="1"/>
  <c r="E271" i="2" s="1"/>
  <c r="E276" i="1"/>
  <c r="E272" i="2" s="1"/>
  <c r="E277" i="1"/>
  <c r="E273" i="2" s="1"/>
  <c r="E278" i="1"/>
  <c r="E274" i="2" s="1"/>
  <c r="E279" i="1"/>
  <c r="E275" i="2" s="1"/>
  <c r="E280" i="1"/>
  <c r="E276" i="2" s="1"/>
  <c r="E281" i="1"/>
  <c r="E277" i="2" s="1"/>
  <c r="E282" i="1"/>
  <c r="E278" i="2" s="1"/>
  <c r="E283" i="1"/>
  <c r="E279" i="2" s="1"/>
  <c r="E284" i="1"/>
  <c r="E280" i="2" s="1"/>
  <c r="E285" i="1"/>
  <c r="E281" i="2" s="1"/>
  <c r="E286" i="1"/>
  <c r="E282" i="2" s="1"/>
  <c r="E287" i="1"/>
  <c r="E283" i="2" s="1"/>
  <c r="E288" i="1"/>
  <c r="E284" i="2" s="1"/>
  <c r="E289" i="1"/>
  <c r="E285" i="2" s="1"/>
  <c r="E290" i="1"/>
  <c r="E286" i="2" s="1"/>
  <c r="E291" i="1"/>
  <c r="E287" i="2" s="1"/>
  <c r="E292" i="1"/>
  <c r="E288" i="2" s="1"/>
  <c r="E293" i="1"/>
  <c r="E289" i="2" s="1"/>
  <c r="E294" i="1"/>
  <c r="E290" i="2" s="1"/>
  <c r="E295" i="1"/>
  <c r="E291" i="2" s="1"/>
  <c r="E296" i="1"/>
  <c r="E292" i="2" s="1"/>
  <c r="E297" i="1"/>
  <c r="E293" i="2" s="1"/>
  <c r="E298" i="1"/>
  <c r="E294" i="2" s="1"/>
  <c r="E299" i="1"/>
  <c r="E295" i="2" s="1"/>
  <c r="E300" i="1"/>
  <c r="E296" i="2" s="1"/>
  <c r="E301" i="1"/>
  <c r="E297" i="2" s="1"/>
  <c r="E302" i="1"/>
  <c r="E298" i="2" s="1"/>
  <c r="E303" i="1"/>
  <c r="E299" i="2" s="1"/>
  <c r="E304" i="1"/>
  <c r="E300" i="2" s="1"/>
  <c r="E305" i="1"/>
  <c r="E301" i="2" s="1"/>
  <c r="E306" i="1"/>
  <c r="E302" i="2" s="1"/>
  <c r="E307" i="1"/>
  <c r="E303" i="2" s="1"/>
  <c r="E308" i="1"/>
  <c r="E304" i="2" s="1"/>
  <c r="E309" i="1"/>
  <c r="E305" i="2" s="1"/>
  <c r="E310" i="1"/>
  <c r="E306" i="2" s="1"/>
  <c r="E311" i="1"/>
  <c r="E307" i="2" s="1"/>
  <c r="E312" i="1"/>
  <c r="E308" i="2" s="1"/>
  <c r="E313" i="1"/>
  <c r="E309" i="2" s="1"/>
  <c r="E314" i="1"/>
  <c r="E310" i="2" s="1"/>
  <c r="E315" i="1"/>
  <c r="E311" i="2" s="1"/>
  <c r="E316" i="1"/>
  <c r="E312" i="2" s="1"/>
  <c r="E317" i="1"/>
  <c r="E313" i="2" s="1"/>
  <c r="E318" i="1"/>
  <c r="E314" i="2" s="1"/>
  <c r="E319" i="1"/>
  <c r="E315" i="2" s="1"/>
  <c r="E320" i="1"/>
  <c r="E316" i="2" s="1"/>
  <c r="E321" i="1"/>
  <c r="E317" i="2" s="1"/>
  <c r="E322" i="1"/>
  <c r="E318" i="2" s="1"/>
  <c r="E323" i="1"/>
  <c r="E319" i="2" s="1"/>
  <c r="E324" i="1"/>
  <c r="E320" i="2" s="1"/>
  <c r="E325" i="1"/>
  <c r="E321" i="2" s="1"/>
  <c r="E326" i="1"/>
  <c r="E322" i="2" s="1"/>
  <c r="E327" i="1"/>
  <c r="E323" i="2" s="1"/>
  <c r="E328" i="1"/>
  <c r="E324" i="2" s="1"/>
  <c r="E329" i="1"/>
  <c r="E325" i="2" s="1"/>
  <c r="E330" i="1"/>
  <c r="E326" i="2" s="1"/>
  <c r="E331" i="1"/>
  <c r="E327" i="2" s="1"/>
  <c r="E332" i="1"/>
  <c r="E328" i="2" s="1"/>
  <c r="E333" i="1"/>
  <c r="E329" i="2" s="1"/>
  <c r="E334" i="1"/>
  <c r="E330" i="2" s="1"/>
  <c r="E335" i="1"/>
  <c r="E331" i="2" s="1"/>
  <c r="E6" i="1"/>
  <c r="E2" i="2" s="1"/>
  <c r="D337" i="1" l="1"/>
  <c r="E337" s="1"/>
  <c r="E333" i="2" s="1"/>
  <c r="G337" i="1"/>
  <c r="G667" s="1"/>
  <c r="G997" s="1"/>
  <c r="G1327" s="1"/>
  <c r="D338"/>
  <c r="E338" s="1"/>
  <c r="E334" i="2" s="1"/>
  <c r="G338" i="1"/>
  <c r="G668" s="1"/>
  <c r="G998" s="1"/>
  <c r="G1328" s="1"/>
  <c r="G342"/>
  <c r="G672" s="1"/>
  <c r="G343"/>
  <c r="G673" s="1"/>
  <c r="G1003" s="1"/>
  <c r="G351"/>
  <c r="G681" s="1"/>
  <c r="G1011" s="1"/>
  <c r="G1341" s="1"/>
  <c r="D354"/>
  <c r="E354" s="1"/>
  <c r="E350" i="2" s="1"/>
  <c r="G354" i="1"/>
  <c r="G684" s="1"/>
  <c r="G1014" s="1"/>
  <c r="D355"/>
  <c r="G355"/>
  <c r="G685" s="1"/>
  <c r="G1015" s="1"/>
  <c r="G1345" s="1"/>
  <c r="D358"/>
  <c r="E358" s="1"/>
  <c r="E354" i="2" s="1"/>
  <c r="G358" i="1"/>
  <c r="G688" s="1"/>
  <c r="G1018" s="1"/>
  <c r="G1348" s="1"/>
  <c r="D359"/>
  <c r="E359" s="1"/>
  <c r="E355" i="2" s="1"/>
  <c r="G359" i="1"/>
  <c r="G689" s="1"/>
  <c r="G1019" s="1"/>
  <c r="G1349" s="1"/>
  <c r="D360"/>
  <c r="G360"/>
  <c r="G364"/>
  <c r="G694" s="1"/>
  <c r="D376"/>
  <c r="G376"/>
  <c r="G706" s="1"/>
  <c r="G1036" s="1"/>
  <c r="D377"/>
  <c r="E377" s="1"/>
  <c r="E373" i="2" s="1"/>
  <c r="G377" i="1"/>
  <c r="G707" s="1"/>
  <c r="G1037" s="1"/>
  <c r="G379"/>
  <c r="D380"/>
  <c r="G380"/>
  <c r="G710" s="1"/>
  <c r="G1040" s="1"/>
  <c r="G1370" s="1"/>
  <c r="D381"/>
  <c r="G381"/>
  <c r="G711" s="1"/>
  <c r="G1041" s="1"/>
  <c r="G1371" s="1"/>
  <c r="G346" s="1"/>
  <c r="G676" s="1"/>
  <c r="G1006" s="1"/>
  <c r="G1336" s="1"/>
  <c r="D382"/>
  <c r="E382" s="1"/>
  <c r="E378" i="2" s="1"/>
  <c r="G382" i="1"/>
  <c r="G712" s="1"/>
  <c r="G1042" s="1"/>
  <c r="G1372" s="1"/>
  <c r="D391"/>
  <c r="E391" s="1"/>
  <c r="E387" i="2" s="1"/>
  <c r="G391" i="1"/>
  <c r="G721" s="1"/>
  <c r="D394"/>
  <c r="E394" s="1"/>
  <c r="E390" i="2" s="1"/>
  <c r="G394" i="1"/>
  <c r="G724" s="1"/>
  <c r="D395"/>
  <c r="G395"/>
  <c r="G725" s="1"/>
  <c r="G1055" s="1"/>
  <c r="D398"/>
  <c r="E398" s="1"/>
  <c r="E394" i="2" s="1"/>
  <c r="G398" i="1"/>
  <c r="G728" s="1"/>
  <c r="G1058" s="1"/>
  <c r="D399"/>
  <c r="E399" s="1"/>
  <c r="E395" i="2" s="1"/>
  <c r="G399" i="1"/>
  <c r="G729" s="1"/>
  <c r="G1059" s="1"/>
  <c r="G1389" s="1"/>
  <c r="D403"/>
  <c r="D404"/>
  <c r="E404" s="1"/>
  <c r="E400" i="2" s="1"/>
  <c r="G404" i="1"/>
  <c r="G470" s="1"/>
  <c r="G408"/>
  <c r="G738" s="1"/>
  <c r="G409"/>
  <c r="G739" s="1"/>
  <c r="G412"/>
  <c r="G742" s="1"/>
  <c r="D420"/>
  <c r="E420" s="1"/>
  <c r="E416" i="2" s="1"/>
  <c r="G420" i="1"/>
  <c r="G750" s="1"/>
  <c r="G1080" s="1"/>
  <c r="G421"/>
  <c r="G751" s="1"/>
  <c r="G1081" s="1"/>
  <c r="D424"/>
  <c r="E424" s="1"/>
  <c r="E420" i="2" s="1"/>
  <c r="D425" i="1"/>
  <c r="E425" s="1"/>
  <c r="E421" i="2" s="1"/>
  <c r="G425" i="1"/>
  <c r="G755" s="1"/>
  <c r="G1085" s="1"/>
  <c r="G1415" s="1"/>
  <c r="G350" s="1"/>
  <c r="G680" s="1"/>
  <c r="G1010" s="1"/>
  <c r="G1340" s="1"/>
  <c r="D426"/>
  <c r="G426"/>
  <c r="G430"/>
  <c r="G760" s="1"/>
  <c r="G438"/>
  <c r="G768" s="1"/>
  <c r="D442"/>
  <c r="E442" s="1"/>
  <c r="E438" i="2" s="1"/>
  <c r="G442" i="1"/>
  <c r="G772" s="1"/>
  <c r="G1102" s="1"/>
  <c r="D443"/>
  <c r="E443" s="1"/>
  <c r="E439" i="2" s="1"/>
  <c r="G443" i="1"/>
  <c r="G773" s="1"/>
  <c r="G1103" s="1"/>
  <c r="D446"/>
  <c r="G446"/>
  <c r="G776" s="1"/>
  <c r="G1106" s="1"/>
  <c r="G1436" s="1"/>
  <c r="G447"/>
  <c r="G777" s="1"/>
  <c r="G1107" s="1"/>
  <c r="G1437" s="1"/>
  <c r="D448"/>
  <c r="E448" s="1"/>
  <c r="E444" i="2" s="1"/>
  <c r="D457" i="1"/>
  <c r="E457" s="1"/>
  <c r="E453" i="2" s="1"/>
  <c r="G460" i="1"/>
  <c r="G790" s="1"/>
  <c r="D464"/>
  <c r="E464" s="1"/>
  <c r="E460" i="2" s="1"/>
  <c r="D465" i="1"/>
  <c r="E465" s="1"/>
  <c r="E461" i="2" s="1"/>
  <c r="G465" i="1"/>
  <c r="G795" s="1"/>
  <c r="G1125" s="1"/>
  <c r="D470"/>
  <c r="G474"/>
  <c r="G486"/>
  <c r="G816" s="1"/>
  <c r="G1146" s="1"/>
  <c r="D490"/>
  <c r="E490" s="1"/>
  <c r="E486" i="2" s="1"/>
  <c r="D491" i="1"/>
  <c r="G491"/>
  <c r="G821" s="1"/>
  <c r="G1151" s="1"/>
  <c r="G1481" s="1"/>
  <c r="G365" s="1"/>
  <c r="G695" s="1"/>
  <c r="G1025" s="1"/>
  <c r="G1355" s="1"/>
  <c r="G492"/>
  <c r="G558" s="1"/>
  <c r="G624" s="1"/>
  <c r="D508"/>
  <c r="E508" s="1"/>
  <c r="E504" i="2" s="1"/>
  <c r="G508" i="1"/>
  <c r="G838" s="1"/>
  <c r="G1168" s="1"/>
  <c r="D509"/>
  <c r="G509"/>
  <c r="G839" s="1"/>
  <c r="G1169" s="1"/>
  <c r="G512"/>
  <c r="G842" s="1"/>
  <c r="G1172" s="1"/>
  <c r="G1502" s="1"/>
  <c r="D514"/>
  <c r="E514" s="1"/>
  <c r="E510" i="2" s="1"/>
  <c r="G526" i="1"/>
  <c r="D531"/>
  <c r="G540"/>
  <c r="D556"/>
  <c r="E556" s="1"/>
  <c r="E552" i="2" s="1"/>
  <c r="G557" i="1"/>
  <c r="G887" s="1"/>
  <c r="G1217" s="1"/>
  <c r="G1547" s="1"/>
  <c r="G372" s="1"/>
  <c r="G702" s="1"/>
  <c r="G1032" s="1"/>
  <c r="G1362" s="1"/>
  <c r="D574"/>
  <c r="E574" s="1"/>
  <c r="E570" i="2" s="1"/>
  <c r="G574" i="1"/>
  <c r="G904" s="1"/>
  <c r="G1234" s="1"/>
  <c r="G575"/>
  <c r="G905" s="1"/>
  <c r="G1235" s="1"/>
  <c r="D580"/>
  <c r="E580" s="1"/>
  <c r="E576" i="2" s="1"/>
  <c r="D622" i="1"/>
  <c r="E622" s="1"/>
  <c r="E618" i="2" s="1"/>
  <c r="G623" i="1"/>
  <c r="G953" s="1"/>
  <c r="G1283" s="1"/>
  <c r="G1613" s="1"/>
  <c r="G387" s="1"/>
  <c r="G717" s="1"/>
  <c r="G1047" s="1"/>
  <c r="G1377" s="1"/>
  <c r="D640"/>
  <c r="E640" s="1"/>
  <c r="E636" i="2" s="1"/>
  <c r="G640" i="1"/>
  <c r="G970" s="1"/>
  <c r="G1300" s="1"/>
  <c r="G641"/>
  <c r="G971" s="1"/>
  <c r="G1301" s="1"/>
  <c r="D646"/>
  <c r="E646" s="1"/>
  <c r="E642" i="2" s="1"/>
  <c r="G336" i="1"/>
  <c r="G666" s="1"/>
  <c r="G996" s="1"/>
  <c r="G1326" s="1"/>
  <c r="D336"/>
  <c r="D575" l="1"/>
  <c r="E509"/>
  <c r="E505" i="2" s="1"/>
  <c r="D536" i="1"/>
  <c r="E536" s="1"/>
  <c r="E532" i="2" s="1"/>
  <c r="E470" i="1"/>
  <c r="E466" i="2" s="1"/>
  <c r="D512" i="1"/>
  <c r="E512" s="1"/>
  <c r="E508" i="2" s="1"/>
  <c r="E446" i="1"/>
  <c r="E442" i="2" s="1"/>
  <c r="D597" i="1"/>
  <c r="E531"/>
  <c r="E527" i="2" s="1"/>
  <c r="D460" i="1"/>
  <c r="E460" s="1"/>
  <c r="E456" i="2" s="1"/>
  <c r="E426" i="1"/>
  <c r="E422" i="2" s="1"/>
  <c r="D557" i="1"/>
  <c r="E491"/>
  <c r="E487" i="2" s="1"/>
  <c r="D461" i="1"/>
  <c r="E461" s="1"/>
  <c r="E457" i="2" s="1"/>
  <c r="E395" i="1"/>
  <c r="E391" i="2" s="1"/>
  <c r="D447" i="1"/>
  <c r="E381"/>
  <c r="E377" i="2" s="1"/>
  <c r="D421" i="1"/>
  <c r="E355"/>
  <c r="E351" i="2" s="1"/>
  <c r="D666" i="1"/>
  <c r="E336"/>
  <c r="E332" i="2" s="1"/>
  <c r="D469" i="1"/>
  <c r="E403"/>
  <c r="E399" i="2" s="1"/>
  <c r="D710" i="1"/>
  <c r="E710" s="1"/>
  <c r="E706" i="2" s="1"/>
  <c r="E380" i="1"/>
  <c r="E376" i="2" s="1"/>
  <c r="D690" i="1"/>
  <c r="E690" s="1"/>
  <c r="E686" i="2" s="1"/>
  <c r="E360" i="1"/>
  <c r="E356" i="2" s="1"/>
  <c r="D706" i="1"/>
  <c r="E706" s="1"/>
  <c r="E702" i="2" s="1"/>
  <c r="E376" i="1"/>
  <c r="E372" i="2" s="1"/>
  <c r="D602" i="1"/>
  <c r="E602" s="1"/>
  <c r="E598" i="2" s="1"/>
  <c r="D578" i="1"/>
  <c r="G536"/>
  <c r="G552"/>
  <c r="G417"/>
  <c r="G747" s="1"/>
  <c r="G1077" s="1"/>
  <c r="G402"/>
  <c r="D794"/>
  <c r="E794" s="1"/>
  <c r="E790" i="2" s="1"/>
  <c r="G578" i="1"/>
  <c r="G531"/>
  <c r="D530"/>
  <c r="G464"/>
  <c r="G403"/>
  <c r="D402"/>
  <c r="G513"/>
  <c r="D492"/>
  <c r="G487"/>
  <c r="D486"/>
  <c r="G448"/>
  <c r="G514" s="1"/>
  <c r="G580" s="1"/>
  <c r="G646" s="1"/>
  <c r="G431"/>
  <c r="G761" s="1"/>
  <c r="G1091" s="1"/>
  <c r="G424"/>
  <c r="G416"/>
  <c r="G746" s="1"/>
  <c r="G1076" s="1"/>
  <c r="G400"/>
  <c r="G483"/>
  <c r="G813" s="1"/>
  <c r="G1333"/>
  <c r="G371"/>
  <c r="G778"/>
  <c r="G844" s="1"/>
  <c r="G910" s="1"/>
  <c r="G976" s="1"/>
  <c r="G461"/>
  <c r="G791" s="1"/>
  <c r="G378"/>
  <c r="G1385"/>
  <c r="G497"/>
  <c r="G827" s="1"/>
  <c r="G352"/>
  <c r="G496"/>
  <c r="G466"/>
  <c r="G482"/>
  <c r="G812" s="1"/>
  <c r="G690"/>
  <c r="G756" s="1"/>
  <c r="G453"/>
  <c r="G397"/>
  <c r="G727" s="1"/>
  <c r="G1057" s="1"/>
  <c r="G1068"/>
  <c r="G401"/>
  <c r="G467" s="1"/>
  <c r="G1072"/>
  <c r="G734"/>
  <c r="G800" s="1"/>
  <c r="G457"/>
  <c r="G1366"/>
  <c r="G856"/>
  <c r="G478"/>
  <c r="G808" s="1"/>
  <c r="G1051"/>
  <c r="G348"/>
  <c r="G475"/>
  <c r="G805" s="1"/>
  <c r="G1024"/>
  <c r="G1090" s="1"/>
  <c r="G1455"/>
  <c r="G1411"/>
  <c r="G1069"/>
  <c r="G1367"/>
  <c r="G1433" s="1"/>
  <c r="G1499" s="1"/>
  <c r="G1565" s="1"/>
  <c r="G1631" s="1"/>
  <c r="G804"/>
  <c r="G870" s="1"/>
  <c r="G1098"/>
  <c r="G1388"/>
  <c r="G1054"/>
  <c r="G1344"/>
  <c r="G1002"/>
  <c r="D776"/>
  <c r="D772"/>
  <c r="D756"/>
  <c r="E756" s="1"/>
  <c r="E752" i="2" s="1"/>
  <c r="D728" i="1"/>
  <c r="E728" s="1"/>
  <c r="E724" i="2" s="1"/>
  <c r="D724" i="1"/>
  <c r="D712"/>
  <c r="E712" s="1"/>
  <c r="E708" i="2" s="1"/>
  <c r="D688" i="1"/>
  <c r="D684"/>
  <c r="D668"/>
  <c r="E668" s="1"/>
  <c r="E664" i="2" s="1"/>
  <c r="D821" i="1"/>
  <c r="D755"/>
  <c r="E755" s="1"/>
  <c r="E751" i="2" s="1"/>
  <c r="D729" i="1"/>
  <c r="D725"/>
  <c r="E725" s="1"/>
  <c r="E721" i="2" s="1"/>
  <c r="D721" i="1"/>
  <c r="D711"/>
  <c r="D707"/>
  <c r="E707" s="1"/>
  <c r="E703" i="2" s="1"/>
  <c r="D689" i="1"/>
  <c r="E689" s="1"/>
  <c r="E685" i="2" s="1"/>
  <c r="D685" i="1"/>
  <c r="D667"/>
  <c r="D791" l="1"/>
  <c r="E791" s="1"/>
  <c r="E787" i="2" s="1"/>
  <c r="D1036" i="1"/>
  <c r="E1036" s="1"/>
  <c r="E1032" i="2" s="1"/>
  <c r="D751" i="1"/>
  <c r="D1081" s="1"/>
  <c r="E685"/>
  <c r="E681" i="2" s="1"/>
  <c r="D787" i="1"/>
  <c r="E787" s="1"/>
  <c r="E783" i="2" s="1"/>
  <c r="E721" i="1"/>
  <c r="E717" i="2" s="1"/>
  <c r="D353" i="1"/>
  <c r="E353" s="1"/>
  <c r="E349" i="2" s="1"/>
  <c r="D558" i="1"/>
  <c r="E558" s="1"/>
  <c r="E554" i="2" s="1"/>
  <c r="E492" i="1"/>
  <c r="E488" i="2" s="1"/>
  <c r="D535" i="1"/>
  <c r="E469"/>
  <c r="E465" i="2" s="1"/>
  <c r="D487" i="1"/>
  <c r="E421"/>
  <c r="E417" i="2" s="1"/>
  <c r="D641" i="1"/>
  <c r="E641" s="1"/>
  <c r="E637" i="2" s="1"/>
  <c r="E575" i="1"/>
  <c r="E571" i="2" s="1"/>
  <c r="D733" i="1"/>
  <c r="E733" s="1"/>
  <c r="E729" i="2" s="1"/>
  <c r="E667" i="1"/>
  <c r="E663" i="2" s="1"/>
  <c r="D777" i="1"/>
  <c r="E777" s="1"/>
  <c r="E773" i="2" s="1"/>
  <c r="E711" i="1"/>
  <c r="E707" i="2" s="1"/>
  <c r="D790" i="1"/>
  <c r="E724"/>
  <c r="E720" i="2" s="1"/>
  <c r="D842" i="1"/>
  <c r="E842" s="1"/>
  <c r="E838" i="2" s="1"/>
  <c r="E776" i="1"/>
  <c r="E772" i="2" s="1"/>
  <c r="D644" i="1"/>
  <c r="E644" s="1"/>
  <c r="E640" i="2" s="1"/>
  <c r="E578" i="1"/>
  <c r="E574" i="2" s="1"/>
  <c r="D795" i="1"/>
  <c r="D1125" s="1"/>
  <c r="E729"/>
  <c r="E725" i="2" s="1"/>
  <c r="D887" i="1"/>
  <c r="E821"/>
  <c r="E817" i="2" s="1"/>
  <c r="D754" i="1"/>
  <c r="E688"/>
  <c r="E684" i="2" s="1"/>
  <c r="D838" i="1"/>
  <c r="E772"/>
  <c r="E768" i="2" s="1"/>
  <c r="D996" i="1"/>
  <c r="E666"/>
  <c r="E662" i="2" s="1"/>
  <c r="D513" i="1"/>
  <c r="E447"/>
  <c r="E443" i="2" s="1"/>
  <c r="D623" i="1"/>
  <c r="E623" s="1"/>
  <c r="E619" i="2" s="1"/>
  <c r="E557" i="1"/>
  <c r="E553" i="2" s="1"/>
  <c r="D663" i="1"/>
  <c r="E663" s="1"/>
  <c r="E659" i="2" s="1"/>
  <c r="E597" i="1"/>
  <c r="E593" i="2" s="1"/>
  <c r="D750" i="1"/>
  <c r="E750" s="1"/>
  <c r="E746" i="2" s="1"/>
  <c r="E684" i="1"/>
  <c r="E680" i="2" s="1"/>
  <c r="D552" i="1"/>
  <c r="E486"/>
  <c r="E482" i="2" s="1"/>
  <c r="D468" i="1"/>
  <c r="E468" s="1"/>
  <c r="E464" i="2" s="1"/>
  <c r="E402" i="1"/>
  <c r="E398" i="2" s="1"/>
  <c r="D596" i="1"/>
  <c r="E530"/>
  <c r="E526" i="2" s="1"/>
  <c r="D1020" i="1"/>
  <c r="E1020" s="1"/>
  <c r="E1016" i="2" s="1"/>
  <c r="D799" i="1"/>
  <c r="D1040"/>
  <c r="E1040" s="1"/>
  <c r="E1036" i="2" s="1"/>
  <c r="D908" i="1"/>
  <c r="D1238" s="1"/>
  <c r="E1238" s="1"/>
  <c r="E1234" i="2" s="1"/>
  <c r="D860" i="1"/>
  <c r="D816"/>
  <c r="D732"/>
  <c r="D349"/>
  <c r="E349" s="1"/>
  <c r="E345" i="2" s="1"/>
  <c r="D822" i="1"/>
  <c r="E822" s="1"/>
  <c r="E818" i="2" s="1"/>
  <c r="D773" i="1"/>
  <c r="G1130"/>
  <c r="G882"/>
  <c r="G1212" s="1"/>
  <c r="G618"/>
  <c r="G948" s="1"/>
  <c r="G1278" s="1"/>
  <c r="G822"/>
  <c r="D624"/>
  <c r="E624" s="1"/>
  <c r="E620" i="2" s="1"/>
  <c r="G794" i="1"/>
  <c r="G1124" s="1"/>
  <c r="G1454" s="1"/>
  <c r="G530"/>
  <c r="G783"/>
  <c r="G1113" s="1"/>
  <c r="G519"/>
  <c r="G585" s="1"/>
  <c r="G843"/>
  <c r="G1173" s="1"/>
  <c r="G1503" s="1"/>
  <c r="G368" s="1"/>
  <c r="G579"/>
  <c r="D534"/>
  <c r="G1410"/>
  <c r="G1476" s="1"/>
  <c r="G826"/>
  <c r="G1156" s="1"/>
  <c r="G562"/>
  <c r="G892" s="1"/>
  <c r="G817"/>
  <c r="G1147" s="1"/>
  <c r="G1477" s="1"/>
  <c r="G553"/>
  <c r="G733"/>
  <c r="G1063" s="1"/>
  <c r="G1393" s="1"/>
  <c r="G347" s="1"/>
  <c r="G469"/>
  <c r="G861"/>
  <c r="G1191" s="1"/>
  <c r="G1521" s="1"/>
  <c r="G597"/>
  <c r="G732"/>
  <c r="G1062" s="1"/>
  <c r="G1392" s="1"/>
  <c r="G468"/>
  <c r="G866"/>
  <c r="G602"/>
  <c r="G1120"/>
  <c r="G1432"/>
  <c r="G1498" s="1"/>
  <c r="G1564" s="1"/>
  <c r="G1630" s="1"/>
  <c r="G787"/>
  <c r="G1117" s="1"/>
  <c r="G1447" s="1"/>
  <c r="G523"/>
  <c r="G589" s="1"/>
  <c r="D734"/>
  <c r="G754"/>
  <c r="G1084" s="1"/>
  <c r="G1414" s="1"/>
  <c r="G490"/>
  <c r="G908"/>
  <c r="G1238" s="1"/>
  <c r="G1568" s="1"/>
  <c r="G644"/>
  <c r="D778"/>
  <c r="G1332"/>
  <c r="G1420"/>
  <c r="G1134"/>
  <c r="G366"/>
  <c r="G432" s="1"/>
  <c r="G1398"/>
  <c r="G1384"/>
  <c r="G1428"/>
  <c r="G1402"/>
  <c r="G388"/>
  <c r="G682"/>
  <c r="G1012" s="1"/>
  <c r="G1342" s="1"/>
  <c r="G1399"/>
  <c r="G1354"/>
  <c r="G411"/>
  <c r="G1381"/>
  <c r="G349"/>
  <c r="G1387"/>
  <c r="G383"/>
  <c r="G1142"/>
  <c r="G1472" s="1"/>
  <c r="G374"/>
  <c r="G1157"/>
  <c r="G389"/>
  <c r="G719" s="1"/>
  <c r="G1049" s="1"/>
  <c r="G1379" s="1"/>
  <c r="G1121"/>
  <c r="G1451" s="1"/>
  <c r="G353"/>
  <c r="G683" s="1"/>
  <c r="G1013" s="1"/>
  <c r="G1343" s="1"/>
  <c r="G415"/>
  <c r="G481" s="1"/>
  <c r="G1138"/>
  <c r="G370"/>
  <c r="G700" s="1"/>
  <c r="G1030" s="1"/>
  <c r="G1360" s="1"/>
  <c r="G1186"/>
  <c r="G418"/>
  <c r="G748" s="1"/>
  <c r="G1078" s="1"/>
  <c r="G1064"/>
  <c r="G345"/>
  <c r="G541"/>
  <c r="G871" s="1"/>
  <c r="G392"/>
  <c r="G458" s="1"/>
  <c r="G393"/>
  <c r="G548"/>
  <c r="G878" s="1"/>
  <c r="G533"/>
  <c r="G1108"/>
  <c r="G701"/>
  <c r="G1031" s="1"/>
  <c r="G1361" s="1"/>
  <c r="G357"/>
  <c r="G423" s="1"/>
  <c r="G489" s="1"/>
  <c r="G1143"/>
  <c r="G375"/>
  <c r="G705" s="1"/>
  <c r="G1035" s="1"/>
  <c r="G1365" s="1"/>
  <c r="G730"/>
  <c r="G1060" s="1"/>
  <c r="G1390" s="1"/>
  <c r="G1407"/>
  <c r="G1406"/>
  <c r="G1135"/>
  <c r="G1465" s="1"/>
  <c r="G367"/>
  <c r="G678"/>
  <c r="G1008" s="1"/>
  <c r="G1338" s="1"/>
  <c r="G384" s="1"/>
  <c r="G714" s="1"/>
  <c r="G1044" s="1"/>
  <c r="G1374" s="1"/>
  <c r="G1174"/>
  <c r="G527"/>
  <c r="G857" s="1"/>
  <c r="G1421"/>
  <c r="G1020"/>
  <c r="G1086" s="1"/>
  <c r="G504"/>
  <c r="G549"/>
  <c r="G444"/>
  <c r="G1240"/>
  <c r="G1306" s="1"/>
  <c r="G544"/>
  <c r="G874" s="1"/>
  <c r="D997"/>
  <c r="D1015"/>
  <c r="E1015" s="1"/>
  <c r="E1011" i="2" s="1"/>
  <c r="D1019" i="1"/>
  <c r="E1019" s="1"/>
  <c r="E1015" i="2" s="1"/>
  <c r="D1037" i="1"/>
  <c r="E1037" s="1"/>
  <c r="E1033" i="2" s="1"/>
  <c r="D1041" i="1"/>
  <c r="E1041" s="1"/>
  <c r="E1037" i="2" s="1"/>
  <c r="D1059" i="1"/>
  <c r="E1059" s="1"/>
  <c r="E1055" i="2" s="1"/>
  <c r="D1085" i="1"/>
  <c r="E1085" s="1"/>
  <c r="E1081" i="2" s="1"/>
  <c r="D1151" i="1"/>
  <c r="D998"/>
  <c r="E998" s="1"/>
  <c r="E994" i="2" s="1"/>
  <c r="D1014" i="1"/>
  <c r="D1018"/>
  <c r="D1042"/>
  <c r="E1042" s="1"/>
  <c r="E1038" i="2" s="1"/>
  <c r="D1058" i="1"/>
  <c r="D1086"/>
  <c r="E1086" s="1"/>
  <c r="E1082" i="2" s="1"/>
  <c r="D1102" i="1"/>
  <c r="D1106"/>
  <c r="D1370" l="1"/>
  <c r="E1370" s="1"/>
  <c r="E1366" i="2" s="1"/>
  <c r="D1366" i="1"/>
  <c r="E1366" s="1"/>
  <c r="E1362" i="2" s="1"/>
  <c r="D1350" i="1"/>
  <c r="E1350" s="1"/>
  <c r="E1346" i="2" s="1"/>
  <c r="D798" i="1"/>
  <c r="E798" s="1"/>
  <c r="E794" i="2" s="1"/>
  <c r="D1107" i="1"/>
  <c r="D1168"/>
  <c r="E1168" s="1"/>
  <c r="E1164" i="2" s="1"/>
  <c r="E1102" i="1"/>
  <c r="E1098" i="2" s="1"/>
  <c r="D865" i="1"/>
  <c r="E799"/>
  <c r="E795" i="2" s="1"/>
  <c r="D1172" i="1"/>
  <c r="E1172" s="1"/>
  <c r="E1168" i="2" s="1"/>
  <c r="E1106" i="1"/>
  <c r="E1102" i="2" s="1"/>
  <c r="D1084" i="1"/>
  <c r="E1084" s="1"/>
  <c r="E1080" i="2" s="1"/>
  <c r="E1018" i="1"/>
  <c r="E1014" i="2" s="1"/>
  <c r="D882" i="1"/>
  <c r="D1212" s="1"/>
  <c r="E1212" s="1"/>
  <c r="E1208" i="2" s="1"/>
  <c r="E816" i="1"/>
  <c r="E812" i="2" s="1"/>
  <c r="D662" i="1"/>
  <c r="E596"/>
  <c r="E592" i="2" s="1"/>
  <c r="D618" i="1"/>
  <c r="E618" s="1"/>
  <c r="E614" i="2" s="1"/>
  <c r="E552" i="1"/>
  <c r="E548" i="2" s="1"/>
  <c r="D579" i="1"/>
  <c r="E513"/>
  <c r="E509" i="2" s="1"/>
  <c r="D843" i="1"/>
  <c r="D1173" s="1"/>
  <c r="D953"/>
  <c r="E887"/>
  <c r="E883" i="2" s="1"/>
  <c r="D1124" i="1"/>
  <c r="E1124" s="1"/>
  <c r="E1120" i="2" s="1"/>
  <c r="E1058" i="1"/>
  <c r="E1054" i="2" s="1"/>
  <c r="E1125" i="1"/>
  <c r="E1121" i="2" s="1"/>
  <c r="D800" i="1"/>
  <c r="E800" s="1"/>
  <c r="E796" i="2" s="1"/>
  <c r="E734" i="1"/>
  <c r="E730" i="2" s="1"/>
  <c r="D974" i="1"/>
  <c r="E908"/>
  <c r="E904" i="2" s="1"/>
  <c r="D1326" i="1"/>
  <c r="E1326" s="1"/>
  <c r="E1322" i="2" s="1"/>
  <c r="E996" i="1"/>
  <c r="E992" i="2" s="1"/>
  <c r="D820" i="1"/>
  <c r="E754"/>
  <c r="E750" i="2" s="1"/>
  <c r="D861" i="1"/>
  <c r="D1191" s="1"/>
  <c r="E1191" s="1"/>
  <c r="E1187" i="2" s="1"/>
  <c r="E795" i="1"/>
  <c r="E791" i="2" s="1"/>
  <c r="D601" i="1"/>
  <c r="E601" s="1"/>
  <c r="E597" i="2" s="1"/>
  <c r="E535" i="1"/>
  <c r="E531" i="2" s="1"/>
  <c r="D817" i="1"/>
  <c r="D1147" s="1"/>
  <c r="E751"/>
  <c r="E747" i="2" s="1"/>
  <c r="D1080" i="1"/>
  <c r="E1080" s="1"/>
  <c r="E1076" i="2" s="1"/>
  <c r="E1014" i="1"/>
  <c r="E1010" i="2" s="1"/>
  <c r="D1217" i="1"/>
  <c r="E1217" s="1"/>
  <c r="E1213" i="2" s="1"/>
  <c r="E1151" i="1"/>
  <c r="E1147" i="2" s="1"/>
  <c r="E1081" i="1"/>
  <c r="E1077" i="2" s="1"/>
  <c r="D839" i="1"/>
  <c r="D1169" s="1"/>
  <c r="E773"/>
  <c r="E769" i="2" s="1"/>
  <c r="D926" i="1"/>
  <c r="E926" s="1"/>
  <c r="E922" i="2" s="1"/>
  <c r="E860" i="1"/>
  <c r="E856" i="2" s="1"/>
  <c r="D904" i="1"/>
  <c r="E838"/>
  <c r="E834" i="2" s="1"/>
  <c r="D352" i="1"/>
  <c r="E352" s="1"/>
  <c r="E348" i="2" s="1"/>
  <c r="E790" i="1"/>
  <c r="E786" i="2" s="1"/>
  <c r="D553" i="1"/>
  <c r="E487"/>
  <c r="E483" i="2" s="1"/>
  <c r="E1107" i="1"/>
  <c r="E1103" i="2" s="1"/>
  <c r="D1063" i="1"/>
  <c r="E997"/>
  <c r="E993" i="2" s="1"/>
  <c r="D844" i="1"/>
  <c r="E844" s="1"/>
  <c r="E840" i="2" s="1"/>
  <c r="E778" i="1"/>
  <c r="E774" i="2" s="1"/>
  <c r="D600" i="1"/>
  <c r="E600" s="1"/>
  <c r="E596" i="2" s="1"/>
  <c r="E534" i="1"/>
  <c r="E530" i="2" s="1"/>
  <c r="D1062" i="1"/>
  <c r="E1062" s="1"/>
  <c r="E1058" i="2" s="1"/>
  <c r="E732" i="1"/>
  <c r="E728" i="2" s="1"/>
  <c r="D1103" i="1"/>
  <c r="D864"/>
  <c r="D1190"/>
  <c r="G849"/>
  <c r="G1179" s="1"/>
  <c r="D1146"/>
  <c r="E1146" s="1"/>
  <c r="E1142" i="2" s="1"/>
  <c r="G853" i="1"/>
  <c r="G1183" s="1"/>
  <c r="G1513" s="1"/>
  <c r="D1055"/>
  <c r="D1064"/>
  <c r="E1064" s="1"/>
  <c r="E1060" i="2" s="1"/>
  <c r="D523" i="1"/>
  <c r="D866"/>
  <c r="E866" s="1"/>
  <c r="E862" i="2" s="1"/>
  <c r="D1152" i="1"/>
  <c r="E1152" s="1"/>
  <c r="E1148" i="2" s="1"/>
  <c r="G510" i="1"/>
  <c r="G1416"/>
  <c r="G741"/>
  <c r="G1071" s="1"/>
  <c r="G1401" s="1"/>
  <c r="G477"/>
  <c r="G919"/>
  <c r="G1249" s="1"/>
  <c r="G1579" s="1"/>
  <c r="G677"/>
  <c r="G1007" s="1"/>
  <c r="G413"/>
  <c r="G860"/>
  <c r="G1190" s="1"/>
  <c r="G1520" s="1"/>
  <c r="G596"/>
  <c r="G1152"/>
  <c r="G888"/>
  <c r="G954" s="1"/>
  <c r="G1443"/>
  <c r="G454"/>
  <c r="G909"/>
  <c r="G1239" s="1"/>
  <c r="G1569" s="1"/>
  <c r="G373" s="1"/>
  <c r="G645"/>
  <c r="G975" s="1"/>
  <c r="G1305" s="1"/>
  <c r="G1635" s="1"/>
  <c r="G390" s="1"/>
  <c r="G1460"/>
  <c r="D1108"/>
  <c r="E1108" s="1"/>
  <c r="E1104" i="2" s="1"/>
  <c r="G834" i="1"/>
  <c r="G1164" s="1"/>
  <c r="G570"/>
  <c r="G1486"/>
  <c r="G1222"/>
  <c r="G1552" s="1"/>
  <c r="G762"/>
  <c r="G1092" s="1"/>
  <c r="G1422" s="1"/>
  <c r="G1196"/>
  <c r="G932"/>
  <c r="G799"/>
  <c r="G1129" s="1"/>
  <c r="G1459" s="1"/>
  <c r="G535"/>
  <c r="G516"/>
  <c r="G582" s="1"/>
  <c r="G450"/>
  <c r="G1487"/>
  <c r="G1464"/>
  <c r="D527"/>
  <c r="D910"/>
  <c r="E910" s="1"/>
  <c r="E906" i="2" s="1"/>
  <c r="G927" i="1"/>
  <c r="G1257" s="1"/>
  <c r="G1587" s="1"/>
  <c r="G663"/>
  <c r="G993" s="1"/>
  <c r="G1323" s="1"/>
  <c r="G883"/>
  <c r="G1213" s="1"/>
  <c r="G1543" s="1"/>
  <c r="G619"/>
  <c r="G949" s="1"/>
  <c r="G1279" s="1"/>
  <c r="G698"/>
  <c r="G1028" s="1"/>
  <c r="G434"/>
  <c r="G1542"/>
  <c r="G1608" s="1"/>
  <c r="D415"/>
  <c r="E415" s="1"/>
  <c r="E411" i="2" s="1"/>
  <c r="G879" i="1"/>
  <c r="G1209" s="1"/>
  <c r="G615"/>
  <c r="G1473"/>
  <c r="G1468"/>
  <c r="G428"/>
  <c r="G1200"/>
  <c r="G1530" s="1"/>
  <c r="D481"/>
  <c r="E481" s="1"/>
  <c r="E477" i="2" s="1"/>
  <c r="G974" i="1"/>
  <c r="G1304" s="1"/>
  <c r="G1634" s="1"/>
  <c r="G820"/>
  <c r="G1150" s="1"/>
  <c r="G1480" s="1"/>
  <c r="G556"/>
  <c r="G1450"/>
  <c r="G1516" s="1"/>
  <c r="G798"/>
  <c r="G1128" s="1"/>
  <c r="G1458" s="1"/>
  <c r="G534"/>
  <c r="G915"/>
  <c r="D526"/>
  <c r="D888"/>
  <c r="E888" s="1"/>
  <c r="E884" i="2" s="1"/>
  <c r="D485" i="1"/>
  <c r="E485" s="1"/>
  <c r="E481" i="2" s="1"/>
  <c r="G1408" i="1"/>
  <c r="G555"/>
  <c r="G593"/>
  <c r="G923" s="1"/>
  <c r="G610"/>
  <c r="G940" s="1"/>
  <c r="G1504"/>
  <c r="G445"/>
  <c r="G697"/>
  <c r="G723"/>
  <c r="G1053" s="1"/>
  <c r="G722"/>
  <c r="G788" s="1"/>
  <c r="G1201"/>
  <c r="G1531" s="1"/>
  <c r="G433"/>
  <c r="G1394"/>
  <c r="G628" s="1"/>
  <c r="G958" s="1"/>
  <c r="G745"/>
  <c r="G704"/>
  <c r="G731"/>
  <c r="G797" s="1"/>
  <c r="G863" s="1"/>
  <c r="G532"/>
  <c r="G696"/>
  <c r="G1026" s="1"/>
  <c r="G1356" s="1"/>
  <c r="G356"/>
  <c r="G679"/>
  <c r="G396"/>
  <c r="G462" s="1"/>
  <c r="G528" s="1"/>
  <c r="G594" s="1"/>
  <c r="G660" s="1"/>
  <c r="G598"/>
  <c r="G414"/>
  <c r="G607"/>
  <c r="G937" s="1"/>
  <c r="G675"/>
  <c r="G1005" s="1"/>
  <c r="G1335" s="1"/>
  <c r="G362" s="1"/>
  <c r="G437"/>
  <c r="G713"/>
  <c r="G1043" s="1"/>
  <c r="G1373" s="1"/>
  <c r="G718"/>
  <c r="G576"/>
  <c r="G642" s="1"/>
  <c r="G1208"/>
  <c r="G1538" s="1"/>
  <c r="G440"/>
  <c r="G770" s="1"/>
  <c r="G592"/>
  <c r="G922" s="1"/>
  <c r="G1204"/>
  <c r="G1534" s="1"/>
  <c r="G436"/>
  <c r="G766" s="1"/>
  <c r="G1096" s="1"/>
  <c r="G441"/>
  <c r="G1350"/>
  <c r="G614" s="1"/>
  <c r="G944" s="1"/>
  <c r="G563"/>
  <c r="G1187"/>
  <c r="G1517" s="1"/>
  <c r="G419"/>
  <c r="G749" s="1"/>
  <c r="G1079" s="1"/>
  <c r="G599"/>
  <c r="G687"/>
  <c r="G1438"/>
  <c r="G606"/>
  <c r="G936" s="1"/>
  <c r="G511"/>
  <c r="G708"/>
  <c r="D1436"/>
  <c r="D1432"/>
  <c r="E1432" s="1"/>
  <c r="E1428" i="2" s="1"/>
  <c r="D1416" i="1"/>
  <c r="E1416" s="1"/>
  <c r="E1412" i="2" s="1"/>
  <c r="D1388" i="1"/>
  <c r="E1388" s="1"/>
  <c r="E1384" i="2" s="1"/>
  <c r="D1372" i="1"/>
  <c r="E1372" s="1"/>
  <c r="E1368" i="2" s="1"/>
  <c r="D1348" i="1"/>
  <c r="D1344"/>
  <c r="E1344" s="1"/>
  <c r="E1340" i="2" s="1"/>
  <c r="D1328" i="1"/>
  <c r="E1328" s="1"/>
  <c r="E1324" i="2" s="1"/>
  <c r="D1455" i="1"/>
  <c r="E1455" s="1"/>
  <c r="E1451" i="2" s="1"/>
  <c r="D1389" i="1"/>
  <c r="D1371"/>
  <c r="E1371" s="1"/>
  <c r="E1367" i="2" s="1"/>
  <c r="D1367" i="1"/>
  <c r="D1349"/>
  <c r="D1345"/>
  <c r="E1345" s="1"/>
  <c r="E1341" i="2" s="1"/>
  <c r="D1327" i="1"/>
  <c r="E1327" s="1"/>
  <c r="E1323" i="2" s="1"/>
  <c r="D1128" i="1" l="1"/>
  <c r="E1128" s="1"/>
  <c r="E1124" i="2" s="1"/>
  <c r="D1256" i="1"/>
  <c r="E1256" s="1"/>
  <c r="E1252" i="2" s="1"/>
  <c r="D857" i="1"/>
  <c r="E527"/>
  <c r="E523" i="2" s="1"/>
  <c r="E1173" i="1"/>
  <c r="E1169" i="2" s="1"/>
  <c r="E1147" i="1"/>
  <c r="E1143" i="2" s="1"/>
  <c r="D886" i="1"/>
  <c r="E820"/>
  <c r="E816" i="2" s="1"/>
  <c r="D1150" i="1"/>
  <c r="E1150" s="1"/>
  <c r="E1146" i="2" s="1"/>
  <c r="E974" i="1"/>
  <c r="E970" i="2" s="1"/>
  <c r="D1304" i="1"/>
  <c r="E1304" s="1"/>
  <c r="E1300" i="2" s="1"/>
  <c r="D1121" i="1"/>
  <c r="D1451" s="1"/>
  <c r="E1451" s="1"/>
  <c r="E1447" i="2" s="1"/>
  <c r="E1389" i="1"/>
  <c r="E1385" i="2" s="1"/>
  <c r="D1414" i="1"/>
  <c r="E1348"/>
  <c r="E1344" i="2" s="1"/>
  <c r="D930" i="1"/>
  <c r="E930" s="1"/>
  <c r="E926" i="2" s="1"/>
  <c r="E864" i="1"/>
  <c r="E860" i="2" s="1"/>
  <c r="D992" i="1"/>
  <c r="E992" s="1"/>
  <c r="E988" i="2" s="1"/>
  <c r="E662" i="1"/>
  <c r="E658" i="2" s="1"/>
  <c r="D1117" i="1"/>
  <c r="D1447" s="1"/>
  <c r="E1367"/>
  <c r="E1363" i="2" s="1"/>
  <c r="D1502" i="1"/>
  <c r="E1436"/>
  <c r="E1432" i="2" s="1"/>
  <c r="D853" i="1"/>
  <c r="E853" s="1"/>
  <c r="E849" i="2" s="1"/>
  <c r="E523" i="1"/>
  <c r="E519" i="2" s="1"/>
  <c r="D1385" i="1"/>
  <c r="E1385" s="1"/>
  <c r="E1381" i="2" s="1"/>
  <c r="E1055" i="1"/>
  <c r="E1051" i="2" s="1"/>
  <c r="D1433" i="1"/>
  <c r="E1433" s="1"/>
  <c r="E1429" i="2" s="1"/>
  <c r="E1103" i="1"/>
  <c r="E1099" i="2" s="1"/>
  <c r="D909" i="1"/>
  <c r="E843"/>
  <c r="E839" i="2" s="1"/>
  <c r="D948" i="1"/>
  <c r="E882"/>
  <c r="E878" i="2" s="1"/>
  <c r="D343" i="1"/>
  <c r="D673" s="1"/>
  <c r="E673" s="1"/>
  <c r="E669" i="2" s="1"/>
  <c r="E1349" i="1"/>
  <c r="E1345" i="2" s="1"/>
  <c r="E953" i="1"/>
  <c r="E949" i="2" s="1"/>
  <c r="D1283" i="1"/>
  <c r="E1283" s="1"/>
  <c r="E1279" i="2" s="1"/>
  <c r="D856" i="1"/>
  <c r="E526"/>
  <c r="E522" i="2" s="1"/>
  <c r="D1051" i="1"/>
  <c r="E1169"/>
  <c r="E1165" i="2" s="1"/>
  <c r="D645" i="1"/>
  <c r="E645" s="1"/>
  <c r="E641" i="2" s="1"/>
  <c r="E579" i="1"/>
  <c r="E575" i="2" s="1"/>
  <c r="D931" i="1"/>
  <c r="E931" s="1"/>
  <c r="E927" i="2" s="1"/>
  <c r="E865" i="1"/>
  <c r="E861" i="2" s="1"/>
  <c r="D1195" i="1"/>
  <c r="D1054"/>
  <c r="E1190"/>
  <c r="E1186" i="2" s="1"/>
  <c r="D1129" i="1"/>
  <c r="E1129" s="1"/>
  <c r="E1125" i="2" s="1"/>
  <c r="E1063" i="1"/>
  <c r="E1059" i="2" s="1"/>
  <c r="D619" i="1"/>
  <c r="E619" s="1"/>
  <c r="E615" i="2" s="1"/>
  <c r="E553" i="1"/>
  <c r="E549" i="2" s="1"/>
  <c r="D970" i="1"/>
  <c r="E904"/>
  <c r="E900" i="2" s="1"/>
  <c r="D1234" i="1"/>
  <c r="E1234" s="1"/>
  <c r="E1230" i="2" s="1"/>
  <c r="D905" i="1"/>
  <c r="E839"/>
  <c r="E835" i="2" s="1"/>
  <c r="D883" i="1"/>
  <c r="D1213" s="1"/>
  <c r="E1213" s="1"/>
  <c r="E1209" i="2" s="1"/>
  <c r="E817" i="1"/>
  <c r="E813" i="2" s="1"/>
  <c r="D927" i="1"/>
  <c r="E861"/>
  <c r="E857" i="2" s="1"/>
  <c r="D1392" i="1"/>
  <c r="D1194"/>
  <c r="G1653"/>
  <c r="G1609"/>
  <c r="G784"/>
  <c r="G1114" s="1"/>
  <c r="G1444" s="1"/>
  <c r="G1358"/>
  <c r="G686"/>
  <c r="G1016" s="1"/>
  <c r="G1346" s="1"/>
  <c r="G422"/>
  <c r="G1038"/>
  <c r="G1368" s="1"/>
  <c r="G774"/>
  <c r="G929"/>
  <c r="G665"/>
  <c r="G995" s="1"/>
  <c r="G811"/>
  <c r="D342"/>
  <c r="D1393"/>
  <c r="E1393" s="1"/>
  <c r="E1389" i="2" s="1"/>
  <c r="D346" i="1"/>
  <c r="D1437"/>
  <c r="E1437" s="1"/>
  <c r="E1433" i="2" s="1"/>
  <c r="D1498" i="1"/>
  <c r="E1498" s="1"/>
  <c r="E1494" i="2" s="1"/>
  <c r="D1411" i="1"/>
  <c r="E1411" s="1"/>
  <c r="E1407" i="2" s="1"/>
  <c r="D1521" i="1"/>
  <c r="E1521" s="1"/>
  <c r="E1517" i="2" s="1"/>
  <c r="D1482" i="1"/>
  <c r="E1482" s="1"/>
  <c r="E1478" i="2" s="1"/>
  <c r="G664" i="1"/>
  <c r="G1570"/>
  <c r="G864"/>
  <c r="G1194" s="1"/>
  <c r="G1524" s="1"/>
  <c r="G600"/>
  <c r="D1120"/>
  <c r="D1454"/>
  <c r="E1454" s="1"/>
  <c r="E1450" i="2" s="1"/>
  <c r="G771" i="1"/>
  <c r="G1101" s="1"/>
  <c r="G1431" s="1"/>
  <c r="G507"/>
  <c r="G900"/>
  <c r="G1230" s="1"/>
  <c r="G636"/>
  <c r="G1539"/>
  <c r="G767"/>
  <c r="G1097" s="1"/>
  <c r="G1427" s="1"/>
  <c r="G503"/>
  <c r="G1494"/>
  <c r="G472"/>
  <c r="G538" s="1"/>
  <c r="G763"/>
  <c r="G764"/>
  <c r="G1094" s="1"/>
  <c r="G500"/>
  <c r="D976"/>
  <c r="E976" s="1"/>
  <c r="E972" i="2" s="1"/>
  <c r="G865" i="1"/>
  <c r="G1195" s="1"/>
  <c r="G1525" s="1"/>
  <c r="G369" s="1"/>
  <c r="G601"/>
  <c r="G931" s="1"/>
  <c r="G1261" s="1"/>
  <c r="G1591" s="1"/>
  <c r="G386" s="1"/>
  <c r="G720"/>
  <c r="G1050" s="1"/>
  <c r="G456"/>
  <c r="G1482"/>
  <c r="G1218"/>
  <c r="G1284" s="1"/>
  <c r="G1337"/>
  <c r="D541"/>
  <c r="E541" s="1"/>
  <c r="E537" i="2" s="1"/>
  <c r="D954" i="1"/>
  <c r="E954" s="1"/>
  <c r="E950" i="2" s="1"/>
  <c r="G1526" i="1"/>
  <c r="G1262"/>
  <c r="D1415"/>
  <c r="E1415" s="1"/>
  <c r="E1411" i="2" s="1"/>
  <c r="D1499" i="1"/>
  <c r="E1499" s="1"/>
  <c r="E1495" i="2" s="1"/>
  <c r="D1394" i="1"/>
  <c r="E1394" s="1"/>
  <c r="E1390" i="2" s="1"/>
  <c r="G893" i="1"/>
  <c r="G1223" s="1"/>
  <c r="G1553" s="1"/>
  <c r="G629"/>
  <c r="D1410"/>
  <c r="E1410" s="1"/>
  <c r="E1406" i="2" s="1"/>
  <c r="D1438" i="1"/>
  <c r="E1438" s="1"/>
  <c r="E1434" i="2" s="1"/>
  <c r="G621" i="1"/>
  <c r="G886"/>
  <c r="G1216" s="1"/>
  <c r="G1546" s="1"/>
  <c r="G622"/>
  <c r="G945"/>
  <c r="G1275" s="1"/>
  <c r="D1174"/>
  <c r="E1174" s="1"/>
  <c r="E1170" i="2" s="1"/>
  <c r="G703" i="1"/>
  <c r="G1033" s="1"/>
  <c r="G439"/>
  <c r="G1509"/>
  <c r="G1245"/>
  <c r="G1575" s="1"/>
  <c r="G807"/>
  <c r="G1137" s="1"/>
  <c r="G1467" s="1"/>
  <c r="G577"/>
  <c r="G643" s="1"/>
  <c r="G926"/>
  <c r="G1256" s="1"/>
  <c r="G1586" s="1"/>
  <c r="G662"/>
  <c r="G743"/>
  <c r="G1073" s="1"/>
  <c r="G479"/>
  <c r="D1218"/>
  <c r="E1218" s="1"/>
  <c r="E1214" i="2" s="1"/>
  <c r="D932" i="1"/>
  <c r="E932" s="1"/>
  <c r="E928" i="2" s="1"/>
  <c r="D1130" i="1"/>
  <c r="E1130" s="1"/>
  <c r="E1126" i="2" s="1"/>
  <c r="D547" i="1"/>
  <c r="D682"/>
  <c r="E682" s="1"/>
  <c r="E678" i="2" s="1"/>
  <c r="D551" i="1"/>
  <c r="G1009"/>
  <c r="G1339" s="1"/>
  <c r="G406" s="1"/>
  <c r="G709"/>
  <c r="G1039" s="1"/>
  <c r="G1369" s="1"/>
  <c r="G1288"/>
  <c r="G1618" s="1"/>
  <c r="G520"/>
  <c r="G463"/>
  <c r="G793" s="1"/>
  <c r="G1123" s="1"/>
  <c r="G1453" s="1"/>
  <c r="G1048"/>
  <c r="G1378" s="1"/>
  <c r="G1267"/>
  <c r="G1597" s="1"/>
  <c r="G499"/>
  <c r="G565" s="1"/>
  <c r="G631" s="1"/>
  <c r="G480"/>
  <c r="G546" s="1"/>
  <c r="G1253"/>
  <c r="G1583" s="1"/>
  <c r="G485"/>
  <c r="G815" s="1"/>
  <c r="G1145" s="1"/>
  <c r="G1475" s="1"/>
  <c r="G1266"/>
  <c r="G1596" s="1"/>
  <c r="G498"/>
  <c r="G524"/>
  <c r="G590" s="1"/>
  <c r="G656" s="1"/>
  <c r="G1409"/>
  <c r="G455"/>
  <c r="G1426"/>
  <c r="G1252"/>
  <c r="G1582" s="1"/>
  <c r="G484"/>
  <c r="G814" s="1"/>
  <c r="G1144" s="1"/>
  <c r="G1474" s="1"/>
  <c r="G550"/>
  <c r="G616" s="1"/>
  <c r="G1034"/>
  <c r="G1364" s="1"/>
  <c r="G796"/>
  <c r="G1126" s="1"/>
  <c r="G1456" s="1"/>
  <c r="G1052"/>
  <c r="G1382" s="1"/>
  <c r="G648" s="1"/>
  <c r="G840"/>
  <c r="G1027"/>
  <c r="G1357" s="1"/>
  <c r="G494" s="1"/>
  <c r="G753"/>
  <c r="G529"/>
  <c r="G595" s="1"/>
  <c r="G661" s="1"/>
  <c r="G547"/>
  <c r="G1017"/>
  <c r="G1347" s="1"/>
  <c r="G1274"/>
  <c r="G1604" s="1"/>
  <c r="G506"/>
  <c r="G572" s="1"/>
  <c r="G638" s="1"/>
  <c r="G543"/>
  <c r="G609" s="1"/>
  <c r="G744"/>
  <c r="G1074" s="1"/>
  <c r="G726"/>
  <c r="G862"/>
  <c r="G928" s="1"/>
  <c r="G459"/>
  <c r="G1383"/>
  <c r="G339"/>
  <c r="G669" s="1"/>
  <c r="G999" s="1"/>
  <c r="G1329" s="1"/>
  <c r="G1270"/>
  <c r="G1600" s="1"/>
  <c r="G502"/>
  <c r="G568" s="1"/>
  <c r="G634" s="1"/>
  <c r="D1322" l="1"/>
  <c r="E1322" s="1"/>
  <c r="E1318" i="2" s="1"/>
  <c r="D1260" i="1"/>
  <c r="E1260" s="1"/>
  <c r="E1256" i="2" s="1"/>
  <c r="E1194" i="1"/>
  <c r="E1190" i="2" s="1"/>
  <c r="D993" i="1"/>
  <c r="E993" s="1"/>
  <c r="E989" i="2" s="1"/>
  <c r="E927" i="1"/>
  <c r="E923" i="2" s="1"/>
  <c r="D1257" i="1"/>
  <c r="D1587" s="1"/>
  <c r="E1587" s="1"/>
  <c r="E1583" i="2" s="1"/>
  <c r="D971" i="1"/>
  <c r="E971" s="1"/>
  <c r="E967" i="2" s="1"/>
  <c r="E905" i="1"/>
  <c r="E901" i="2" s="1"/>
  <c r="D1235" i="1"/>
  <c r="D1565" s="1"/>
  <c r="E1565" s="1"/>
  <c r="E1561" i="2" s="1"/>
  <c r="D419" i="1"/>
  <c r="E419" s="1"/>
  <c r="E415" i="2" s="1"/>
  <c r="E857" i="1"/>
  <c r="E853" i="2" s="1"/>
  <c r="E970" i="1"/>
  <c r="E966" i="2" s="1"/>
  <c r="D1300" i="1"/>
  <c r="E1300" s="1"/>
  <c r="E1296" i="2" s="1"/>
  <c r="D975" i="1"/>
  <c r="E975" s="1"/>
  <c r="E971" i="2" s="1"/>
  <c r="E909" i="1"/>
  <c r="E905" i="2" s="1"/>
  <c r="D1480" i="1"/>
  <c r="E1414"/>
  <c r="E1410" i="2" s="1"/>
  <c r="E1447" i="1"/>
  <c r="E1443" i="2" s="1"/>
  <c r="D613" i="1"/>
  <c r="E613" s="1"/>
  <c r="E609" i="2" s="1"/>
  <c r="E547" i="1"/>
  <c r="E543" i="2" s="1"/>
  <c r="D412" i="1"/>
  <c r="E412" s="1"/>
  <c r="E408" i="2" s="1"/>
  <c r="E346" i="1"/>
  <c r="E342" i="2" s="1"/>
  <c r="D1458" i="1"/>
  <c r="E1458" s="1"/>
  <c r="E1454" i="2" s="1"/>
  <c r="E1392" i="1"/>
  <c r="E1388" i="2" s="1"/>
  <c r="D949" i="1"/>
  <c r="E883"/>
  <c r="E879" i="2" s="1"/>
  <c r="D1261" i="1"/>
  <c r="E1261" s="1"/>
  <c r="E1257" i="2" s="1"/>
  <c r="E1195" i="1"/>
  <c r="E1191" i="2" s="1"/>
  <c r="D418" i="1"/>
  <c r="E418" s="1"/>
  <c r="E414" i="2" s="1"/>
  <c r="E856" i="1"/>
  <c r="E852" i="2" s="1"/>
  <c r="D409" i="1"/>
  <c r="E343"/>
  <c r="E339" i="2" s="1"/>
  <c r="D952" i="1"/>
  <c r="E952" s="1"/>
  <c r="E948" i="2" s="1"/>
  <c r="E886" i="1"/>
  <c r="E882" i="2" s="1"/>
  <c r="D1216" i="1"/>
  <c r="D1239"/>
  <c r="D408"/>
  <c r="E408" s="1"/>
  <c r="E404" i="2" s="1"/>
  <c r="E342" i="1"/>
  <c r="E338" i="2" s="1"/>
  <c r="D1381" i="1"/>
  <c r="E1381" s="1"/>
  <c r="E1377" i="2" s="1"/>
  <c r="E1051" i="1"/>
  <c r="E1047" i="2" s="1"/>
  <c r="D1568" i="1"/>
  <c r="E1502"/>
  <c r="E1498" i="2" s="1"/>
  <c r="D617" i="1"/>
  <c r="E617" s="1"/>
  <c r="E613" i="2" s="1"/>
  <c r="E551" i="1"/>
  <c r="E547" i="2" s="1"/>
  <c r="D1450" i="1"/>
  <c r="E1450" s="1"/>
  <c r="E1446" i="2" s="1"/>
  <c r="E1120" i="1"/>
  <c r="E1116" i="2" s="1"/>
  <c r="D1384" i="1"/>
  <c r="E1384" s="1"/>
  <c r="E1380" i="2" s="1"/>
  <c r="E1054" i="1"/>
  <c r="E1050" i="2" s="1"/>
  <c r="E948" i="1"/>
  <c r="E944" i="2" s="1"/>
  <c r="D1278" i="1"/>
  <c r="E1278" s="1"/>
  <c r="E1274" i="2" s="1"/>
  <c r="D679" i="1"/>
  <c r="E679" s="1"/>
  <c r="E675" i="2" s="1"/>
  <c r="E1117" i="1"/>
  <c r="E1113" i="2" s="1"/>
  <c r="D683" i="1"/>
  <c r="E683" s="1"/>
  <c r="E679" i="2" s="1"/>
  <c r="E1121" i="1"/>
  <c r="E1117" i="2" s="1"/>
  <c r="D1524" i="1"/>
  <c r="G966"/>
  <c r="G1296" s="1"/>
  <c r="D676"/>
  <c r="G1424"/>
  <c r="G1403"/>
  <c r="G1592"/>
  <c r="G655" s="1"/>
  <c r="G985" s="1"/>
  <c r="G1315" s="1"/>
  <c r="G1645" s="1"/>
  <c r="G1548"/>
  <c r="G994"/>
  <c r="D672"/>
  <c r="G612"/>
  <c r="G809"/>
  <c r="G1139" s="1"/>
  <c r="G1469" s="1"/>
  <c r="G545"/>
  <c r="G789"/>
  <c r="G1119" s="1"/>
  <c r="G1449" s="1"/>
  <c r="G525"/>
  <c r="G1056"/>
  <c r="G1386" s="1"/>
  <c r="G692" s="1"/>
  <c r="G792"/>
  <c r="G877"/>
  <c r="G613"/>
  <c r="G1083"/>
  <c r="G1413" s="1"/>
  <c r="G819"/>
  <c r="G885" s="1"/>
  <c r="G560"/>
  <c r="G405"/>
  <c r="G828"/>
  <c r="G564"/>
  <c r="G630" s="1"/>
  <c r="G551"/>
  <c r="G850"/>
  <c r="G586"/>
  <c r="G652" s="1"/>
  <c r="D1196"/>
  <c r="E1196" s="1"/>
  <c r="E1192" i="2" s="1"/>
  <c r="G775" i="1"/>
  <c r="G1363"/>
  <c r="G952"/>
  <c r="G1282" s="1"/>
  <c r="G1612" s="1"/>
  <c r="D1460"/>
  <c r="E1460" s="1"/>
  <c r="E1456" i="2" s="1"/>
  <c r="D350" i="1"/>
  <c r="E350" s="1"/>
  <c r="E346" i="2" s="1"/>
  <c r="D1481" i="1"/>
  <c r="E1481" s="1"/>
  <c r="E1477" i="2" s="1"/>
  <c r="G1380" i="1"/>
  <c r="G833"/>
  <c r="G1163" s="1"/>
  <c r="G1493" s="1"/>
  <c r="G569"/>
  <c r="G837"/>
  <c r="G573"/>
  <c r="G639" s="1"/>
  <c r="G1100"/>
  <c r="G1430" s="1"/>
  <c r="D478"/>
  <c r="G1141"/>
  <c r="G1471" s="1"/>
  <c r="D592"/>
  <c r="D1284"/>
  <c r="G716"/>
  <c r="G1046" s="1"/>
  <c r="G452"/>
  <c r="G1560"/>
  <c r="D1520"/>
  <c r="E1520" s="1"/>
  <c r="E1516" i="2" s="1"/>
  <c r="D474" i="1"/>
  <c r="G810"/>
  <c r="G876" s="1"/>
  <c r="G769"/>
  <c r="G1099" s="1"/>
  <c r="G505"/>
  <c r="D1476"/>
  <c r="E1476" s="1"/>
  <c r="E1472" i="2" s="1"/>
  <c r="G651" i="1"/>
  <c r="G981" s="1"/>
  <c r="G1311" s="1"/>
  <c r="G1641" s="1"/>
  <c r="G1614"/>
  <c r="G658" s="1"/>
  <c r="G988" s="1"/>
  <c r="G1318" s="1"/>
  <c r="G1648" s="1"/>
  <c r="G786"/>
  <c r="G1116" s="1"/>
  <c r="G522"/>
  <c r="G802"/>
  <c r="G785"/>
  <c r="G1115" s="1"/>
  <c r="G1445" s="1"/>
  <c r="G521"/>
  <c r="G604"/>
  <c r="D1003"/>
  <c r="E1003" s="1"/>
  <c r="E999" i="2" s="1"/>
  <c r="D739" i="1"/>
  <c r="G992"/>
  <c r="G1322" s="1"/>
  <c r="G1652" s="1"/>
  <c r="D1240"/>
  <c r="E1240" s="1"/>
  <c r="E1236" i="2" s="1"/>
  <c r="D1504" i="1"/>
  <c r="E1504" s="1"/>
  <c r="E1500" i="2" s="1"/>
  <c r="G959" i="1"/>
  <c r="G1289" s="1"/>
  <c r="G1619" s="1"/>
  <c r="G1093"/>
  <c r="G1423" s="1"/>
  <c r="G1605"/>
  <c r="G1118"/>
  <c r="G1448" s="1"/>
  <c r="G1636"/>
  <c r="G659" s="1"/>
  <c r="G989" s="1"/>
  <c r="G1319" s="1"/>
  <c r="G1649" s="1"/>
  <c r="D1564"/>
  <c r="E1564" s="1"/>
  <c r="E1560" i="2" s="1"/>
  <c r="D347" i="1"/>
  <c r="E347" s="1"/>
  <c r="E343" i="2" s="1"/>
  <c r="D1459" i="1"/>
  <c r="E1459" s="1"/>
  <c r="E1455" i="2" s="1"/>
  <c r="G1075" i="1"/>
  <c r="G1405" s="1"/>
  <c r="G699"/>
  <c r="G1029" s="1"/>
  <c r="G1359" s="1"/>
  <c r="G435"/>
  <c r="G830"/>
  <c r="G1160" s="1"/>
  <c r="G1490" s="1"/>
  <c r="G566"/>
  <c r="G930"/>
  <c r="G1260" s="1"/>
  <c r="G1590" s="1"/>
  <c r="D1548"/>
  <c r="E1548" s="1"/>
  <c r="E1544" i="2" s="1"/>
  <c r="D1477" i="1"/>
  <c r="E1477" s="1"/>
  <c r="E1473" i="2" s="1"/>
  <c r="D351" i="1"/>
  <c r="E351" s="1"/>
  <c r="E347" i="2" s="1"/>
  <c r="D1503" i="1"/>
  <c r="E1503" s="1"/>
  <c r="E1499" i="2" s="1"/>
  <c r="G752" i="1"/>
  <c r="G488"/>
  <c r="G554" s="1"/>
  <c r="G620" s="1"/>
  <c r="D1012"/>
  <c r="D1333"/>
  <c r="E1333" s="1"/>
  <c r="E1329" i="2" s="1"/>
  <c r="G1104" i="1"/>
  <c r="G1434" s="1"/>
  <c r="G361"/>
  <c r="G1061"/>
  <c r="G1391" s="1"/>
  <c r="G736"/>
  <c r="G1066" s="1"/>
  <c r="G1396" s="1"/>
  <c r="G906"/>
  <c r="G836"/>
  <c r="G854"/>
  <c r="G1404"/>
  <c r="G780" s="1"/>
  <c r="G1110" s="1"/>
  <c r="G1440" s="1"/>
  <c r="G449"/>
  <c r="G832"/>
  <c r="G1192"/>
  <c r="G1127"/>
  <c r="G873"/>
  <c r="G859"/>
  <c r="G925" s="1"/>
  <c r="G1170"/>
  <c r="G1500" s="1"/>
  <c r="G880"/>
  <c r="G829"/>
  <c r="G895" s="1"/>
  <c r="D1009" l="1"/>
  <c r="D1634"/>
  <c r="E1634" s="1"/>
  <c r="E1630" i="2" s="1"/>
  <c r="E1568" i="1"/>
  <c r="E1564" i="2" s="1"/>
  <c r="D1342" i="1"/>
  <c r="E1342" s="1"/>
  <c r="E1338" i="2" s="1"/>
  <c r="E1012" i="1"/>
  <c r="E1008" i="2" s="1"/>
  <c r="D1590" i="1"/>
  <c r="E1590" s="1"/>
  <c r="E1586" i="2" s="1"/>
  <c r="E1524" i="1"/>
  <c r="E1520" i="2" s="1"/>
  <c r="D1282" i="1"/>
  <c r="E1282" s="1"/>
  <c r="E1278" i="2" s="1"/>
  <c r="E1216" i="1"/>
  <c r="E1212" i="2" s="1"/>
  <c r="D475" i="1"/>
  <c r="E475" s="1"/>
  <c r="E471" i="2" s="1"/>
  <c r="E409" i="1"/>
  <c r="E405" i="2" s="1"/>
  <c r="D1546" i="1"/>
  <c r="E1480"/>
  <c r="E1476" i="2" s="1"/>
  <c r="D738" i="1"/>
  <c r="E738" s="1"/>
  <c r="E734" i="2" s="1"/>
  <c r="D742" i="1"/>
  <c r="E742" s="1"/>
  <c r="E738" i="2" s="1"/>
  <c r="D607" i="1"/>
  <c r="E607" s="1"/>
  <c r="E603" i="2" s="1"/>
  <c r="E1284" i="1"/>
  <c r="E1280" i="2" s="1"/>
  <c r="D1006" i="1"/>
  <c r="E676"/>
  <c r="E672" i="2" s="1"/>
  <c r="E949" i="1"/>
  <c r="E945" i="2" s="1"/>
  <c r="D1279" i="1"/>
  <c r="E1279" s="1"/>
  <c r="E1275" i="2" s="1"/>
  <c r="D1339" i="1"/>
  <c r="E1339" s="1"/>
  <c r="E1335" i="2" s="1"/>
  <c r="E1009" i="1"/>
  <c r="E1005" i="2" s="1"/>
  <c r="D1323" i="1"/>
  <c r="E1323" s="1"/>
  <c r="E1319" i="2" s="1"/>
  <c r="E1257" i="1"/>
  <c r="E1253" i="2" s="1"/>
  <c r="D805" i="1"/>
  <c r="E805" s="1"/>
  <c r="E801" i="2" s="1"/>
  <c r="E739" i="1"/>
  <c r="E735" i="2" s="1"/>
  <c r="D540" i="1"/>
  <c r="E540" s="1"/>
  <c r="E536" i="2" s="1"/>
  <c r="E474" i="1"/>
  <c r="E470" i="2" s="1"/>
  <c r="D922" i="1"/>
  <c r="E592"/>
  <c r="E588" i="2" s="1"/>
  <c r="D544" i="1"/>
  <c r="E544" s="1"/>
  <c r="E540" i="2" s="1"/>
  <c r="E478" i="1"/>
  <c r="E474" i="2" s="1"/>
  <c r="D1002" i="1"/>
  <c r="E1002" s="1"/>
  <c r="E998" i="2" s="1"/>
  <c r="E672" i="1"/>
  <c r="E668" i="2" s="1"/>
  <c r="D1305" i="1"/>
  <c r="E1305" s="1"/>
  <c r="E1301" i="2" s="1"/>
  <c r="E1239" i="1"/>
  <c r="E1235" i="2" s="1"/>
  <c r="D1301" i="1"/>
  <c r="E1301" s="1"/>
  <c r="E1297" i="2" s="1"/>
  <c r="E1235" i="1"/>
  <c r="E1231" i="2" s="1"/>
  <c r="D1013" i="1"/>
  <c r="D808"/>
  <c r="D804"/>
  <c r="E804" s="1"/>
  <c r="E800" i="2" s="1"/>
  <c r="D1069" i="1"/>
  <c r="G1140"/>
  <c r="G1470" s="1"/>
  <c r="D416"/>
  <c r="D680"/>
  <c r="G1429"/>
  <c r="D417"/>
  <c r="E417" s="1"/>
  <c r="E413" i="2" s="1"/>
  <c r="D681" i="1"/>
  <c r="G1206"/>
  <c r="G942"/>
  <c r="G1203"/>
  <c r="G1533" s="1"/>
  <c r="G939"/>
  <c r="G691"/>
  <c r="G1021" s="1"/>
  <c r="G1351" s="1"/>
  <c r="G427"/>
  <c r="G1132"/>
  <c r="G1462" s="1"/>
  <c r="G868"/>
  <c r="D482"/>
  <c r="G1105"/>
  <c r="G1435" s="1"/>
  <c r="G841"/>
  <c r="G1522"/>
  <c r="G1258"/>
  <c r="G1022"/>
  <c r="G1352" s="1"/>
  <c r="G758"/>
  <c r="D428"/>
  <c r="E428" s="1"/>
  <c r="E424" i="2" s="1"/>
  <c r="G1082" i="1"/>
  <c r="G818"/>
  <c r="G884" s="1"/>
  <c r="G950" s="1"/>
  <c r="D1543"/>
  <c r="E1543" s="1"/>
  <c r="E1539" i="2" s="1"/>
  <c r="D1630" i="1"/>
  <c r="E1630" s="1"/>
  <c r="E1626" i="2" s="1"/>
  <c r="D1570" i="1"/>
  <c r="E1570" s="1"/>
  <c r="E1566" i="2" s="1"/>
  <c r="G1626" i="1"/>
  <c r="G1167"/>
  <c r="G1497" s="1"/>
  <c r="G903"/>
  <c r="G899"/>
  <c r="G635"/>
  <c r="D1526"/>
  <c r="E1526" s="1"/>
  <c r="E1522" i="2" s="1"/>
  <c r="G1180" i="1"/>
  <c r="G1510" s="1"/>
  <c r="G916"/>
  <c r="G626"/>
  <c r="D344"/>
  <c r="G846"/>
  <c r="G912" s="1"/>
  <c r="G1122"/>
  <c r="G1452" s="1"/>
  <c r="G858"/>
  <c r="D375"/>
  <c r="E375" s="1"/>
  <c r="E371" i="2" s="1"/>
  <c r="G961" i="1"/>
  <c r="G991"/>
  <c r="G1457"/>
  <c r="G1193"/>
  <c r="G1523" s="1"/>
  <c r="G1162"/>
  <c r="G1492" s="1"/>
  <c r="G898"/>
  <c r="G1166"/>
  <c r="G1496" s="1"/>
  <c r="G902"/>
  <c r="G896"/>
  <c r="G1226" s="1"/>
  <c r="G1556" s="1"/>
  <c r="G632"/>
  <c r="G962" s="1"/>
  <c r="G1292" s="1"/>
  <c r="D364"/>
  <c r="E364" s="1"/>
  <c r="E360" i="2" s="1"/>
  <c r="D1525" i="1"/>
  <c r="E1525" s="1"/>
  <c r="E1521" i="2" s="1"/>
  <c r="D593" i="1"/>
  <c r="D1306"/>
  <c r="G851"/>
  <c r="G587"/>
  <c r="G653" s="1"/>
  <c r="G782"/>
  <c r="G344" s="1"/>
  <c r="G518"/>
  <c r="D370"/>
  <c r="G881"/>
  <c r="G617"/>
  <c r="G1158"/>
  <c r="G1488" s="1"/>
  <c r="G894"/>
  <c r="G951"/>
  <c r="G1207"/>
  <c r="G1537" s="1"/>
  <c r="G943"/>
  <c r="G855"/>
  <c r="G591"/>
  <c r="G657" s="1"/>
  <c r="G875"/>
  <c r="G611"/>
  <c r="G1236"/>
  <c r="G972"/>
  <c r="D340"/>
  <c r="E340" s="1"/>
  <c r="E336" i="2" s="1"/>
  <c r="G765" i="1"/>
  <c r="G501"/>
  <c r="G567" s="1"/>
  <c r="G852"/>
  <c r="G1182" s="1"/>
  <c r="G588"/>
  <c r="G835"/>
  <c r="G1165" s="1"/>
  <c r="G1495" s="1"/>
  <c r="G571"/>
  <c r="D1183"/>
  <c r="G1210"/>
  <c r="G1540" s="1"/>
  <c r="G946"/>
  <c r="G779"/>
  <c r="G1109" s="1"/>
  <c r="G1439" s="1"/>
  <c r="G515"/>
  <c r="G581" s="1"/>
  <c r="G647" s="1"/>
  <c r="G1184"/>
  <c r="G1514" s="1"/>
  <c r="G920"/>
  <c r="D368"/>
  <c r="E368" s="1"/>
  <c r="E364" i="2" s="1"/>
  <c r="D1569" i="1"/>
  <c r="E1569" s="1"/>
  <c r="E1565" i="2" s="1"/>
  <c r="D1614" i="1"/>
  <c r="D677"/>
  <c r="E677" s="1"/>
  <c r="E673" i="2" s="1"/>
  <c r="D413" i="1"/>
  <c r="D1187"/>
  <c r="D367"/>
  <c r="E367" s="1"/>
  <c r="E363" i="2" s="1"/>
  <c r="D871" i="1"/>
  <c r="E871" s="1"/>
  <c r="E867" i="2" s="1"/>
  <c r="D1542" i="1"/>
  <c r="E1542" s="1"/>
  <c r="E1538" i="2" s="1"/>
  <c r="D1586" i="1"/>
  <c r="E1586" s="1"/>
  <c r="E1582" i="2" s="1"/>
  <c r="G1376" i="1"/>
  <c r="D362"/>
  <c r="E362" s="1"/>
  <c r="E358" i="2" s="1"/>
  <c r="G1446" i="1"/>
  <c r="D365"/>
  <c r="E365" s="1"/>
  <c r="E361" i="2" s="1"/>
  <c r="D1547" i="1"/>
  <c r="E1547" s="1"/>
  <c r="E1543" i="2" s="1"/>
  <c r="D589" i="1"/>
  <c r="D1262"/>
  <c r="G735"/>
  <c r="G1065" s="1"/>
  <c r="G1395" s="1"/>
  <c r="G471"/>
  <c r="D361"/>
  <c r="G1189"/>
  <c r="G1519" s="1"/>
  <c r="G1159"/>
  <c r="G1225" s="1"/>
  <c r="G1149"/>
  <c r="G1479" s="1"/>
  <c r="D874" l="1"/>
  <c r="E874" s="1"/>
  <c r="E870" i="2" s="1"/>
  <c r="D1072" i="1"/>
  <c r="E1072" s="1"/>
  <c r="E1068" i="2" s="1"/>
  <c r="D1332" i="1"/>
  <c r="E1332" s="1"/>
  <c r="E1328" i="2" s="1"/>
  <c r="D1135" i="1"/>
  <c r="D1465" s="1"/>
  <c r="E1465" s="1"/>
  <c r="E1461" i="2" s="1"/>
  <c r="D1631" i="1"/>
  <c r="E1631" s="1"/>
  <c r="E1627" i="2" s="1"/>
  <c r="D1068" i="1"/>
  <c r="E1068" s="1"/>
  <c r="E1064" i="2" s="1"/>
  <c r="D606" i="1"/>
  <c r="E606" s="1"/>
  <c r="E602" i="2" s="1"/>
  <c r="E1262" i="1"/>
  <c r="E1258" i="2" s="1"/>
  <c r="D610" i="1"/>
  <c r="E1306"/>
  <c r="E1302" i="2" s="1"/>
  <c r="D479" i="1"/>
  <c r="E413"/>
  <c r="E409" i="2" s="1"/>
  <c r="D1010" i="1"/>
  <c r="E1010" s="1"/>
  <c r="E1006" i="2" s="1"/>
  <c r="E680" i="1"/>
  <c r="E676" i="2" s="1"/>
  <c r="D1343" i="1"/>
  <c r="E1343" s="1"/>
  <c r="E1339" i="2" s="1"/>
  <c r="E1013" i="1"/>
  <c r="E1009" i="2" s="1"/>
  <c r="D1612" i="1"/>
  <c r="E1612" s="1"/>
  <c r="E1608" i="2" s="1"/>
  <c r="E1546" i="1"/>
  <c r="E1542" i="2" s="1"/>
  <c r="D919" i="1"/>
  <c r="E919" s="1"/>
  <c r="E915" i="2" s="1"/>
  <c r="E589" i="1"/>
  <c r="E585" i="2" s="1"/>
  <c r="D700" i="1"/>
  <c r="E700" s="1"/>
  <c r="E696" i="2" s="1"/>
  <c r="E370" i="1"/>
  <c r="E366" i="2" s="1"/>
  <c r="D923" i="1"/>
  <c r="E923" s="1"/>
  <c r="E919" i="2" s="1"/>
  <c r="E593" i="1"/>
  <c r="E589" i="2" s="1"/>
  <c r="D548" i="1"/>
  <c r="E548" s="1"/>
  <c r="E544" i="2" s="1"/>
  <c r="E482" i="1"/>
  <c r="E478" i="2" s="1"/>
  <c r="D484" i="1"/>
  <c r="E922"/>
  <c r="E918" i="2" s="1"/>
  <c r="D1336" i="1"/>
  <c r="E1336" s="1"/>
  <c r="E1332" i="2" s="1"/>
  <c r="E1006" i="1"/>
  <c r="E1002" i="2" s="1"/>
  <c r="D870" i="1"/>
  <c r="E870" s="1"/>
  <c r="E866" i="2" s="1"/>
  <c r="D1653" i="1"/>
  <c r="E1653" s="1"/>
  <c r="E1649" i="2" s="1"/>
  <c r="D1402" i="1"/>
  <c r="E1402" s="1"/>
  <c r="E1398" i="2" s="1"/>
  <c r="D746" i="1"/>
  <c r="E746" s="1"/>
  <c r="E742" i="2" s="1"/>
  <c r="E416" i="1"/>
  <c r="E412" i="2" s="1"/>
  <c r="D658" i="1"/>
  <c r="E1614"/>
  <c r="E1610" i="2" s="1"/>
  <c r="D1513" i="1"/>
  <c r="E1513" s="1"/>
  <c r="E1509" i="2" s="1"/>
  <c r="E1183" i="1"/>
  <c r="E1179" i="2" s="1"/>
  <c r="D1399" i="1"/>
  <c r="E1399" s="1"/>
  <c r="E1395" i="2" s="1"/>
  <c r="E1069" i="1"/>
  <c r="E1065" i="2" s="1"/>
  <c r="D691" i="1"/>
  <c r="E691" s="1"/>
  <c r="E687" i="2" s="1"/>
  <c r="E361" i="1"/>
  <c r="E357" i="2" s="1"/>
  <c r="D1517" i="1"/>
  <c r="E1517" s="1"/>
  <c r="E1513" i="2" s="1"/>
  <c r="E1187" i="1"/>
  <c r="E1183" i="2" s="1"/>
  <c r="D674" i="1"/>
  <c r="E344"/>
  <c r="E340" i="2" s="1"/>
  <c r="D1011" i="1"/>
  <c r="E1011" s="1"/>
  <c r="E1007" i="2" s="1"/>
  <c r="E681" i="1"/>
  <c r="E677" i="2" s="1"/>
  <c r="D1138" i="1"/>
  <c r="E808"/>
  <c r="E804" i="2" s="1"/>
  <c r="D937" i="1"/>
  <c r="E937" s="1"/>
  <c r="E933" i="2" s="1"/>
  <c r="G845" i="1"/>
  <c r="G1175" s="1"/>
  <c r="G1505" s="1"/>
  <c r="G1622"/>
  <c r="G1176"/>
  <c r="G1506" s="1"/>
  <c r="D366"/>
  <c r="E366" s="1"/>
  <c r="E362" i="2" s="1"/>
  <c r="D1134" i="1"/>
  <c r="E1134" s="1"/>
  <c r="E1130" i="2" s="1"/>
  <c r="D812" i="1"/>
  <c r="D374"/>
  <c r="E374" s="1"/>
  <c r="E370" i="2" s="1"/>
  <c r="G410" i="1"/>
  <c r="G740" s="1"/>
  <c r="G1070" s="1"/>
  <c r="G1400" s="1"/>
  <c r="G674"/>
  <c r="G1004" s="1"/>
  <c r="G1334" s="1"/>
  <c r="G340" s="1"/>
  <c r="G670" s="1"/>
  <c r="G1000" s="1"/>
  <c r="G1330" s="1"/>
  <c r="G831"/>
  <c r="G1161" s="1"/>
  <c r="G1491" s="1"/>
  <c r="G1095"/>
  <c r="G1425" s="1"/>
  <c r="G941"/>
  <c r="G1271" s="1"/>
  <c r="G1601" s="1"/>
  <c r="G1205"/>
  <c r="G1535" s="1"/>
  <c r="G1112"/>
  <c r="D697"/>
  <c r="D483"/>
  <c r="D747"/>
  <c r="E747" s="1"/>
  <c r="E743" i="2" s="1"/>
  <c r="G476" i="1"/>
  <c r="G1181"/>
  <c r="G1511" s="1"/>
  <c r="G917"/>
  <c r="G1229"/>
  <c r="G1559" s="1"/>
  <c r="G965"/>
  <c r="G1295" s="1"/>
  <c r="G1625" s="1"/>
  <c r="G473" s="1"/>
  <c r="G803" s="1"/>
  <c r="G1133" s="1"/>
  <c r="G1463" s="1"/>
  <c r="D1636"/>
  <c r="G1588"/>
  <c r="G1324"/>
  <c r="G1259"/>
  <c r="D1608"/>
  <c r="D433"/>
  <c r="D611"/>
  <c r="E611" s="1"/>
  <c r="E607" i="2" s="1"/>
  <c r="D698" i="1"/>
  <c r="E698" s="1"/>
  <c r="E694" i="2" s="1"/>
  <c r="D434" i="1"/>
  <c r="G901"/>
  <c r="G1231" s="1"/>
  <c r="G1561" s="1"/>
  <c r="G637"/>
  <c r="G897"/>
  <c r="G1227" s="1"/>
  <c r="G1557" s="1"/>
  <c r="G633"/>
  <c r="D670"/>
  <c r="D406"/>
  <c r="D436"/>
  <c r="D369"/>
  <c r="E369" s="1"/>
  <c r="E365" i="2" s="1"/>
  <c r="D1591" i="1"/>
  <c r="G1188"/>
  <c r="G1518" s="1"/>
  <c r="G924"/>
  <c r="D1592"/>
  <c r="G1233"/>
  <c r="G1563" s="1"/>
  <c r="G969"/>
  <c r="D614"/>
  <c r="E614" s="1"/>
  <c r="E610" i="2" s="1"/>
  <c r="D745" i="1"/>
  <c r="G801"/>
  <c r="G1131" s="1"/>
  <c r="G1461" s="1"/>
  <c r="G537"/>
  <c r="D372"/>
  <c r="E372" s="1"/>
  <c r="E368" i="2" s="1"/>
  <c r="D1613" i="1"/>
  <c r="D432"/>
  <c r="E432" s="1"/>
  <c r="E428" i="2" s="1"/>
  <c r="D1007" i="1"/>
  <c r="E1007" s="1"/>
  <c r="E1003" i="2" s="1"/>
  <c r="D743" i="1"/>
  <c r="G1566"/>
  <c r="G1302"/>
  <c r="G1632" s="1"/>
  <c r="G1185"/>
  <c r="G1515" s="1"/>
  <c r="G921"/>
  <c r="G1215"/>
  <c r="G1281" s="1"/>
  <c r="G1611" s="1"/>
  <c r="G1211"/>
  <c r="G1541" s="1"/>
  <c r="G947"/>
  <c r="D694"/>
  <c r="E694" s="1"/>
  <c r="E690" i="2" s="1"/>
  <c r="D430" i="1"/>
  <c r="G1232"/>
  <c r="G1562" s="1"/>
  <c r="G968"/>
  <c r="G1228"/>
  <c r="G1558" s="1"/>
  <c r="G964"/>
  <c r="G1294" s="1"/>
  <c r="G1624" s="1"/>
  <c r="G1291"/>
  <c r="G1412"/>
  <c r="G1148"/>
  <c r="G1088"/>
  <c r="G1418" s="1"/>
  <c r="G824"/>
  <c r="G1269"/>
  <c r="G1599" s="1"/>
  <c r="G1272"/>
  <c r="G1512"/>
  <c r="D1186"/>
  <c r="D1652"/>
  <c r="D749"/>
  <c r="D373"/>
  <c r="E373" s="1"/>
  <c r="E369" i="2" s="1"/>
  <c r="D1635" i="1"/>
  <c r="G911"/>
  <c r="D692"/>
  <c r="E692" s="1"/>
  <c r="E688" i="2" s="1"/>
  <c r="D695" i="1"/>
  <c r="E695" s="1"/>
  <c r="E691" i="2" s="1"/>
  <c r="D431" i="1"/>
  <c r="G1250"/>
  <c r="G1580" s="1"/>
  <c r="G986"/>
  <c r="G1316" s="1"/>
  <c r="G1646" s="1"/>
  <c r="G1276"/>
  <c r="G1606" s="1"/>
  <c r="G363" s="1"/>
  <c r="G693" s="1"/>
  <c r="G1023" s="1"/>
  <c r="G1353" s="1"/>
  <c r="G918"/>
  <c r="G1248" s="1"/>
  <c r="G654"/>
  <c r="G1273"/>
  <c r="G1603" s="1"/>
  <c r="G341" s="1"/>
  <c r="G671" s="1"/>
  <c r="G1001" s="1"/>
  <c r="G1331" s="1"/>
  <c r="G1224"/>
  <c r="G1554" s="1"/>
  <c r="G960"/>
  <c r="G1290" s="1"/>
  <c r="D427"/>
  <c r="G848"/>
  <c r="G584"/>
  <c r="D502"/>
  <c r="G1255"/>
  <c r="G1321" s="1"/>
  <c r="G1242"/>
  <c r="G1572" s="1"/>
  <c r="G978"/>
  <c r="D639"/>
  <c r="E639" s="1"/>
  <c r="E635" i="2" s="1"/>
  <c r="D410" i="1"/>
  <c r="E410" s="1"/>
  <c r="E406" i="2" s="1"/>
  <c r="G1246" i="1"/>
  <c r="G1576" s="1"/>
  <c r="G982"/>
  <c r="D384"/>
  <c r="E384" s="1"/>
  <c r="E380" i="2" s="1"/>
  <c r="D515" i="1"/>
  <c r="D1609"/>
  <c r="G1171"/>
  <c r="G1501" s="1"/>
  <c r="G907"/>
  <c r="G1198"/>
  <c r="G1528" s="1"/>
  <c r="G934"/>
  <c r="G1264" s="1"/>
  <c r="G1594" s="1"/>
  <c r="G757"/>
  <c r="G1087" s="1"/>
  <c r="G493"/>
  <c r="G1536"/>
  <c r="G1489"/>
  <c r="E1135" l="1"/>
  <c r="E1131" i="2" s="1"/>
  <c r="D1204" i="1"/>
  <c r="E1204" s="1"/>
  <c r="E1200" i="2" s="1"/>
  <c r="D1253" i="1"/>
  <c r="D1583" s="1"/>
  <c r="E1583" s="1"/>
  <c r="E1579" i="2" s="1"/>
  <c r="D1021" i="1"/>
  <c r="E1021" s="1"/>
  <c r="E1017" i="2" s="1"/>
  <c r="D1249" i="1"/>
  <c r="D1579" s="1"/>
  <c r="E1579" s="1"/>
  <c r="E1575" i="2" s="1"/>
  <c r="D1398" i="1"/>
  <c r="E1398" s="1"/>
  <c r="E1394" i="2" s="1"/>
  <c r="D1076" i="1"/>
  <c r="E1076" s="1"/>
  <c r="E1072" i="2" s="1"/>
  <c r="D1027" i="1"/>
  <c r="E697"/>
  <c r="E693" i="2" s="1"/>
  <c r="D1142" i="1"/>
  <c r="E1142" s="1"/>
  <c r="E1138" i="2" s="1"/>
  <c r="E812" i="1"/>
  <c r="E808" i="2" s="1"/>
  <c r="D988" i="1"/>
  <c r="E988" s="1"/>
  <c r="E984" i="2" s="1"/>
  <c r="E658" i="1"/>
  <c r="E654" i="2" s="1"/>
  <c r="D386" i="1"/>
  <c r="E386" s="1"/>
  <c r="E382" i="2" s="1"/>
  <c r="E1591" i="1"/>
  <c r="E1587" i="2" s="1"/>
  <c r="D1000" i="1"/>
  <c r="E1000" s="1"/>
  <c r="E996" i="2" s="1"/>
  <c r="E670" i="1"/>
  <c r="E666" i="2" s="1"/>
  <c r="D549" i="1"/>
  <c r="E549" s="1"/>
  <c r="E545" i="2" s="1"/>
  <c r="E483" i="1"/>
  <c r="E479" i="2" s="1"/>
  <c r="D581" i="1"/>
  <c r="E581" s="1"/>
  <c r="E577" i="2" s="1"/>
  <c r="E515" i="1"/>
  <c r="E511" i="2" s="1"/>
  <c r="D568" i="1"/>
  <c r="E568" s="1"/>
  <c r="E564" i="2" s="1"/>
  <c r="E502" i="1"/>
  <c r="E498" i="2" s="1"/>
  <c r="D1516" i="1"/>
  <c r="E1516" s="1"/>
  <c r="E1512" i="2" s="1"/>
  <c r="E1186" i="1"/>
  <c r="E1182" i="2" s="1"/>
  <c r="D496" i="1"/>
  <c r="E496" s="1"/>
  <c r="E492" i="2" s="1"/>
  <c r="E430" i="1"/>
  <c r="E426" i="2" s="1"/>
  <c r="D472" i="1"/>
  <c r="E472" s="1"/>
  <c r="E468" i="2" s="1"/>
  <c r="E406" i="1"/>
  <c r="E402" i="2" s="1"/>
  <c r="D1200" i="1"/>
  <c r="E1608"/>
  <c r="E1604" i="2" s="1"/>
  <c r="D1468" i="1"/>
  <c r="E1468" s="1"/>
  <c r="E1464" i="2" s="1"/>
  <c r="E1138" i="1"/>
  <c r="E1134" i="2" s="1"/>
  <c r="D1004" i="1"/>
  <c r="E674"/>
  <c r="E670" i="2" s="1"/>
  <c r="D550" i="1"/>
  <c r="E484"/>
  <c r="E480" i="2" s="1"/>
  <c r="D545" i="1"/>
  <c r="E545" s="1"/>
  <c r="E541" i="2" s="1"/>
  <c r="E479" i="1"/>
  <c r="E475" i="2" s="1"/>
  <c r="D940" i="1"/>
  <c r="E610"/>
  <c r="E606" i="2" s="1"/>
  <c r="D936" i="1"/>
  <c r="E936" s="1"/>
  <c r="E932" i="2" s="1"/>
  <c r="D1030" i="1"/>
  <c r="D1079"/>
  <c r="E749"/>
  <c r="E745" i="2" s="1"/>
  <c r="D809" i="1"/>
  <c r="E743"/>
  <c r="E739" i="2" s="1"/>
  <c r="D387" i="1"/>
  <c r="E387" s="1"/>
  <c r="E383" i="2" s="1"/>
  <c r="E1613" i="1"/>
  <c r="E1609" i="2" s="1"/>
  <c r="D1534" i="1"/>
  <c r="E1534" s="1"/>
  <c r="E1530" i="2" s="1"/>
  <c r="D659" i="1"/>
  <c r="E1636"/>
  <c r="E1632" i="2" s="1"/>
  <c r="D1201" i="1"/>
  <c r="E1609"/>
  <c r="E1605" i="2" s="1"/>
  <c r="D493" i="1"/>
  <c r="E427"/>
  <c r="E423" i="2" s="1"/>
  <c r="D497" i="1"/>
  <c r="E431"/>
  <c r="E427" i="2" s="1"/>
  <c r="D390" i="1"/>
  <c r="E390" s="1"/>
  <c r="E386" i="2" s="1"/>
  <c r="E1635" i="1"/>
  <c r="E1631" i="2" s="1"/>
  <c r="E1652" i="1"/>
  <c r="E1648" i="2" s="1"/>
  <c r="D1075" i="1"/>
  <c r="E745"/>
  <c r="E741" i="2" s="1"/>
  <c r="D655" i="1"/>
  <c r="E1592"/>
  <c r="E1588" i="2" s="1"/>
  <c r="D766" i="1"/>
  <c r="E766" s="1"/>
  <c r="E762" i="2" s="1"/>
  <c r="E436" i="1"/>
  <c r="E432" i="2" s="1"/>
  <c r="D500" i="1"/>
  <c r="E500" s="1"/>
  <c r="E496" i="2" s="1"/>
  <c r="E434" i="1"/>
  <c r="E430" i="2" s="1"/>
  <c r="D499" i="1"/>
  <c r="E433"/>
  <c r="E429" i="2" s="1"/>
  <c r="D1340" i="1"/>
  <c r="E1340" s="1"/>
  <c r="E1336" i="2" s="1"/>
  <c r="D878" i="1"/>
  <c r="D1208" s="1"/>
  <c r="D1341"/>
  <c r="E1341" s="1"/>
  <c r="E1337" i="2" s="1"/>
  <c r="G1620" i="1"/>
  <c r="G407" s="1"/>
  <c r="G737" s="1"/>
  <c r="G1067" s="1"/>
  <c r="G1397" s="1"/>
  <c r="G1585"/>
  <c r="G1651" s="1"/>
  <c r="D696"/>
  <c r="D1464"/>
  <c r="E1464" s="1"/>
  <c r="E1460" i="2" s="1"/>
  <c r="D813" i="1"/>
  <c r="D757"/>
  <c r="D1087" s="1"/>
  <c r="D450"/>
  <c r="D714"/>
  <c r="E714" s="1"/>
  <c r="E710" i="2" s="1"/>
  <c r="D758" i="1"/>
  <c r="E758" s="1"/>
  <c r="E754" i="2" s="1"/>
  <c r="D1022" i="1"/>
  <c r="D452"/>
  <c r="E452" s="1"/>
  <c r="E448" i="2" s="1"/>
  <c r="D435" i="1"/>
  <c r="E435" s="1"/>
  <c r="E431" i="2" s="1"/>
  <c r="D699" i="1"/>
  <c r="D736"/>
  <c r="D1073"/>
  <c r="D1337"/>
  <c r="E1337" s="1"/>
  <c r="E1333" i="2" s="1"/>
  <c r="G1178" i="1"/>
  <c r="G1508" s="1"/>
  <c r="D1077"/>
  <c r="D615"/>
  <c r="G1545"/>
  <c r="G1442"/>
  <c r="G1602"/>
  <c r="D704"/>
  <c r="D763"/>
  <c r="D1267"/>
  <c r="D629"/>
  <c r="E629" s="1"/>
  <c r="E625" i="2" s="1"/>
  <c r="D456" i="1"/>
  <c r="E456" s="1"/>
  <c r="E452" i="2" s="1"/>
  <c r="G1589" i="1"/>
  <c r="G1325"/>
  <c r="G1655" s="1"/>
  <c r="G1237"/>
  <c r="G973"/>
  <c r="G1312"/>
  <c r="G1642" s="1"/>
  <c r="G539" s="1"/>
  <c r="G869" s="1"/>
  <c r="G1199" s="1"/>
  <c r="G1529" s="1"/>
  <c r="D378"/>
  <c r="D634"/>
  <c r="E634" s="1"/>
  <c r="E630" i="2" s="1"/>
  <c r="D625" i="1"/>
  <c r="D1024"/>
  <c r="E1024" s="1"/>
  <c r="E1020" i="2" s="1"/>
  <c r="D760" i="1"/>
  <c r="E760" s="1"/>
  <c r="E756" i="2" s="1"/>
  <c r="G1277" i="1"/>
  <c r="G1607" s="1"/>
  <c r="G385" s="1"/>
  <c r="G715" s="1"/>
  <c r="G1045" s="1"/>
  <c r="G1375" s="1"/>
  <c r="D453"/>
  <c r="D400"/>
  <c r="D638"/>
  <c r="E638" s="1"/>
  <c r="E634" i="2" s="1"/>
  <c r="D832" i="1"/>
  <c r="G963"/>
  <c r="G1293" s="1"/>
  <c r="G1623" s="1"/>
  <c r="G967"/>
  <c r="G1297" s="1"/>
  <c r="G1627" s="1"/>
  <c r="D1028"/>
  <c r="E1028" s="1"/>
  <c r="E1024" i="2" s="1"/>
  <c r="D764" i="1"/>
  <c r="E764" s="1"/>
  <c r="E760" i="2" s="1"/>
  <c r="G1654" i="1"/>
  <c r="G806"/>
  <c r="G1136" s="1"/>
  <c r="G1466" s="1"/>
  <c r="G542"/>
  <c r="G1308"/>
  <c r="G1638" s="1"/>
  <c r="G914"/>
  <c r="G1244" s="1"/>
  <c r="G1574" s="1"/>
  <c r="G650"/>
  <c r="G980" s="1"/>
  <c r="G1310" s="1"/>
  <c r="G1640" s="1"/>
  <c r="G1241"/>
  <c r="G1571" s="1"/>
  <c r="G977"/>
  <c r="D538"/>
  <c r="D845"/>
  <c r="E845" s="1"/>
  <c r="E841" i="2" s="1"/>
  <c r="G583" i="1"/>
  <c r="D1025"/>
  <c r="E1025" s="1"/>
  <c r="E1021" i="2" s="1"/>
  <c r="D761" i="1"/>
  <c r="D703"/>
  <c r="E703" s="1"/>
  <c r="E699" i="2" s="1"/>
  <c r="D439" i="1"/>
  <c r="D748"/>
  <c r="D1252"/>
  <c r="G1154"/>
  <c r="G1484" s="1"/>
  <c r="G890"/>
  <c r="G1478"/>
  <c r="G1214"/>
  <c r="G867"/>
  <c r="G603"/>
  <c r="G1254"/>
  <c r="G1584" s="1"/>
  <c r="G990"/>
  <c r="D567"/>
  <c r="D762"/>
  <c r="G1247"/>
  <c r="G1577" s="1"/>
  <c r="G983"/>
  <c r="G1313" s="1"/>
  <c r="G451"/>
  <c r="G781" s="1"/>
  <c r="G1111" s="1"/>
  <c r="G1441" s="1"/>
  <c r="D494"/>
  <c r="D702"/>
  <c r="E702" s="1"/>
  <c r="E698" i="2" s="1"/>
  <c r="D438" i="1"/>
  <c r="D357"/>
  <c r="D631"/>
  <c r="E631" s="1"/>
  <c r="E627" i="2" s="1"/>
  <c r="G823" i="1"/>
  <c r="G559"/>
  <c r="G625" s="1"/>
  <c r="G1417"/>
  <c r="D647"/>
  <c r="D626"/>
  <c r="E626" s="1"/>
  <c r="E622" i="2" s="1"/>
  <c r="G984" i="1"/>
  <c r="G1314" s="1"/>
  <c r="G1644" s="1"/>
  <c r="D815"/>
  <c r="E815" s="1"/>
  <c r="E811" i="2" s="1"/>
  <c r="G1578" i="1"/>
  <c r="G1298"/>
  <c r="G1628" s="1"/>
  <c r="D562"/>
  <c r="E562" s="1"/>
  <c r="E558" i="2" s="1"/>
  <c r="G1251" i="1"/>
  <c r="G1581" s="1"/>
  <c r="G987"/>
  <c r="G1317" s="1"/>
  <c r="D498"/>
  <c r="D811"/>
  <c r="D944"/>
  <c r="G1299"/>
  <c r="G1629" s="1"/>
  <c r="G517" s="1"/>
  <c r="G847" s="1"/>
  <c r="G1177" s="1"/>
  <c r="G1507" s="1"/>
  <c r="D650"/>
  <c r="D830"/>
  <c r="D566"/>
  <c r="E566" s="1"/>
  <c r="E562" i="2" s="1"/>
  <c r="D740" i="1"/>
  <c r="D516"/>
  <c r="E516" s="1"/>
  <c r="E512" i="2" s="1"/>
  <c r="G1555" i="1"/>
  <c r="G1621" s="1"/>
  <c r="G429" s="1"/>
  <c r="G759" s="1"/>
  <c r="G1089" s="1"/>
  <c r="G1419" s="1"/>
  <c r="D879" l="1"/>
  <c r="E879" s="1"/>
  <c r="E875" i="2" s="1"/>
  <c r="D1472" i="1"/>
  <c r="E1472" s="1"/>
  <c r="E1468" i="2" s="1"/>
  <c r="E1253" i="1"/>
  <c r="E1249" i="2" s="1"/>
  <c r="D911" i="1"/>
  <c r="E911" s="1"/>
  <c r="E907" i="2" s="1"/>
  <c r="D1096" i="1"/>
  <c r="D1426" s="1"/>
  <c r="E1426" s="1"/>
  <c r="E1422" i="2" s="1"/>
  <c r="E1249" i="1"/>
  <c r="E1245" i="2" s="1"/>
  <c r="D717" i="1"/>
  <c r="E717" s="1"/>
  <c r="E713" i="2" s="1"/>
  <c r="D1351" i="1"/>
  <c r="E1351" s="1"/>
  <c r="E1347" i="2" s="1"/>
  <c r="D720" i="1"/>
  <c r="D1050" s="1"/>
  <c r="D1406"/>
  <c r="E1406" s="1"/>
  <c r="E1402" i="2" s="1"/>
  <c r="D875" i="1"/>
  <c r="D1205" s="1"/>
  <c r="D504"/>
  <c r="E504" s="1"/>
  <c r="E500" i="2" s="1"/>
  <c r="E438" i="1"/>
  <c r="E434" i="2" s="1"/>
  <c r="D437" i="1"/>
  <c r="E875"/>
  <c r="E871" i="2" s="1"/>
  <c r="D505" i="1"/>
  <c r="E439"/>
  <c r="E435" i="2" s="1"/>
  <c r="D898" i="1"/>
  <c r="E898" s="1"/>
  <c r="E894" i="2" s="1"/>
  <c r="E832" i="1"/>
  <c r="E828" i="2" s="1"/>
  <c r="D708" i="1"/>
  <c r="E708" s="1"/>
  <c r="E704" i="2" s="1"/>
  <c r="E378" i="1"/>
  <c r="E374" i="2" s="1"/>
  <c r="D1029" i="1"/>
  <c r="E1029" s="1"/>
  <c r="E1025" i="2" s="1"/>
  <c r="E699" i="1"/>
  <c r="E695" i="2" s="1"/>
  <c r="D985" i="1"/>
  <c r="E655"/>
  <c r="E651" i="2" s="1"/>
  <c r="D1538" i="1"/>
  <c r="E1538" s="1"/>
  <c r="E1534" i="2" s="1"/>
  <c r="E1208" i="1"/>
  <c r="E1204" i="2" s="1"/>
  <c r="D563" i="1"/>
  <c r="E563" s="1"/>
  <c r="E559" i="2" s="1"/>
  <c r="E497" i="1"/>
  <c r="E493" i="2" s="1"/>
  <c r="D1531" i="1"/>
  <c r="E1531" s="1"/>
  <c r="E1527" i="2" s="1"/>
  <c r="E1201" i="1"/>
  <c r="E1197" i="2" s="1"/>
  <c r="D371" i="1"/>
  <c r="E371" s="1"/>
  <c r="E367" i="2" s="1"/>
  <c r="E809" i="1"/>
  <c r="E805" i="2" s="1"/>
  <c r="D1334" i="1"/>
  <c r="E1334" s="1"/>
  <c r="E1330" i="2" s="1"/>
  <c r="E1004" i="1"/>
  <c r="E1000" i="2" s="1"/>
  <c r="D1530" i="1"/>
  <c r="E1530" s="1"/>
  <c r="E1526" i="2" s="1"/>
  <c r="E1200" i="1"/>
  <c r="E1196" i="2" s="1"/>
  <c r="D1274" i="1"/>
  <c r="E944"/>
  <c r="E940" i="2" s="1"/>
  <c r="D1078" i="1"/>
  <c r="E748"/>
  <c r="E744" i="2" s="1"/>
  <c r="D519" i="1"/>
  <c r="E519" s="1"/>
  <c r="E515" i="2" s="1"/>
  <c r="E453" i="1"/>
  <c r="E449" i="2" s="1"/>
  <c r="D1143" i="1"/>
  <c r="E813"/>
  <c r="E809" i="2" s="1"/>
  <c r="D440" i="1"/>
  <c r="E878"/>
  <c r="E874" i="2" s="1"/>
  <c r="D564" i="1"/>
  <c r="E564" s="1"/>
  <c r="E560" i="2" s="1"/>
  <c r="E498" i="1"/>
  <c r="E494" i="2" s="1"/>
  <c r="D560" i="1"/>
  <c r="E560" s="1"/>
  <c r="E556" i="2" s="1"/>
  <c r="E494" i="1"/>
  <c r="E490" i="2" s="1"/>
  <c r="D1582" i="1"/>
  <c r="E1582" s="1"/>
  <c r="E1578" i="2" s="1"/>
  <c r="E1252" i="1"/>
  <c r="E1248" i="2" s="1"/>
  <c r="D827" i="1"/>
  <c r="D1157" s="1"/>
  <c r="E761"/>
  <c r="E757" i="2" s="1"/>
  <c r="D604" i="1"/>
  <c r="E604" s="1"/>
  <c r="E600" i="2" s="1"/>
  <c r="E538" i="1"/>
  <c r="E534" i="2" s="1"/>
  <c r="D730" i="1"/>
  <c r="E400"/>
  <c r="E396" i="2" s="1"/>
  <c r="D1403" i="1"/>
  <c r="E1403" s="1"/>
  <c r="E1399" i="2" s="1"/>
  <c r="E1073" i="1"/>
  <c r="E1069" i="2" s="1"/>
  <c r="D1417" i="1"/>
  <c r="E1417" s="1"/>
  <c r="E1413" i="2" s="1"/>
  <c r="E1087" i="1"/>
  <c r="E1083" i="2" s="1"/>
  <c r="D1352" i="1"/>
  <c r="E1352" s="1"/>
  <c r="E1348" i="2" s="1"/>
  <c r="E1022" i="1"/>
  <c r="E1018" i="2" s="1"/>
  <c r="D823" i="1"/>
  <c r="E757"/>
  <c r="E753" i="2" s="1"/>
  <c r="D565" i="1"/>
  <c r="E565" s="1"/>
  <c r="E561" i="2" s="1"/>
  <c r="E499" i="1"/>
  <c r="E495" i="2" s="1"/>
  <c r="D1405" i="1"/>
  <c r="E1405" s="1"/>
  <c r="E1401" i="2" s="1"/>
  <c r="E1075" i="1"/>
  <c r="E1071" i="2" s="1"/>
  <c r="D559" i="1"/>
  <c r="E493"/>
  <c r="E489" i="2" s="1"/>
  <c r="D989" i="1"/>
  <c r="E659"/>
  <c r="E655" i="2" s="1"/>
  <c r="D1409" i="1"/>
  <c r="E1409" s="1"/>
  <c r="E1405" i="2" s="1"/>
  <c r="E1079" i="1"/>
  <c r="E1075" i="2" s="1"/>
  <c r="E940" i="1"/>
  <c r="E936" i="2" s="1"/>
  <c r="D1270" i="1"/>
  <c r="D616"/>
  <c r="E616" s="1"/>
  <c r="E612" i="2" s="1"/>
  <c r="E550" i="1"/>
  <c r="E546" i="2" s="1"/>
  <c r="D826" i="1"/>
  <c r="D1156" s="1"/>
  <c r="E1156" s="1"/>
  <c r="E1152" i="2" s="1"/>
  <c r="D1266" i="1"/>
  <c r="D392"/>
  <c r="E392" s="1"/>
  <c r="E388" i="2" s="1"/>
  <c r="E830" i="1"/>
  <c r="E826" i="2" s="1"/>
  <c r="D1597" i="1"/>
  <c r="E1597" s="1"/>
  <c r="E1593" i="2" s="1"/>
  <c r="E1267" i="1"/>
  <c r="E1263" i="2" s="1"/>
  <c r="D1357" i="1"/>
  <c r="E1357" s="1"/>
  <c r="E1353" i="2" s="1"/>
  <c r="E1027" i="1"/>
  <c r="E1023" i="2" s="1"/>
  <c r="D687" i="1"/>
  <c r="E687" s="1"/>
  <c r="E683" i="2" s="1"/>
  <c r="E357" i="1"/>
  <c r="E353" i="2" s="1"/>
  <c r="D1092" i="1"/>
  <c r="E762"/>
  <c r="E758" i="2" s="1"/>
  <c r="D1034" i="1"/>
  <c r="E704"/>
  <c r="E700" i="2" s="1"/>
  <c r="D1407" i="1"/>
  <c r="E1407" s="1"/>
  <c r="E1403" i="2" s="1"/>
  <c r="E1077" i="1"/>
  <c r="E1073" i="2" s="1"/>
  <c r="D802" i="1"/>
  <c r="E736"/>
  <c r="E732" i="2" s="1"/>
  <c r="D1360" i="1"/>
  <c r="E1360" s="1"/>
  <c r="E1356" i="2" s="1"/>
  <c r="E1030" i="1"/>
  <c r="E1026" i="2" s="1"/>
  <c r="D1070" i="1"/>
  <c r="E740"/>
  <c r="E736" i="2" s="1"/>
  <c r="D980" i="1"/>
  <c r="E980" s="1"/>
  <c r="E976" i="2" s="1"/>
  <c r="E650" i="1"/>
  <c r="E646" i="2" s="1"/>
  <c r="D877" i="1"/>
  <c r="E877" s="1"/>
  <c r="E873" i="2" s="1"/>
  <c r="E811" i="1"/>
  <c r="E807" i="2" s="1"/>
  <c r="D977" i="1"/>
  <c r="E977" s="1"/>
  <c r="E973" i="2" s="1"/>
  <c r="E647" i="1"/>
  <c r="E643" i="2" s="1"/>
  <c r="D633" i="1"/>
  <c r="E633" s="1"/>
  <c r="E629" i="2" s="1"/>
  <c r="E567" i="1"/>
  <c r="E563" i="2" s="1"/>
  <c r="D955" i="1"/>
  <c r="E955" s="1"/>
  <c r="E951" i="2" s="1"/>
  <c r="E625" i="1"/>
  <c r="E621" i="2" s="1"/>
  <c r="D1093" i="1"/>
  <c r="E1093" s="1"/>
  <c r="E1089" i="2" s="1"/>
  <c r="E763" i="1"/>
  <c r="E759" i="2" s="1"/>
  <c r="D945" i="1"/>
  <c r="E615"/>
  <c r="E611" i="2" s="1"/>
  <c r="D780" i="1"/>
  <c r="E780" s="1"/>
  <c r="E776" i="2" s="1"/>
  <c r="E450" i="1"/>
  <c r="E446" i="2" s="1"/>
  <c r="D1026" i="1"/>
  <c r="E696"/>
  <c r="E692" i="2" s="1"/>
  <c r="D1139" i="1"/>
  <c r="D716"/>
  <c r="D964"/>
  <c r="E964" s="1"/>
  <c r="E960" i="2" s="1"/>
  <c r="G1647" i="1"/>
  <c r="G605" s="1"/>
  <c r="G935" s="1"/>
  <c r="G1265" s="1"/>
  <c r="G1595" s="1"/>
  <c r="D846"/>
  <c r="E846" s="1"/>
  <c r="E842" i="2" s="1"/>
  <c r="D1066" i="1"/>
  <c r="E1066" s="1"/>
  <c r="E1062" i="2" s="1"/>
  <c r="D943" i="1"/>
  <c r="E943" s="1"/>
  <c r="E939" i="2" s="1"/>
  <c r="D441" i="1"/>
  <c r="E441" s="1"/>
  <c r="E437" i="2" s="1"/>
  <c r="D881" i="1"/>
  <c r="E881" s="1"/>
  <c r="E877" i="2" s="1"/>
  <c r="D1145" i="1"/>
  <c r="G889"/>
  <c r="G955" s="1"/>
  <c r="D1094"/>
  <c r="D1358"/>
  <c r="E1358" s="1"/>
  <c r="E1354" i="2" s="1"/>
  <c r="D1090" i="1"/>
  <c r="E1090" s="1"/>
  <c r="E1086" i="2" s="1"/>
  <c r="D1354" i="1"/>
  <c r="E1354" s="1"/>
  <c r="E1350" i="2" s="1"/>
  <c r="G1643" i="1"/>
  <c r="D1141"/>
  <c r="G1153"/>
  <c r="G1483" s="1"/>
  <c r="D868"/>
  <c r="D1091"/>
  <c r="D1355"/>
  <c r="E1355" s="1"/>
  <c r="E1351" i="2" s="1"/>
  <c r="D501" i="1"/>
  <c r="D765"/>
  <c r="D518"/>
  <c r="E518" s="1"/>
  <c r="E514" i="2" s="1"/>
  <c r="D782" i="1"/>
  <c r="D824"/>
  <c r="D1088"/>
  <c r="E1088" s="1"/>
  <c r="E1084" i="2" s="1"/>
  <c r="D892" i="1"/>
  <c r="D628"/>
  <c r="E628" s="1"/>
  <c r="E624" i="2" s="1"/>
  <c r="D1032" i="1"/>
  <c r="E1032" s="1"/>
  <c r="E1028" i="2" s="1"/>
  <c r="D768" i="1"/>
  <c r="E768" s="1"/>
  <c r="E764" i="2" s="1"/>
  <c r="D1162" i="1"/>
  <c r="G1197"/>
  <c r="G1527" s="1"/>
  <c r="G933"/>
  <c r="G1263" s="1"/>
  <c r="G1593" s="1"/>
  <c r="G1307"/>
  <c r="G1637" s="1"/>
  <c r="D1160"/>
  <c r="D1047"/>
  <c r="D783"/>
  <c r="D786"/>
  <c r="D522"/>
  <c r="G913"/>
  <c r="G1243" s="1"/>
  <c r="G1573" s="1"/>
  <c r="G649"/>
  <c r="D537"/>
  <c r="D393"/>
  <c r="D897"/>
  <c r="E897" s="1"/>
  <c r="E893" i="2" s="1"/>
  <c r="D1033" i="1"/>
  <c r="E1033" s="1"/>
  <c r="E1029" i="2" s="1"/>
  <c r="D769" i="1"/>
  <c r="G872"/>
  <c r="G608"/>
  <c r="D959"/>
  <c r="E959" s="1"/>
  <c r="E955" i="2" s="1"/>
  <c r="D356" i="1"/>
  <c r="D630"/>
  <c r="E630" s="1"/>
  <c r="E626" i="2" s="1"/>
  <c r="G1220" i="1"/>
  <c r="G1550" s="1"/>
  <c r="G956"/>
  <c r="D582"/>
  <c r="G495"/>
  <c r="D896"/>
  <c r="D632"/>
  <c r="D570"/>
  <c r="E570" s="1"/>
  <c r="E566" i="2" s="1"/>
  <c r="D828" i="1"/>
  <c r="G1320"/>
  <c r="G1650" s="1"/>
  <c r="G1544"/>
  <c r="G1280"/>
  <c r="D814"/>
  <c r="E814" s="1"/>
  <c r="E810" i="2" s="1"/>
  <c r="D1318" i="1"/>
  <c r="D1175"/>
  <c r="E1175" s="1"/>
  <c r="E1171" i="2" s="1"/>
  <c r="D635" i="1"/>
  <c r="E635" s="1"/>
  <c r="E631" i="2" s="1"/>
  <c r="D585" i="1"/>
  <c r="E585" s="1"/>
  <c r="E581" i="2" s="1"/>
  <c r="D1044" i="1"/>
  <c r="G1567"/>
  <c r="G1303"/>
  <c r="D941"/>
  <c r="E941" s="1"/>
  <c r="E937" i="2" s="1"/>
  <c r="D829" i="1"/>
  <c r="D890" l="1"/>
  <c r="E890" s="1"/>
  <c r="E886" i="2" s="1"/>
  <c r="E1096" i="1"/>
  <c r="E1092" i="2" s="1"/>
  <c r="E720" i="1"/>
  <c r="E716" i="2" s="1"/>
  <c r="D1209" i="1"/>
  <c r="D1539" s="1"/>
  <c r="E1539" s="1"/>
  <c r="E1535" i="2" s="1"/>
  <c r="D1207" i="1"/>
  <c r="E1207" s="1"/>
  <c r="E1203" i="2" s="1"/>
  <c r="D1423" i="1"/>
  <c r="E1423" s="1"/>
  <c r="E1419" i="2" s="1"/>
  <c r="D1017" i="1"/>
  <c r="D1347" s="1"/>
  <c r="E1347" s="1"/>
  <c r="E1343" i="2" s="1"/>
  <c r="D1359" i="1"/>
  <c r="E1359" s="1"/>
  <c r="E1355" i="2" s="1"/>
  <c r="D834" i="1"/>
  <c r="D1164" s="1"/>
  <c r="E1164" s="1"/>
  <c r="E1160" i="2" s="1"/>
  <c r="D1038" i="1"/>
  <c r="D1368" s="1"/>
  <c r="E1368" s="1"/>
  <c r="E1364" i="2" s="1"/>
  <c r="D701" i="1"/>
  <c r="D1031" s="1"/>
  <c r="D396"/>
  <c r="D962"/>
  <c r="E962" s="1"/>
  <c r="E958" i="2" s="1"/>
  <c r="E632" i="1"/>
  <c r="E628" i="2" s="1"/>
  <c r="D1377" i="1"/>
  <c r="E1377" s="1"/>
  <c r="E1373" i="2" s="1"/>
  <c r="E1047" i="1"/>
  <c r="E1043" i="2" s="1"/>
  <c r="D1095" i="1"/>
  <c r="E765"/>
  <c r="E761" i="2" s="1"/>
  <c r="D1198" i="1"/>
  <c r="E1198" s="1"/>
  <c r="E1194" i="2" s="1"/>
  <c r="E868" i="1"/>
  <c r="E864" i="2" s="1"/>
  <c r="D1424" i="1"/>
  <c r="E1424" s="1"/>
  <c r="E1420" i="2" s="1"/>
  <c r="E1094" i="1"/>
  <c r="E1090" i="2" s="1"/>
  <c r="D1356" i="1"/>
  <c r="E1356" s="1"/>
  <c r="E1352" i="2" s="1"/>
  <c r="E1026" i="1"/>
  <c r="E1022" i="2" s="1"/>
  <c r="D1275" i="1"/>
  <c r="E945"/>
  <c r="E941" i="2" s="1"/>
  <c r="D1422" i="1"/>
  <c r="E1422" s="1"/>
  <c r="E1418" i="2" s="1"/>
  <c r="E1092" i="1"/>
  <c r="E1088" i="2" s="1"/>
  <c r="D1380" i="1"/>
  <c r="E1380" s="1"/>
  <c r="E1376" i="2" s="1"/>
  <c r="E1050" i="1"/>
  <c r="E1046" i="2" s="1"/>
  <c r="D705" i="1"/>
  <c r="E1143"/>
  <c r="E1139" i="2" s="1"/>
  <c r="D571" i="1"/>
  <c r="D901" s="1"/>
  <c r="E901" s="1"/>
  <c r="E897" i="2" s="1"/>
  <c r="E505" i="1"/>
  <c r="E501" i="2" s="1"/>
  <c r="D1535" i="1"/>
  <c r="E1535" s="1"/>
  <c r="E1531" i="2" s="1"/>
  <c r="E1205" i="1"/>
  <c r="E1201" i="2" s="1"/>
  <c r="D345" i="1"/>
  <c r="E345" s="1"/>
  <c r="E341" i="2" s="1"/>
  <c r="E783" i="1"/>
  <c r="E779" i="2" s="1"/>
  <c r="D1421" i="1"/>
  <c r="E1421" s="1"/>
  <c r="E1417" i="2" s="1"/>
  <c r="E1091" i="1"/>
  <c r="E1087" i="2" s="1"/>
  <c r="D1596" i="1"/>
  <c r="E1596" s="1"/>
  <c r="E1592" i="2" s="1"/>
  <c r="E1266" i="1"/>
  <c r="E1262" i="2" s="1"/>
  <c r="E1270" i="1"/>
  <c r="E1266" i="2" s="1"/>
  <c r="D1600" i="1"/>
  <c r="E1600" s="1"/>
  <c r="E1596" i="2" s="1"/>
  <c r="D895" i="1"/>
  <c r="D1225" s="1"/>
  <c r="E829"/>
  <c r="E825" i="2" s="1"/>
  <c r="D894" i="1"/>
  <c r="E828"/>
  <c r="E824" i="2" s="1"/>
  <c r="D686" i="1"/>
  <c r="E356"/>
  <c r="E352" i="2" s="1"/>
  <c r="D835" i="1"/>
  <c r="E835" s="1"/>
  <c r="E831" i="2" s="1"/>
  <c r="E769" i="1"/>
  <c r="E765" i="2" s="1"/>
  <c r="D1487" i="1"/>
  <c r="E1487" s="1"/>
  <c r="E1483" i="2" s="1"/>
  <c r="E1157" i="1"/>
  <c r="E1153" i="2" s="1"/>
  <c r="D1112" i="1"/>
  <c r="E1112" s="1"/>
  <c r="E1108" i="2" s="1"/>
  <c r="E782" i="1"/>
  <c r="E778" i="2" s="1"/>
  <c r="D1471" i="1"/>
  <c r="E1471" s="1"/>
  <c r="E1467" i="2" s="1"/>
  <c r="E1141" i="1"/>
  <c r="E1137" i="2" s="1"/>
  <c r="D1475" i="1"/>
  <c r="E1475" s="1"/>
  <c r="E1471" i="2" s="1"/>
  <c r="E1145" i="1"/>
  <c r="E1141" i="2" s="1"/>
  <c r="D1469" i="1"/>
  <c r="E1469" s="1"/>
  <c r="E1465" i="2" s="1"/>
  <c r="E1139" i="1"/>
  <c r="E1135" i="2" s="1"/>
  <c r="D1400" i="1"/>
  <c r="E1400" s="1"/>
  <c r="E1396" i="2" s="1"/>
  <c r="E1070" i="1"/>
  <c r="E1066" i="2" s="1"/>
  <c r="D1132" i="1"/>
  <c r="E1132" s="1"/>
  <c r="E1128" i="2" s="1"/>
  <c r="E802" i="1"/>
  <c r="E798" i="2" s="1"/>
  <c r="D1364" i="1"/>
  <c r="E1364" s="1"/>
  <c r="E1360" i="2" s="1"/>
  <c r="E1034" i="1"/>
  <c r="E1030" i="2" s="1"/>
  <c r="E559" i="1"/>
  <c r="E555" i="2" s="1"/>
  <c r="D889" i="1"/>
  <c r="D1060"/>
  <c r="E730"/>
  <c r="E726" i="2" s="1"/>
  <c r="D389" i="1"/>
  <c r="E389" s="1"/>
  <c r="E385" i="2" s="1"/>
  <c r="E827" i="1"/>
  <c r="E823" i="2" s="1"/>
  <c r="D506" i="1"/>
  <c r="E440"/>
  <c r="E436" i="2" s="1"/>
  <c r="D770" i="1"/>
  <c r="D1604"/>
  <c r="E1604" s="1"/>
  <c r="E1600" i="2" s="1"/>
  <c r="E1274" i="1"/>
  <c r="E1270" i="2" s="1"/>
  <c r="D503" i="1"/>
  <c r="E437"/>
  <c r="E433" i="2" s="1"/>
  <c r="D1473" i="1"/>
  <c r="E1473" s="1"/>
  <c r="E1469" i="2" s="1"/>
  <c r="D1110" i="1"/>
  <c r="E1110" s="1"/>
  <c r="E1106" i="2" s="1"/>
  <c r="E1044" i="1"/>
  <c r="E1040" i="2" s="1"/>
  <c r="D588" i="1"/>
  <c r="E522"/>
  <c r="E518" i="2" s="1"/>
  <c r="D454" i="1"/>
  <c r="E454" s="1"/>
  <c r="E450" i="2" s="1"/>
  <c r="E892" i="1"/>
  <c r="E888" i="2" s="1"/>
  <c r="D388" i="1"/>
  <c r="E826"/>
  <c r="E822" i="2" s="1"/>
  <c r="E989" i="1"/>
  <c r="E985" i="2" s="1"/>
  <c r="D1319" i="1"/>
  <c r="D1153"/>
  <c r="E823"/>
  <c r="E819" i="2" s="1"/>
  <c r="D1408" i="1"/>
  <c r="E1408" s="1"/>
  <c r="E1404" i="2" s="1"/>
  <c r="E1078" i="1"/>
  <c r="E1074" i="2" s="1"/>
  <c r="E985" i="1"/>
  <c r="E981" i="2" s="1"/>
  <c r="D1315" i="1"/>
  <c r="D1648"/>
  <c r="E1648" s="1"/>
  <c r="E1644" i="2" s="1"/>
  <c r="E1318" i="1"/>
  <c r="E1314" i="2" s="1"/>
  <c r="D458" i="1"/>
  <c r="E896"/>
  <c r="E892" i="2" s="1"/>
  <c r="D648" i="1"/>
  <c r="E648" s="1"/>
  <c r="E644" i="2" s="1"/>
  <c r="E582" i="1"/>
  <c r="E578" i="2" s="1"/>
  <c r="D723" i="1"/>
  <c r="E393"/>
  <c r="E389" i="2" s="1"/>
  <c r="D603" i="1"/>
  <c r="E603" s="1"/>
  <c r="E599" i="2" s="1"/>
  <c r="E537" i="1"/>
  <c r="E533" i="2" s="1"/>
  <c r="D1116" i="1"/>
  <c r="E1116" s="1"/>
  <c r="E1112" i="2" s="1"/>
  <c r="E786" i="1"/>
  <c r="E782" i="2" s="1"/>
  <c r="D1490" i="1"/>
  <c r="E1490" s="1"/>
  <c r="E1486" i="2" s="1"/>
  <c r="E1160" i="1"/>
  <c r="E1156" i="2" s="1"/>
  <c r="D1228" i="1"/>
  <c r="E1162"/>
  <c r="E1158" i="2" s="1"/>
  <c r="D1154" i="1"/>
  <c r="E1154" s="1"/>
  <c r="E1150" i="2" s="1"/>
  <c r="E824" i="1"/>
  <c r="E820" i="2" s="1"/>
  <c r="D831" i="1"/>
  <c r="E501"/>
  <c r="E497" i="2" s="1"/>
  <c r="D1046" i="1"/>
  <c r="E716"/>
  <c r="E712" i="2" s="1"/>
  <c r="D893" i="1"/>
  <c r="D1223" s="1"/>
  <c r="D934"/>
  <c r="D1310"/>
  <c r="D1222"/>
  <c r="E1222" s="1"/>
  <c r="E1218" i="2" s="1"/>
  <c r="G1219" i="1"/>
  <c r="G1549" s="1"/>
  <c r="D1159"/>
  <c r="D880"/>
  <c r="E880" s="1"/>
  <c r="E876" i="2" s="1"/>
  <c r="D1144" i="1"/>
  <c r="D507"/>
  <c r="E507" s="1"/>
  <c r="E503" i="2" s="1"/>
  <c r="D771" i="1"/>
  <c r="D459"/>
  <c r="E459" s="1"/>
  <c r="E455" i="2" s="1"/>
  <c r="D1227" i="1"/>
  <c r="D1492"/>
  <c r="E1492" s="1"/>
  <c r="E1488" i="2" s="1"/>
  <c r="D1273" i="1"/>
  <c r="D339"/>
  <c r="E339" s="1"/>
  <c r="E335" i="2" s="1"/>
  <c r="D1098" i="1"/>
  <c r="E1098" s="1"/>
  <c r="E1094" i="2" s="1"/>
  <c r="D1362" i="1"/>
  <c r="D912"/>
  <c r="E912" s="1"/>
  <c r="E908" i="2" s="1"/>
  <c r="D584" i="1"/>
  <c r="D848"/>
  <c r="D947"/>
  <c r="E947" s="1"/>
  <c r="E943" i="2" s="1"/>
  <c r="D1211" i="1"/>
  <c r="E1211" s="1"/>
  <c r="E1207" i="2" s="1"/>
  <c r="G1286" i="1"/>
  <c r="G1616" s="1"/>
  <c r="D1158"/>
  <c r="E1158" s="1"/>
  <c r="E1154" i="2" s="1"/>
  <c r="D1099" i="1"/>
  <c r="D1363"/>
  <c r="E1363" s="1"/>
  <c r="E1359" i="2" s="1"/>
  <c r="D1420" i="1"/>
  <c r="D956"/>
  <c r="D767"/>
  <c r="D1271"/>
  <c r="D397"/>
  <c r="E397" s="1"/>
  <c r="E393" i="2" s="1"/>
  <c r="D722" i="1"/>
  <c r="D1226"/>
  <c r="D1285"/>
  <c r="E1285" s="1"/>
  <c r="E1281" i="2" s="1"/>
  <c r="D653" i="1"/>
  <c r="E653" s="1"/>
  <c r="E649" i="2" s="1"/>
  <c r="G825" i="1"/>
  <c r="G1155" s="1"/>
  <c r="G1485" s="1"/>
  <c r="G561"/>
  <c r="D849"/>
  <c r="G1633"/>
  <c r="D1505"/>
  <c r="E1505" s="1"/>
  <c r="E1501" i="2" s="1"/>
  <c r="D1241" i="1"/>
  <c r="E1241" s="1"/>
  <c r="E1237" i="2" s="1"/>
  <c r="G1610" i="1"/>
  <c r="D900"/>
  <c r="D636"/>
  <c r="G1202"/>
  <c r="G1532" s="1"/>
  <c r="G938"/>
  <c r="G1268" s="1"/>
  <c r="G979"/>
  <c r="G1309" s="1"/>
  <c r="G1639" s="1"/>
  <c r="D348"/>
  <c r="D852"/>
  <c r="D656"/>
  <c r="E656" s="1"/>
  <c r="E652" i="2" s="1"/>
  <c r="D963" i="1"/>
  <c r="D915"/>
  <c r="E915" s="1"/>
  <c r="E911" i="2" s="1"/>
  <c r="D651" i="1"/>
  <c r="D1294"/>
  <c r="D1176"/>
  <c r="E1176" s="1"/>
  <c r="E1172" i="2" s="1"/>
  <c r="D445" i="1"/>
  <c r="E445" s="1"/>
  <c r="E441" i="2" s="1"/>
  <c r="D657" i="1"/>
  <c r="E657" s="1"/>
  <c r="E653" i="2" s="1"/>
  <c r="G1285" i="1"/>
  <c r="G1615" s="1"/>
  <c r="D609"/>
  <c r="D1113"/>
  <c r="D660"/>
  <c r="E660" s="1"/>
  <c r="E656" i="2" s="1"/>
  <c r="D958" i="1"/>
  <c r="E1209" l="1"/>
  <c r="E1205" i="2" s="1"/>
  <c r="D1220" i="1"/>
  <c r="E1220" s="1"/>
  <c r="E1216" i="2" s="1"/>
  <c r="E1017" i="1"/>
  <c r="E1013" i="2" s="1"/>
  <c r="D1537" i="1"/>
  <c r="E1537" s="1"/>
  <c r="E1533" i="2" s="1"/>
  <c r="E834" i="1"/>
  <c r="E830" i="2" s="1"/>
  <c r="E701" i="1"/>
  <c r="E697" i="2" s="1"/>
  <c r="D1446" i="1"/>
  <c r="E1446" s="1"/>
  <c r="E1442" i="2" s="1"/>
  <c r="E1038" i="1"/>
  <c r="E1034" i="2" s="1"/>
  <c r="D1440" i="1"/>
  <c r="E1440" s="1"/>
  <c r="E1436" i="2" s="1"/>
  <c r="D784" i="1"/>
  <c r="D1114" s="1"/>
  <c r="E1114" s="1"/>
  <c r="E1110" i="2" s="1"/>
  <c r="D1443" i="1"/>
  <c r="E1443" s="1"/>
  <c r="E1439" i="2" s="1"/>
  <c r="E1113" i="1"/>
  <c r="E1109" i="2" s="1"/>
  <c r="D1601" i="1"/>
  <c r="E1601" s="1"/>
  <c r="E1597" i="2" s="1"/>
  <c r="E1271" i="1"/>
  <c r="E1267" i="2" s="1"/>
  <c r="E1153" i="1"/>
  <c r="E1149" i="2" s="1"/>
  <c r="D1483" i="1"/>
  <c r="E1483" s="1"/>
  <c r="E1479" i="2" s="1"/>
  <c r="D718" i="1"/>
  <c r="E388"/>
  <c r="E384" i="2" s="1"/>
  <c r="D654" i="1"/>
  <c r="E654" s="1"/>
  <c r="E650" i="2" s="1"/>
  <c r="E588" i="1"/>
  <c r="E584" i="2" s="1"/>
  <c r="D1100" i="1"/>
  <c r="E770"/>
  <c r="E766" i="2" s="1"/>
  <c r="D960" i="1"/>
  <c r="E894"/>
  <c r="E890" i="2" s="1"/>
  <c r="D726" i="1"/>
  <c r="E396"/>
  <c r="E392" i="2" s="1"/>
  <c r="D520" i="1"/>
  <c r="E958"/>
  <c r="E954" i="2" s="1"/>
  <c r="D981" i="1"/>
  <c r="E981" s="1"/>
  <c r="E977" i="2" s="1"/>
  <c r="E651" i="1"/>
  <c r="E647" i="2" s="1"/>
  <c r="D678" i="1"/>
  <c r="E348"/>
  <c r="E344" i="2" s="1"/>
  <c r="D462" i="1"/>
  <c r="D792" s="1"/>
  <c r="E792" s="1"/>
  <c r="E788" i="2" s="1"/>
  <c r="E900" i="1"/>
  <c r="E896" i="2" s="1"/>
  <c r="D1603" i="1"/>
  <c r="E1273"/>
  <c r="E1269" i="2" s="1"/>
  <c r="D1645" i="1"/>
  <c r="E1645" s="1"/>
  <c r="E1641" i="2" s="1"/>
  <c r="E1315" i="1"/>
  <c r="E1311" i="2" s="1"/>
  <c r="E889" i="1"/>
  <c r="E885" i="2" s="1"/>
  <c r="D1219" i="1"/>
  <c r="D1553"/>
  <c r="E1553" s="1"/>
  <c r="E1549" i="2" s="1"/>
  <c r="E1223" i="1"/>
  <c r="E1219" i="2" s="1"/>
  <c r="D1624" i="1"/>
  <c r="E1294"/>
  <c r="E1290" i="2" s="1"/>
  <c r="D1182" i="1"/>
  <c r="E852"/>
  <c r="E848" i="2" s="1"/>
  <c r="D966" i="1"/>
  <c r="E966" s="1"/>
  <c r="E962" i="2" s="1"/>
  <c r="E636" i="1"/>
  <c r="E632" i="2" s="1"/>
  <c r="D1286" i="1"/>
  <c r="E956"/>
  <c r="E952" i="2" s="1"/>
  <c r="D1486" i="1"/>
  <c r="E1486" s="1"/>
  <c r="E1482" i="2" s="1"/>
  <c r="E1420" i="1"/>
  <c r="E1416" i="2" s="1"/>
  <c r="D1178" i="1"/>
  <c r="E1178" s="1"/>
  <c r="E1174" i="2" s="1"/>
  <c r="E848" i="1"/>
  <c r="E844" i="2" s="1"/>
  <c r="D455" i="1"/>
  <c r="E893"/>
  <c r="E889" i="2" s="1"/>
  <c r="D1161" i="1"/>
  <c r="E831"/>
  <c r="E827" i="2" s="1"/>
  <c r="D1558" i="1"/>
  <c r="E1558" s="1"/>
  <c r="E1554" i="2" s="1"/>
  <c r="E1228" i="1"/>
  <c r="E1224" i="2" s="1"/>
  <c r="D1053" i="1"/>
  <c r="E723"/>
  <c r="E719" i="2" s="1"/>
  <c r="D524" i="1"/>
  <c r="E458"/>
  <c r="E454" i="2" s="1"/>
  <c r="D1361" i="1"/>
  <c r="E1361" s="1"/>
  <c r="E1357" i="2" s="1"/>
  <c r="E1031" i="1"/>
  <c r="E1027" i="2" s="1"/>
  <c r="D572" i="1"/>
  <c r="E572" s="1"/>
  <c r="E568" i="2" s="1"/>
  <c r="E506" i="1"/>
  <c r="E502" i="2" s="1"/>
  <c r="D836" i="1"/>
  <c r="E1060"/>
  <c r="E1056" i="2" s="1"/>
  <c r="D1390" i="1"/>
  <c r="E1390" s="1"/>
  <c r="E1386" i="2" s="1"/>
  <c r="D1016" i="1"/>
  <c r="E686"/>
  <c r="E682" i="2" s="1"/>
  <c r="D961" i="1"/>
  <c r="E895"/>
  <c r="E891" i="2" s="1"/>
  <c r="D637" i="1"/>
  <c r="E637" s="1"/>
  <c r="E633" i="2" s="1"/>
  <c r="E571" i="1"/>
  <c r="E567" i="2" s="1"/>
  <c r="E1275" i="1"/>
  <c r="E1271" i="2" s="1"/>
  <c r="D1605" i="1"/>
  <c r="E1605" s="1"/>
  <c r="E1601" i="2" s="1"/>
  <c r="D1425" i="1"/>
  <c r="E1425" s="1"/>
  <c r="E1421" i="2" s="1"/>
  <c r="E1095" i="1"/>
  <c r="E1091" i="2" s="1"/>
  <c r="D719" i="1"/>
  <c r="E719" s="1"/>
  <c r="E715" i="2" s="1"/>
  <c r="D1165" i="1"/>
  <c r="D978"/>
  <c r="E978" s="1"/>
  <c r="E974" i="2" s="1"/>
  <c r="D1556" i="1"/>
  <c r="E1556" s="1"/>
  <c r="E1552" i="2" s="1"/>
  <c r="E1226" i="1"/>
  <c r="E1222" i="2" s="1"/>
  <c r="D1429" i="1"/>
  <c r="E1429" s="1"/>
  <c r="E1425" i="2" s="1"/>
  <c r="E1099" i="1"/>
  <c r="E1095" i="2" s="1"/>
  <c r="D1555" i="1"/>
  <c r="E1555" s="1"/>
  <c r="E1551" i="2" s="1"/>
  <c r="E1225" i="1"/>
  <c r="E1221" i="2" s="1"/>
  <c r="D1640" i="1"/>
  <c r="E1640" s="1"/>
  <c r="E1636" i="2" s="1"/>
  <c r="E1310" i="1"/>
  <c r="E1306" i="2" s="1"/>
  <c r="E1046" i="1"/>
  <c r="E1042" i="2" s="1"/>
  <c r="D1376" i="1"/>
  <c r="E1376" s="1"/>
  <c r="E1372" i="2" s="1"/>
  <c r="D1035" i="1"/>
  <c r="E705"/>
  <c r="E701" i="2" s="1"/>
  <c r="D1293" i="1"/>
  <c r="E963"/>
  <c r="E959" i="2" s="1"/>
  <c r="D914" i="1"/>
  <c r="E914" s="1"/>
  <c r="E910" i="2" s="1"/>
  <c r="E584" i="1"/>
  <c r="E580" i="2" s="1"/>
  <c r="D1101" i="1"/>
  <c r="E1101" s="1"/>
  <c r="E1097" i="2" s="1"/>
  <c r="E771" i="1"/>
  <c r="E767" i="2" s="1"/>
  <c r="D489" i="1"/>
  <c r="D819" s="1"/>
  <c r="E819" s="1"/>
  <c r="E815" i="2" s="1"/>
  <c r="E609" i="1"/>
  <c r="E605" i="2" s="1"/>
  <c r="D411" i="1"/>
  <c r="E849"/>
  <c r="E845" i="2" s="1"/>
  <c r="D1052" i="1"/>
  <c r="E722"/>
  <c r="E718" i="2" s="1"/>
  <c r="D1097" i="1"/>
  <c r="E1097" s="1"/>
  <c r="E1093" i="2" s="1"/>
  <c r="E767" i="1"/>
  <c r="E763" i="2" s="1"/>
  <c r="D1428" i="1"/>
  <c r="E1428" s="1"/>
  <c r="E1424" i="2" s="1"/>
  <c r="E1362" i="1"/>
  <c r="E1358" i="2" s="1"/>
  <c r="D1557" i="1"/>
  <c r="E1557" s="1"/>
  <c r="E1553" i="2" s="1"/>
  <c r="E1227" i="1"/>
  <c r="E1223" i="2" s="1"/>
  <c r="D1474" i="1"/>
  <c r="E1474" s="1"/>
  <c r="E1470" i="2" s="1"/>
  <c r="E1144" i="1"/>
  <c r="E1140" i="2" s="1"/>
  <c r="D1489" i="1"/>
  <c r="E1489" s="1"/>
  <c r="E1485" i="2" s="1"/>
  <c r="E1159" i="1"/>
  <c r="E1155" i="2" s="1"/>
  <c r="D1264" i="1"/>
  <c r="E1264" s="1"/>
  <c r="E1260" i="2" s="1"/>
  <c r="E934" i="1"/>
  <c r="E930" i="2" s="1"/>
  <c r="D1649" i="1"/>
  <c r="E1649" s="1"/>
  <c r="E1645" i="2" s="1"/>
  <c r="E1319" i="1"/>
  <c r="E1315" i="2" s="1"/>
  <c r="D569" i="1"/>
  <c r="E503"/>
  <c r="E499" i="2" s="1"/>
  <c r="D1442" i="1"/>
  <c r="E1442" s="1"/>
  <c r="E1438" i="2" s="1"/>
  <c r="D1552" i="1"/>
  <c r="E1552" s="1"/>
  <c r="E1548" i="2" s="1"/>
  <c r="D1288" i="1"/>
  <c r="D1242"/>
  <c r="D525"/>
  <c r="D789"/>
  <c r="E789" s="1"/>
  <c r="E785" i="2" s="1"/>
  <c r="D946" i="1"/>
  <c r="E946" s="1"/>
  <c r="E942" i="2" s="1"/>
  <c r="D1210" i="1"/>
  <c r="E1210" s="1"/>
  <c r="E1206" i="2" s="1"/>
  <c r="G1598" i="1"/>
  <c r="D476"/>
  <c r="E476" s="1"/>
  <c r="E472" i="2" s="1"/>
  <c r="D1244" i="1"/>
  <c r="D1277"/>
  <c r="D1541"/>
  <c r="E1541" s="1"/>
  <c r="E1537" i="2" s="1"/>
  <c r="D573" i="1"/>
  <c r="D837"/>
  <c r="E837" s="1"/>
  <c r="E833" i="2" s="1"/>
  <c r="D1506" i="1"/>
  <c r="D1230"/>
  <c r="D1494"/>
  <c r="E1494" s="1"/>
  <c r="E1490" i="2" s="1"/>
  <c r="D1224" i="1"/>
  <c r="D1488"/>
  <c r="E1488" s="1"/>
  <c r="E1484" i="2" s="1"/>
  <c r="D405" i="1"/>
  <c r="E405" s="1"/>
  <c r="E401" i="2" s="1"/>
  <c r="D669" i="1"/>
  <c r="D1296"/>
  <c r="D775"/>
  <c r="E775" s="1"/>
  <c r="E771" i="2" s="1"/>
  <c r="D511" i="1"/>
  <c r="D414"/>
  <c r="D918"/>
  <c r="D727"/>
  <c r="E727" s="1"/>
  <c r="E723" i="2" s="1"/>
  <c r="D1231" i="1"/>
  <c r="G891"/>
  <c r="G1221" s="1"/>
  <c r="G1551" s="1"/>
  <c r="G627"/>
  <c r="D532"/>
  <c r="D788"/>
  <c r="D1292"/>
  <c r="D833"/>
  <c r="D495"/>
  <c r="E495" s="1"/>
  <c r="E491" i="2" s="1"/>
  <c r="D621" i="1"/>
  <c r="E621" s="1"/>
  <c r="E617" i="2" s="1"/>
  <c r="D463" i="1"/>
  <c r="D1289"/>
  <c r="D422"/>
  <c r="E422" s="1"/>
  <c r="E418" i="2" s="1"/>
  <c r="D652" i="1"/>
  <c r="D675"/>
  <c r="D1179"/>
  <c r="D643"/>
  <c r="E643" s="1"/>
  <c r="E639" i="2" s="1"/>
  <c r="D1571" i="1"/>
  <c r="E1571" s="1"/>
  <c r="E1567" i="2" s="1"/>
  <c r="D1307" i="1"/>
  <c r="D1615"/>
  <c r="E1615" s="1"/>
  <c r="E1611" i="2" s="1"/>
  <c r="D1049" i="1" l="1"/>
  <c r="E1049" s="1"/>
  <c r="E1045" i="2" s="1"/>
  <c r="E784" i="1"/>
  <c r="E780" i="2" s="1"/>
  <c r="D1508" i="1"/>
  <c r="E1508" s="1"/>
  <c r="E1504" i="2" s="1"/>
  <c r="D1626" i="1"/>
  <c r="E1626" s="1"/>
  <c r="E1622" i="2" s="1"/>
  <c r="E1296" i="1"/>
  <c r="E1292" i="2" s="1"/>
  <c r="D1607" i="1"/>
  <c r="E1277"/>
  <c r="E1273" i="2" s="1"/>
  <c r="D1574" i="1"/>
  <c r="E1574" s="1"/>
  <c r="E1570" i="2" s="1"/>
  <c r="E1244" i="1"/>
  <c r="E1240" i="2" s="1"/>
  <c r="D591" i="1"/>
  <c r="E525"/>
  <c r="E521" i="2" s="1"/>
  <c r="D477" i="1"/>
  <c r="E411"/>
  <c r="E407" i="2" s="1"/>
  <c r="D1365" i="1"/>
  <c r="E1365" s="1"/>
  <c r="E1361" i="2" s="1"/>
  <c r="E1035" i="1"/>
  <c r="E1031" i="2" s="1"/>
  <c r="D1495" i="1"/>
  <c r="E1495" s="1"/>
  <c r="E1491" i="2" s="1"/>
  <c r="E1165" i="1"/>
  <c r="E1161" i="2" s="1"/>
  <c r="D521" i="1"/>
  <c r="D851" s="1"/>
  <c r="E851" s="1"/>
  <c r="E847" i="2" s="1"/>
  <c r="E455" i="1"/>
  <c r="E451" i="2" s="1"/>
  <c r="D1008" i="1"/>
  <c r="E678"/>
  <c r="E674" i="2" s="1"/>
  <c r="E960" i="1"/>
  <c r="E956" i="2" s="1"/>
  <c r="D1290" i="1"/>
  <c r="D1637"/>
  <c r="E1637" s="1"/>
  <c r="E1633" i="2" s="1"/>
  <c r="E1307" i="1"/>
  <c r="E1303" i="2" s="1"/>
  <c r="D529" i="1"/>
  <c r="E463"/>
  <c r="E459" i="2" s="1"/>
  <c r="D1163" i="1"/>
  <c r="E1163" s="1"/>
  <c r="E1159" i="2" s="1"/>
  <c r="E833" i="1"/>
  <c r="E829" i="2" s="1"/>
  <c r="E1219" i="1"/>
  <c r="E1215" i="2" s="1"/>
  <c r="D1549" i="1"/>
  <c r="E1549" s="1"/>
  <c r="E1545" i="2" s="1"/>
  <c r="D982" i="1"/>
  <c r="E982" s="1"/>
  <c r="E978" i="2" s="1"/>
  <c r="E652" i="1"/>
  <c r="E648" i="2" s="1"/>
  <c r="D598" i="1"/>
  <c r="D928" s="1"/>
  <c r="E532"/>
  <c r="E528" i="2" s="1"/>
  <c r="D1561" i="1"/>
  <c r="E1561" s="1"/>
  <c r="E1557" i="2" s="1"/>
  <c r="E1231" i="1"/>
  <c r="E1227" i="2" s="1"/>
  <c r="D577" i="1"/>
  <c r="E577" s="1"/>
  <c r="E573" i="2" s="1"/>
  <c r="E511" i="1"/>
  <c r="E507" i="2" s="1"/>
  <c r="D999" i="1"/>
  <c r="E669"/>
  <c r="E665" i="2" s="1"/>
  <c r="D1572" i="1"/>
  <c r="E1506"/>
  <c r="E1502" i="2" s="1"/>
  <c r="D401" i="1"/>
  <c r="E573"/>
  <c r="E569" i="2" s="1"/>
  <c r="D1618" i="1"/>
  <c r="E1618" s="1"/>
  <c r="E1614" i="2" s="1"/>
  <c r="E1288" i="1"/>
  <c r="E1284" i="2" s="1"/>
  <c r="D379" i="1"/>
  <c r="E569"/>
  <c r="E565" i="2" s="1"/>
  <c r="D1382" i="1"/>
  <c r="E1382" s="1"/>
  <c r="E1378" i="2" s="1"/>
  <c r="E1052" i="1"/>
  <c r="E1048" i="2" s="1"/>
  <c r="D555" i="1"/>
  <c r="E555" s="1"/>
  <c r="E551" i="2" s="1"/>
  <c r="E489" i="1"/>
  <c r="E485" i="2" s="1"/>
  <c r="D1623" i="1"/>
  <c r="E1623" s="1"/>
  <c r="E1619" i="2" s="1"/>
  <c r="E1293" i="1"/>
  <c r="E1289" i="2" s="1"/>
  <c r="D902" i="1"/>
  <c r="E836"/>
  <c r="E832" i="2" s="1"/>
  <c r="D1166" i="1"/>
  <c r="E1053"/>
  <c r="E1049" i="2" s="1"/>
  <c r="D1383" i="1"/>
  <c r="E1383" s="1"/>
  <c r="E1379" i="2" s="1"/>
  <c r="D1491" i="1"/>
  <c r="E1491" s="1"/>
  <c r="E1487" i="2" s="1"/>
  <c r="E1161" i="1"/>
  <c r="E1157" i="2" s="1"/>
  <c r="D1616" i="1"/>
  <c r="E1616" s="1"/>
  <c r="E1612" i="2" s="1"/>
  <c r="E1286" i="1"/>
  <c r="E1282" i="2" s="1"/>
  <c r="D1512" i="1"/>
  <c r="E1512" s="1"/>
  <c r="E1508" i="2" s="1"/>
  <c r="E1182" i="1"/>
  <c r="E1178" i="2" s="1"/>
  <c r="D528" i="1"/>
  <c r="D858" s="1"/>
  <c r="E462"/>
  <c r="E458" i="2" s="1"/>
  <c r="D1056" i="1"/>
  <c r="E726"/>
  <c r="E722" i="2" s="1"/>
  <c r="E1100" i="1"/>
  <c r="E1096" i="2" s="1"/>
  <c r="D1430" i="1"/>
  <c r="E1430" s="1"/>
  <c r="E1426" i="2" s="1"/>
  <c r="D1048" i="1"/>
  <c r="E718"/>
  <c r="E714" i="2" s="1"/>
  <c r="D1431" i="1"/>
  <c r="E1431" s="1"/>
  <c r="E1427" i="2" s="1"/>
  <c r="D1427" i="1"/>
  <c r="E1427" s="1"/>
  <c r="E1423" i="2" s="1"/>
  <c r="D967" i="1"/>
  <c r="E967" s="1"/>
  <c r="E963" i="2" s="1"/>
  <c r="D1444" i="1"/>
  <c r="E1444" s="1"/>
  <c r="E1440" i="2" s="1"/>
  <c r="D1509" i="1"/>
  <c r="E1509" s="1"/>
  <c r="E1505" i="2" s="1"/>
  <c r="E1179" i="1"/>
  <c r="E1175" i="2" s="1"/>
  <c r="D1619" i="1"/>
  <c r="E1619" s="1"/>
  <c r="E1615" i="2" s="1"/>
  <c r="E1289" i="1"/>
  <c r="E1285" i="2" s="1"/>
  <c r="D1622" i="1"/>
  <c r="E1622" s="1"/>
  <c r="E1618" i="2" s="1"/>
  <c r="E1292" i="1"/>
  <c r="E1288" i="2" s="1"/>
  <c r="D1248" i="1"/>
  <c r="E918"/>
  <c r="E914" i="2" s="1"/>
  <c r="D1560" i="1"/>
  <c r="E1560" s="1"/>
  <c r="E1556" i="2" s="1"/>
  <c r="E1230" i="1"/>
  <c r="E1226" i="2" s="1"/>
  <c r="D590" i="1"/>
  <c r="E524"/>
  <c r="E520" i="2" s="1"/>
  <c r="D451" i="1"/>
  <c r="E1624"/>
  <c r="E1620" i="2" s="1"/>
  <c r="D341" i="1"/>
  <c r="E1603"/>
  <c r="E1599" i="2" s="1"/>
  <c r="D586" i="1"/>
  <c r="E586" s="1"/>
  <c r="E582" i="2" s="1"/>
  <c r="E520" i="1"/>
  <c r="E516" i="2" s="1"/>
  <c r="D1379" i="1"/>
  <c r="E1379" s="1"/>
  <c r="E1375" i="2" s="1"/>
  <c r="D1346" i="1"/>
  <c r="E1346" s="1"/>
  <c r="E1342" i="2" s="1"/>
  <c r="E1016" i="1"/>
  <c r="E1012" i="2" s="1"/>
  <c r="D1005" i="1"/>
  <c r="E675"/>
  <c r="E671" i="2" s="1"/>
  <c r="D1118" i="1"/>
  <c r="E788"/>
  <c r="E784" i="2" s="1"/>
  <c r="D744" i="1"/>
  <c r="E414"/>
  <c r="E410" i="2" s="1"/>
  <c r="D1554" i="1"/>
  <c r="E1554" s="1"/>
  <c r="E1550" i="2" s="1"/>
  <c r="E1224" i="1"/>
  <c r="E1220" i="2" s="1"/>
  <c r="D1308" i="1"/>
  <c r="E1308" s="1"/>
  <c r="E1304" i="2" s="1"/>
  <c r="E1242" i="1"/>
  <c r="E1238" i="2" s="1"/>
  <c r="D1291" i="1"/>
  <c r="E961"/>
  <c r="E957" i="2" s="1"/>
  <c r="D785" i="1"/>
  <c r="E785" s="1"/>
  <c r="E781" i="2" s="1"/>
  <c r="D850" i="1"/>
  <c r="D1180" s="1"/>
  <c r="D903"/>
  <c r="D1057"/>
  <c r="E1057" s="1"/>
  <c r="E1053" i="2" s="1"/>
  <c r="D471" i="1"/>
  <c r="E471" s="1"/>
  <c r="E467" i="2" s="1"/>
  <c r="D735" i="1"/>
  <c r="E735" s="1"/>
  <c r="E731" i="2" s="1"/>
  <c r="D542" i="1"/>
  <c r="D806"/>
  <c r="E806" s="1"/>
  <c r="E802" i="2" s="1"/>
  <c r="D855" i="1"/>
  <c r="D1119"/>
  <c r="D1276"/>
  <c r="E1276" s="1"/>
  <c r="E1272" i="2" s="1"/>
  <c r="D1540" i="1"/>
  <c r="E1540" s="1"/>
  <c r="E1536" i="2" s="1"/>
  <c r="D862" i="1"/>
  <c r="D1122"/>
  <c r="D1167"/>
  <c r="E1167" s="1"/>
  <c r="E1163" i="2" s="1"/>
  <c r="D741" i="1"/>
  <c r="D1245"/>
  <c r="E1245" s="1"/>
  <c r="E1241" i="2" s="1"/>
  <c r="D467" i="1"/>
  <c r="E467" s="1"/>
  <c r="E463" i="2" s="1"/>
  <c r="D661" i="1"/>
  <c r="E661" s="1"/>
  <c r="E657" i="2" s="1"/>
  <c r="D825" i="1"/>
  <c r="D899"/>
  <c r="D793"/>
  <c r="E793" s="1"/>
  <c r="E789" i="2" s="1"/>
  <c r="G957" i="1"/>
  <c r="G1287" s="1"/>
  <c r="G1617" s="1"/>
  <c r="D480"/>
  <c r="E480" s="1"/>
  <c r="E476" i="2" s="1"/>
  <c r="D984" i="1"/>
  <c r="D1105"/>
  <c r="E1105" s="1"/>
  <c r="E1101" i="2" s="1"/>
  <c r="D841" i="1"/>
  <c r="D752"/>
  <c r="D488"/>
  <c r="E488" s="1"/>
  <c r="E484" i="2" s="1"/>
  <c r="D854" i="1"/>
  <c r="D1493" l="1"/>
  <c r="D1115"/>
  <c r="E1115" s="1"/>
  <c r="E1111" i="2" s="1"/>
  <c r="D1314" i="1"/>
  <c r="E984"/>
  <c r="E980" i="2" s="1"/>
  <c r="D1155" i="1"/>
  <c r="E825"/>
  <c r="E821" i="2" s="1"/>
  <c r="D1452" i="1"/>
  <c r="E1452" s="1"/>
  <c r="E1448" i="2" s="1"/>
  <c r="E1122" i="1"/>
  <c r="E1118" i="2" s="1"/>
  <c r="D1330" i="1"/>
  <c r="E1493"/>
  <c r="E1489" i="2" s="1"/>
  <c r="D731" i="1"/>
  <c r="E401"/>
  <c r="E397" i="2" s="1"/>
  <c r="D1338" i="1"/>
  <c r="E1338" s="1"/>
  <c r="E1334" i="2" s="1"/>
  <c r="E1008" i="1"/>
  <c r="E1004" i="2" s="1"/>
  <c r="E928" i="1"/>
  <c r="E924" i="2" s="1"/>
  <c r="D965" i="1"/>
  <c r="E899"/>
  <c r="E895" i="2" s="1"/>
  <c r="D1192" i="1"/>
  <c r="E862"/>
  <c r="E858" i="2" s="1"/>
  <c r="D1185" i="1"/>
  <c r="E1185" s="1"/>
  <c r="E1181" i="2" s="1"/>
  <c r="E855" i="1"/>
  <c r="E851" i="2" s="1"/>
  <c r="D608" i="1"/>
  <c r="E608" s="1"/>
  <c r="E604" i="2" s="1"/>
  <c r="E542" i="1"/>
  <c r="E538" i="2" s="1"/>
  <c r="D1074" i="1"/>
  <c r="E744"/>
  <c r="E740" i="2" s="1"/>
  <c r="D1335" i="1"/>
  <c r="E1335" s="1"/>
  <c r="E1331" i="2" s="1"/>
  <c r="E1005" i="1"/>
  <c r="E1001" i="2" s="1"/>
  <c r="D671" i="1"/>
  <c r="E341"/>
  <c r="E337" i="2" s="1"/>
  <c r="D907" i="1"/>
  <c r="D1237" s="1"/>
  <c r="E841"/>
  <c r="E837" i="2" s="1"/>
  <c r="D1510" i="1"/>
  <c r="E1510" s="1"/>
  <c r="E1506" i="2" s="1"/>
  <c r="E1180" i="1"/>
  <c r="E1176" i="2" s="1"/>
  <c r="D1449" i="1"/>
  <c r="E1449" s="1"/>
  <c r="E1445" i="2" s="1"/>
  <c r="E1119" i="1"/>
  <c r="E1115" i="2" s="1"/>
  <c r="D916" i="1"/>
  <c r="E850"/>
  <c r="E846" i="2" s="1"/>
  <c r="E1166" i="1"/>
  <c r="E1162" i="2" s="1"/>
  <c r="D1496" i="1"/>
  <c r="E1496" s="1"/>
  <c r="E1492" i="2" s="1"/>
  <c r="D1638" i="1"/>
  <c r="E1638" s="1"/>
  <c r="E1634" i="2" s="1"/>
  <c r="E1572" i="1"/>
  <c r="E1568" i="2" s="1"/>
  <c r="D664" i="1"/>
  <c r="E664" s="1"/>
  <c r="E660" i="2" s="1"/>
  <c r="E598" i="1"/>
  <c r="E594" i="2" s="1"/>
  <c r="D595" i="1"/>
  <c r="E595" s="1"/>
  <c r="E591" i="2" s="1"/>
  <c r="E529" i="1"/>
  <c r="E525" i="2" s="1"/>
  <c r="D587" i="1"/>
  <c r="E521"/>
  <c r="E517" i="2" s="1"/>
  <c r="D921" i="1"/>
  <c r="D1251" s="1"/>
  <c r="E591"/>
  <c r="E587" i="2" s="1"/>
  <c r="D385" i="1"/>
  <c r="E1607"/>
  <c r="E1603" i="2" s="1"/>
  <c r="D1312" i="1"/>
  <c r="E1312" s="1"/>
  <c r="E1308" i="2" s="1"/>
  <c r="D1071" i="1"/>
  <c r="E741"/>
  <c r="E737" i="2" s="1"/>
  <c r="D968" i="1"/>
  <c r="E902"/>
  <c r="E898" i="2" s="1"/>
  <c r="D1232" i="1"/>
  <c r="D709"/>
  <c r="E379"/>
  <c r="E375" i="2" s="1"/>
  <c r="D1329" i="1"/>
  <c r="E1329" s="1"/>
  <c r="E1325" i="2" s="1"/>
  <c r="E999" i="1"/>
  <c r="E995" i="2" s="1"/>
  <c r="D543" i="1"/>
  <c r="E543" s="1"/>
  <c r="E539" i="2" s="1"/>
  <c r="E477" i="1"/>
  <c r="E473" i="2" s="1"/>
  <c r="D444" i="1"/>
  <c r="E590"/>
  <c r="E586" i="2" s="1"/>
  <c r="D1578" i="1"/>
  <c r="E1578" s="1"/>
  <c r="E1574" i="2" s="1"/>
  <c r="E1248" i="1"/>
  <c r="E1244" i="2" s="1"/>
  <c r="D1378" i="1"/>
  <c r="E1378" s="1"/>
  <c r="E1374" i="2" s="1"/>
  <c r="E1048" i="1"/>
  <c r="E1044" i="2" s="1"/>
  <c r="E1056" i="1"/>
  <c r="E1052" i="2" s="1"/>
  <c r="D1386" i="1"/>
  <c r="E1386" s="1"/>
  <c r="E1382" i="2" s="1"/>
  <c r="D920" i="1"/>
  <c r="E854"/>
  <c r="E850" i="2" s="1"/>
  <c r="D1082" i="1"/>
  <c r="E752"/>
  <c r="E748" i="2" s="1"/>
  <c r="D1188" i="1"/>
  <c r="E1188" s="1"/>
  <c r="E1184" i="2" s="1"/>
  <c r="E858" i="1"/>
  <c r="E854" i="2" s="1"/>
  <c r="D969" i="1"/>
  <c r="E903"/>
  <c r="E899" i="2" s="1"/>
  <c r="E1291" i="1"/>
  <c r="E1287" i="2" s="1"/>
  <c r="D1621" i="1"/>
  <c r="D1448"/>
  <c r="E1448" s="1"/>
  <c r="E1444" i="2" s="1"/>
  <c r="E1118" i="1"/>
  <c r="E1114" i="2" s="1"/>
  <c r="D781" i="1"/>
  <c r="E451"/>
  <c r="E447" i="2" s="1"/>
  <c r="D594" i="1"/>
  <c r="E528"/>
  <c r="E524" i="2" s="1"/>
  <c r="D1620" i="1"/>
  <c r="E1290"/>
  <c r="E1286" i="2" s="1"/>
  <c r="D1297" i="1"/>
  <c r="D1606"/>
  <c r="D1518"/>
  <c r="E1518" s="1"/>
  <c r="E1514" i="2" s="1"/>
  <c r="D1171" i="1"/>
  <c r="E1171" s="1"/>
  <c r="E1167" i="2" s="1"/>
  <c r="D1435" i="1"/>
  <c r="E1435" s="1"/>
  <c r="E1431" i="2" s="1"/>
  <c r="D546" i="1"/>
  <c r="D810"/>
  <c r="E810" s="1"/>
  <c r="E806" i="2" s="1"/>
  <c r="D859" i="1"/>
  <c r="E859" s="1"/>
  <c r="E855" i="2" s="1"/>
  <c r="D1123" i="1"/>
  <c r="E1123" s="1"/>
  <c r="E1119" i="2" s="1"/>
  <c r="D533" i="1"/>
  <c r="E533" s="1"/>
  <c r="E529" i="2" s="1"/>
  <c r="D797" i="1"/>
  <c r="D1184"/>
  <c r="E1184" s="1"/>
  <c r="E1180" i="2" s="1"/>
  <c r="D1181" i="1"/>
  <c r="E1181" s="1"/>
  <c r="E1177" i="2" s="1"/>
  <c r="D383" i="1"/>
  <c r="E383" s="1"/>
  <c r="E379" i="2" s="1"/>
  <c r="D1387" i="1"/>
  <c r="E1387" s="1"/>
  <c r="E1383" i="2" s="1"/>
  <c r="D1311" i="1"/>
  <c r="E1311" s="1"/>
  <c r="E1307" i="2" s="1"/>
  <c r="D1575" i="1"/>
  <c r="E1575" s="1"/>
  <c r="E1571" i="2" s="1"/>
  <c r="D1233" i="1"/>
  <c r="D1497"/>
  <c r="D872"/>
  <c r="E872" s="1"/>
  <c r="E868" i="2" s="1"/>
  <c r="D1136" i="1"/>
  <c r="D801"/>
  <c r="E801" s="1"/>
  <c r="E797" i="2" s="1"/>
  <c r="D1065" i="1"/>
  <c r="D1229"/>
  <c r="D1258"/>
  <c r="D576"/>
  <c r="D983"/>
  <c r="E983" s="1"/>
  <c r="E979" i="2" s="1"/>
  <c r="D818" i="1"/>
  <c r="E818" s="1"/>
  <c r="E814" i="2" s="1"/>
  <c r="D554" i="1"/>
  <c r="D885"/>
  <c r="D807"/>
  <c r="D990"/>
  <c r="D665"/>
  <c r="E665" s="1"/>
  <c r="E661" i="2" s="1"/>
  <c r="D1445" i="1" l="1"/>
  <c r="E1445" s="1"/>
  <c r="E1441" i="2" s="1"/>
  <c r="D1501" i="1"/>
  <c r="E1501" s="1"/>
  <c r="E1497" i="2" s="1"/>
  <c r="D925" i="1"/>
  <c r="E925" s="1"/>
  <c r="E921" i="2" s="1"/>
  <c r="D1515" i="1"/>
  <c r="E1515" s="1"/>
  <c r="E1511" i="2" s="1"/>
  <c r="D1581" i="1"/>
  <c r="E1581" s="1"/>
  <c r="E1577" i="2" s="1"/>
  <c r="E1251" i="1"/>
  <c r="E1247" i="2" s="1"/>
  <c r="D1466" i="1"/>
  <c r="E1466" s="1"/>
  <c r="E1462" i="2" s="1"/>
  <c r="E1136" i="1"/>
  <c r="E1132" i="2" s="1"/>
  <c r="D612" i="1"/>
  <c r="E612" s="1"/>
  <c r="E608" i="2" s="1"/>
  <c r="E546" i="1"/>
  <c r="E542" i="2" s="1"/>
  <c r="D363" i="1"/>
  <c r="E1606"/>
  <c r="E1602" i="2" s="1"/>
  <c r="D1559" i="1"/>
  <c r="E1559" s="1"/>
  <c r="E1555" i="2" s="1"/>
  <c r="E1229" i="1"/>
  <c r="E1225" i="2" s="1"/>
  <c r="D407" i="1"/>
  <c r="E1620"/>
  <c r="E1616" i="2" s="1"/>
  <c r="D1404" i="1"/>
  <c r="E1404" s="1"/>
  <c r="E1400" i="2" s="1"/>
  <c r="E1074" i="1"/>
  <c r="E1070" i="2" s="1"/>
  <c r="D1295" i="1"/>
  <c r="E965"/>
  <c r="E961" i="2" s="1"/>
  <c r="D1396" i="1"/>
  <c r="E1330"/>
  <c r="E1326" i="2" s="1"/>
  <c r="D1485" i="1"/>
  <c r="E1485" s="1"/>
  <c r="E1481" i="2" s="1"/>
  <c r="E1155" i="1"/>
  <c r="E1151" i="2" s="1"/>
  <c r="D1395" i="1"/>
  <c r="E1395" s="1"/>
  <c r="E1391" i="2" s="1"/>
  <c r="E1065" i="1"/>
  <c r="E1061" i="2" s="1"/>
  <c r="D1374" i="1"/>
  <c r="E1374" s="1"/>
  <c r="E1370" i="2" s="1"/>
  <c r="E1497" i="1"/>
  <c r="E1493" i="2" s="1"/>
  <c r="D951" i="1"/>
  <c r="E951" s="1"/>
  <c r="E947" i="2" s="1"/>
  <c r="E885" i="1"/>
  <c r="E881" i="2" s="1"/>
  <c r="D1567" i="1"/>
  <c r="E1567" s="1"/>
  <c r="E1563" i="2" s="1"/>
  <c r="E1237" i="1"/>
  <c r="E1233" i="2" s="1"/>
  <c r="D1627" i="1"/>
  <c r="E1627" s="1"/>
  <c r="E1623" i="2" s="1"/>
  <c r="E1297" i="1"/>
  <c r="E1293" i="2" s="1"/>
  <c r="D466" i="1"/>
  <c r="E594"/>
  <c r="E590" i="2" s="1"/>
  <c r="D924" i="1"/>
  <c r="D1299"/>
  <c r="E969"/>
  <c r="E965" i="2" s="1"/>
  <c r="D1412" i="1"/>
  <c r="E1412" s="1"/>
  <c r="E1408" i="2" s="1"/>
  <c r="E1082" i="1"/>
  <c r="E1078" i="2" s="1"/>
  <c r="D1039" i="1"/>
  <c r="E709"/>
  <c r="E705" i="2" s="1"/>
  <c r="D715" i="1"/>
  <c r="E385"/>
  <c r="E381" i="2" s="1"/>
  <c r="D423" i="1"/>
  <c r="E587"/>
  <c r="E583" i="2" s="1"/>
  <c r="D917" i="1"/>
  <c r="D973"/>
  <c r="E907"/>
  <c r="E903" i="2" s="1"/>
  <c r="D1522" i="1"/>
  <c r="E1522" s="1"/>
  <c r="E1518" i="2" s="1"/>
  <c r="E1192" i="1"/>
  <c r="E1188" i="2" s="1"/>
  <c r="D1061" i="1"/>
  <c r="E731"/>
  <c r="E727" i="2" s="1"/>
  <c r="D1644" i="1"/>
  <c r="E1644" s="1"/>
  <c r="E1640" i="2" s="1"/>
  <c r="E1314" i="1"/>
  <c r="E1310" i="2" s="1"/>
  <c r="D1642" i="1"/>
  <c r="D994"/>
  <c r="D1137"/>
  <c r="E807"/>
  <c r="E803" i="2" s="1"/>
  <c r="D1588" i="1"/>
  <c r="E1588" s="1"/>
  <c r="E1584" i="2" s="1"/>
  <c r="E1258" i="1"/>
  <c r="E1254" i="2" s="1"/>
  <c r="D1298" i="1"/>
  <c r="E1298" s="1"/>
  <c r="E1294" i="2" s="1"/>
  <c r="E968" i="1"/>
  <c r="E964" i="2" s="1"/>
  <c r="D642" i="1"/>
  <c r="E642" s="1"/>
  <c r="E638" i="2" s="1"/>
  <c r="E576" i="1"/>
  <c r="E572" i="2" s="1"/>
  <c r="D1563" i="1"/>
  <c r="E1563" s="1"/>
  <c r="E1559" i="2" s="1"/>
  <c r="E1233" i="1"/>
  <c r="E1229" i="2" s="1"/>
  <c r="D1127" i="1"/>
  <c r="E797"/>
  <c r="E793" i="2" s="1"/>
  <c r="D1111" i="1"/>
  <c r="E1111" s="1"/>
  <c r="E1107" i="2" s="1"/>
  <c r="E781" i="1"/>
  <c r="E777" i="2" s="1"/>
  <c r="D986" i="1"/>
  <c r="E920"/>
  <c r="E916" i="2" s="1"/>
  <c r="D774" i="1"/>
  <c r="E444"/>
  <c r="E440" i="2" s="1"/>
  <c r="D987" i="1"/>
  <c r="E921"/>
  <c r="E917" i="2" s="1"/>
  <c r="D1246" i="1"/>
  <c r="E916"/>
  <c r="E912" i="2" s="1"/>
  <c r="D1001" i="1"/>
  <c r="E671"/>
  <c r="E667" i="2" s="1"/>
  <c r="D1320" i="1"/>
  <c r="E990"/>
  <c r="E986" i="2" s="1"/>
  <c r="D620" i="1"/>
  <c r="E620" s="1"/>
  <c r="E616" i="2" s="1"/>
  <c r="E554" i="1"/>
  <c r="E550" i="2" s="1"/>
  <c r="D429" i="1"/>
  <c r="E1621"/>
  <c r="E1617" i="2" s="1"/>
  <c r="D1562" i="1"/>
  <c r="E1232"/>
  <c r="E1228" i="2" s="1"/>
  <c r="D1401" i="1"/>
  <c r="E1401" s="1"/>
  <c r="E1397" i="2" s="1"/>
  <c r="E1071" i="1"/>
  <c r="E1067" i="2" s="1"/>
  <c r="D1511" i="1"/>
  <c r="D1641"/>
  <c r="E1641" s="1"/>
  <c r="E1637" i="2" s="1"/>
  <c r="D449" i="1"/>
  <c r="D713"/>
  <c r="D876"/>
  <c r="E876" s="1"/>
  <c r="E872" i="2" s="1"/>
  <c r="D1140" i="1"/>
  <c r="E1140" s="1"/>
  <c r="E1136" i="2" s="1"/>
  <c r="D599" i="1"/>
  <c r="D863"/>
  <c r="D510"/>
  <c r="D867"/>
  <c r="E867" s="1"/>
  <c r="E863" i="2" s="1"/>
  <c r="D1131" i="1"/>
  <c r="D1189"/>
  <c r="D1453"/>
  <c r="E1453" s="1"/>
  <c r="E1449" i="2" s="1"/>
  <c r="D938" i="1"/>
  <c r="E938" s="1"/>
  <c r="E934" i="2" s="1"/>
  <c r="D1202" i="1"/>
  <c r="E1202" s="1"/>
  <c r="E1198" i="2" s="1"/>
  <c r="D1250" i="1"/>
  <c r="E1250" s="1"/>
  <c r="E1246" i="2" s="1"/>
  <c r="D1514" i="1"/>
  <c r="E1514" s="1"/>
  <c r="E1510" i="2" s="1"/>
  <c r="D605" i="1"/>
  <c r="D1255"/>
  <c r="E1255" s="1"/>
  <c r="E1251" i="2" s="1"/>
  <c r="D991" i="1"/>
  <c r="E991" s="1"/>
  <c r="E987" i="2" s="1"/>
  <c r="D1313" i="1"/>
  <c r="E1313" s="1"/>
  <c r="E1309" i="2" s="1"/>
  <c r="D873" i="1"/>
  <c r="D1148"/>
  <c r="D884"/>
  <c r="E884" s="1"/>
  <c r="E880" i="2" s="1"/>
  <c r="D1461" i="1" l="1"/>
  <c r="E1461" s="1"/>
  <c r="E1457" i="2" s="1"/>
  <c r="E1131" i="1"/>
  <c r="E1127" i="2" s="1"/>
  <c r="D1193" i="1"/>
  <c r="E863"/>
  <c r="E859" i="2" s="1"/>
  <c r="D1043" i="1"/>
  <c r="E713"/>
  <c r="E709" i="2" s="1"/>
  <c r="D1418" i="1"/>
  <c r="E1511"/>
  <c r="E1507" i="2" s="1"/>
  <c r="D1628" i="1"/>
  <c r="E1628" s="1"/>
  <c r="E1624" i="2" s="1"/>
  <c r="E1562" i="1"/>
  <c r="E1558" i="2" s="1"/>
  <c r="D1462" i="1"/>
  <c r="E1396"/>
  <c r="E1392" i="2" s="1"/>
  <c r="D1519" i="1"/>
  <c r="E1519" s="1"/>
  <c r="E1515" i="2" s="1"/>
  <c r="E1189" i="1"/>
  <c r="E1185" i="2" s="1"/>
  <c r="D840" i="1"/>
  <c r="E840" s="1"/>
  <c r="E836" i="2" s="1"/>
  <c r="E510" i="1"/>
  <c r="E506" i="2" s="1"/>
  <c r="E994" i="1"/>
  <c r="E990" i="2" s="1"/>
  <c r="D1324" i="1"/>
  <c r="D939"/>
  <c r="E873"/>
  <c r="E869" i="2" s="1"/>
  <c r="E429" i="1"/>
  <c r="E425" i="2" s="1"/>
  <c r="D759" i="1"/>
  <c r="D1650"/>
  <c r="E1650" s="1"/>
  <c r="E1646" i="2" s="1"/>
  <c r="E1320" i="1"/>
  <c r="E1316" i="2" s="1"/>
  <c r="E1246" i="1"/>
  <c r="E1242" i="2" s="1"/>
  <c r="D1576" i="1"/>
  <c r="E1576" s="1"/>
  <c r="E1572" i="2" s="1"/>
  <c r="D1104" i="1"/>
  <c r="E774"/>
  <c r="E770" i="2" s="1"/>
  <c r="D1467" i="1"/>
  <c r="E1467" s="1"/>
  <c r="E1463" i="2" s="1"/>
  <c r="E1137" i="1"/>
  <c r="E1133" i="2" s="1"/>
  <c r="E466" i="1"/>
  <c r="E462" i="2" s="1"/>
  <c r="D796" i="1"/>
  <c r="D1625"/>
  <c r="E1295"/>
  <c r="E1291" i="2" s="1"/>
  <c r="D737" i="1"/>
  <c r="E407"/>
  <c r="E403" i="2" s="1"/>
  <c r="D693" i="1"/>
  <c r="E363"/>
  <c r="E359" i="2" s="1"/>
  <c r="D942" i="1"/>
  <c r="D935"/>
  <c r="E605"/>
  <c r="E601" i="2" s="1"/>
  <c r="D1331" i="1"/>
  <c r="E1331" s="1"/>
  <c r="E1327" i="2" s="1"/>
  <c r="E1001" i="1"/>
  <c r="E997" i="2" s="1"/>
  <c r="D1317" i="1"/>
  <c r="E987"/>
  <c r="E983" i="2" s="1"/>
  <c r="D1316" i="1"/>
  <c r="E986"/>
  <c r="E982" i="2" s="1"/>
  <c r="D1457" i="1"/>
  <c r="E1457" s="1"/>
  <c r="E1453" i="2" s="1"/>
  <c r="E1127" i="1"/>
  <c r="E1123" i="2" s="1"/>
  <c r="D539" i="1"/>
  <c r="E1642"/>
  <c r="E1638" i="2" s="1"/>
  <c r="E1061" i="1"/>
  <c r="E1057" i="2" s="1"/>
  <c r="D1391" i="1"/>
  <c r="E1391" s="1"/>
  <c r="E1387" i="2" s="1"/>
  <c r="E973" i="1"/>
  <c r="E969" i="2" s="1"/>
  <c r="D1303" i="1"/>
  <c r="E924"/>
  <c r="E920" i="2" s="1"/>
  <c r="D1254" i="1"/>
  <c r="D753"/>
  <c r="E423"/>
  <c r="E419" i="2" s="1"/>
  <c r="D1369" i="1"/>
  <c r="E1369" s="1"/>
  <c r="E1365" i="2" s="1"/>
  <c r="E1039" i="1"/>
  <c r="E1035" i="2" s="1"/>
  <c r="D1629" i="1"/>
  <c r="E1299"/>
  <c r="E1295" i="2" s="1"/>
  <c r="D1478" i="1"/>
  <c r="E1478" s="1"/>
  <c r="E1474" i="2" s="1"/>
  <c r="E1148" i="1"/>
  <c r="E1144" i="2" s="1"/>
  <c r="D929" i="1"/>
  <c r="E929" s="1"/>
  <c r="E925" i="2" s="1"/>
  <c r="E599" i="1"/>
  <c r="E595" i="2" s="1"/>
  <c r="D779" i="1"/>
  <c r="E449"/>
  <c r="E445" i="2" s="1"/>
  <c r="E917" i="1"/>
  <c r="E913" i="2" s="1"/>
  <c r="D1247" i="1"/>
  <c r="D1045"/>
  <c r="E715"/>
  <c r="E711" i="2" s="1"/>
  <c r="D1268" i="1"/>
  <c r="D1203"/>
  <c r="D995"/>
  <c r="D906"/>
  <c r="E906" s="1"/>
  <c r="E902" i="2" s="1"/>
  <c r="D1170" i="1"/>
  <c r="D1580"/>
  <c r="E1580" s="1"/>
  <c r="E1576" i="2" s="1"/>
  <c r="D933" i="1"/>
  <c r="D1197"/>
  <c r="D1532"/>
  <c r="E1532" s="1"/>
  <c r="E1528" i="2" s="1"/>
  <c r="D1206" i="1"/>
  <c r="D1470"/>
  <c r="E1470" s="1"/>
  <c r="E1466" i="2" s="1"/>
  <c r="D1585" i="1"/>
  <c r="E1585" s="1"/>
  <c r="E1581" i="2" s="1"/>
  <c r="D1321" i="1"/>
  <c r="D1149"/>
  <c r="E1149" s="1"/>
  <c r="E1145" i="2" s="1"/>
  <c r="D1214" i="1"/>
  <c r="D950"/>
  <c r="D1643"/>
  <c r="D1598" l="1"/>
  <c r="E1598" s="1"/>
  <c r="E1594" i="2" s="1"/>
  <c r="E1268" i="1"/>
  <c r="E1264" i="2" s="1"/>
  <c r="E539" i="1"/>
  <c r="E535" i="2" s="1"/>
  <c r="D869" i="1"/>
  <c r="D1646"/>
  <c r="E1316"/>
  <c r="E1312" i="2" s="1"/>
  <c r="D1089" i="1"/>
  <c r="E759"/>
  <c r="E755" i="2" s="1"/>
  <c r="D1280" i="1"/>
  <c r="E1280" s="1"/>
  <c r="E1276" i="2" s="1"/>
  <c r="E950" i="1"/>
  <c r="E946" i="2" s="1"/>
  <c r="D1651" i="1"/>
  <c r="E1321"/>
  <c r="E1317" i="2" s="1"/>
  <c r="E1303" i="1"/>
  <c r="E1299" i="2" s="1"/>
  <c r="D1633" i="1"/>
  <c r="E1633" s="1"/>
  <c r="E1629" i="2" s="1"/>
  <c r="D1272" i="1"/>
  <c r="E942"/>
  <c r="E938" i="2" s="1"/>
  <c r="D1067" i="1"/>
  <c r="E737"/>
  <c r="E733" i="2" s="1"/>
  <c r="D1263" i="1"/>
  <c r="E933"/>
  <c r="E929" i="2" s="1"/>
  <c r="D1584" i="1"/>
  <c r="E1584" s="1"/>
  <c r="E1580" i="2" s="1"/>
  <c r="E1254" i="1"/>
  <c r="E1250" i="2" s="1"/>
  <c r="D1023" i="1"/>
  <c r="E693"/>
  <c r="E689" i="2" s="1"/>
  <c r="D473" i="1"/>
  <c r="E1625"/>
  <c r="E1621" i="2" s="1"/>
  <c r="D1373" i="1"/>
  <c r="E1373" s="1"/>
  <c r="E1369" i="2" s="1"/>
  <c r="E1043" i="1"/>
  <c r="E1039" i="2" s="1"/>
  <c r="D1259" i="1"/>
  <c r="D1544"/>
  <c r="E1544" s="1"/>
  <c r="E1540" i="2" s="1"/>
  <c r="E1214" i="1"/>
  <c r="E1210" i="2" s="1"/>
  <c r="D1527" i="1"/>
  <c r="E1527" s="1"/>
  <c r="E1523" i="2" s="1"/>
  <c r="E1197" i="1"/>
  <c r="E1193" i="2" s="1"/>
  <c r="D517" i="1"/>
  <c r="E1629"/>
  <c r="E1625" i="2" s="1"/>
  <c r="E753" i="1"/>
  <c r="E749" i="2" s="1"/>
  <c r="D1083" i="1"/>
  <c r="D1654"/>
  <c r="E1654" s="1"/>
  <c r="E1650" i="2" s="1"/>
  <c r="E1324" i="1"/>
  <c r="E1320" i="2" s="1"/>
  <c r="D1500" i="1"/>
  <c r="E1500" s="1"/>
  <c r="E1496" i="2" s="1"/>
  <c r="E1170" i="1"/>
  <c r="E1166" i="2" s="1"/>
  <c r="D1533" i="1"/>
  <c r="E1533" s="1"/>
  <c r="E1529" i="2" s="1"/>
  <c r="E1203" i="1"/>
  <c r="E1199" i="2" s="1"/>
  <c r="E1247" i="1"/>
  <c r="E1243" i="2" s="1"/>
  <c r="D1577" i="1"/>
  <c r="E1577" s="1"/>
  <c r="E1573" i="2" s="1"/>
  <c r="E1104" i="1"/>
  <c r="E1100" i="2" s="1"/>
  <c r="D1434" i="1"/>
  <c r="E1434" s="1"/>
  <c r="E1430" i="2" s="1"/>
  <c r="D1269" i="1"/>
  <c r="E939"/>
  <c r="E935" i="2" s="1"/>
  <c r="D1528" i="1"/>
  <c r="E1462"/>
  <c r="E1458" i="2" s="1"/>
  <c r="D1484" i="1"/>
  <c r="E1418"/>
  <c r="E1414" i="2" s="1"/>
  <c r="D1523" i="1"/>
  <c r="E1523" s="1"/>
  <c r="E1519" i="2" s="1"/>
  <c r="E1193" i="1"/>
  <c r="E1189" i="2" s="1"/>
  <c r="D561" i="1"/>
  <c r="E561" s="1"/>
  <c r="E557" i="2" s="1"/>
  <c r="E1643" i="1"/>
  <c r="E1639" i="2" s="1"/>
  <c r="D1536" i="1"/>
  <c r="E1536" s="1"/>
  <c r="E1532" i="2" s="1"/>
  <c r="E1206" i="1"/>
  <c r="E1202" i="2" s="1"/>
  <c r="D1325" i="1"/>
  <c r="E1325" s="1"/>
  <c r="E1321" i="2" s="1"/>
  <c r="E995" i="1"/>
  <c r="E991" i="2" s="1"/>
  <c r="D1375" i="1"/>
  <c r="E1045"/>
  <c r="E1041" i="2" s="1"/>
  <c r="D1109" i="1"/>
  <c r="E779"/>
  <c r="E775" i="2" s="1"/>
  <c r="D1647" i="1"/>
  <c r="E1647" s="1"/>
  <c r="E1643" i="2" s="1"/>
  <c r="E1317" i="1"/>
  <c r="E1313" i="2" s="1"/>
  <c r="D1265" i="1"/>
  <c r="E935"/>
  <c r="E931" i="2" s="1"/>
  <c r="E796" i="1"/>
  <c r="E792" i="2" s="1"/>
  <c r="D1126" i="1"/>
  <c r="D1655"/>
  <c r="E1655" s="1"/>
  <c r="E1651" i="2" s="1"/>
  <c r="D1610" i="1"/>
  <c r="E1610" s="1"/>
  <c r="E1606" i="2" s="1"/>
  <c r="D972" i="1"/>
  <c r="D1236"/>
  <c r="D891"/>
  <c r="D627"/>
  <c r="D1479"/>
  <c r="E1479" s="1"/>
  <c r="E1475" i="2" s="1"/>
  <c r="D1215" i="1"/>
  <c r="E1215" s="1"/>
  <c r="E1211" i="2" s="1"/>
  <c r="D1302" i="1" l="1"/>
  <c r="E972"/>
  <c r="E968" i="2" s="1"/>
  <c r="D1441" i="1"/>
  <c r="E1441" s="1"/>
  <c r="E1437" i="2" s="1"/>
  <c r="E1375" i="1"/>
  <c r="E1371" i="2" s="1"/>
  <c r="D1594" i="1"/>
  <c r="E1594" s="1"/>
  <c r="E1590" i="2" s="1"/>
  <c r="E1528" i="1"/>
  <c r="E1524" i="2" s="1"/>
  <c r="D1566" i="1"/>
  <c r="E1566" s="1"/>
  <c r="E1562" i="2" s="1"/>
  <c r="E1236" i="1"/>
  <c r="E1232" i="2" s="1"/>
  <c r="D1456" i="1"/>
  <c r="E1456" s="1"/>
  <c r="E1452" i="2" s="1"/>
  <c r="E1126" i="1"/>
  <c r="E1122" i="2" s="1"/>
  <c r="D957" i="1"/>
  <c r="E627"/>
  <c r="E623" i="2" s="1"/>
  <c r="E1083" i="1"/>
  <c r="E1079" i="2" s="1"/>
  <c r="D1413" i="1"/>
  <c r="E1413" s="1"/>
  <c r="E1409" i="2" s="1"/>
  <c r="D1589" i="1"/>
  <c r="E1589" s="1"/>
  <c r="E1585" i="2" s="1"/>
  <c r="E1259" i="1"/>
  <c r="E1255" i="2" s="1"/>
  <c r="D803" i="1"/>
  <c r="E473"/>
  <c r="E469" i="2" s="1"/>
  <c r="D1397" i="1"/>
  <c r="E1397" s="1"/>
  <c r="E1393" i="2" s="1"/>
  <c r="E1067" i="1"/>
  <c r="E1063" i="2" s="1"/>
  <c r="D583" i="1"/>
  <c r="E1646"/>
  <c r="E1642" i="2" s="1"/>
  <c r="D847" i="1"/>
  <c r="E517"/>
  <c r="E513" i="2" s="1"/>
  <c r="D1353" i="1"/>
  <c r="E1353" s="1"/>
  <c r="E1349" i="2" s="1"/>
  <c r="E1023" i="1"/>
  <c r="E1019" i="2" s="1"/>
  <c r="D1593" i="1"/>
  <c r="E1593" s="1"/>
  <c r="E1589" i="2" s="1"/>
  <c r="E1263" i="1"/>
  <c r="E1259" i="2" s="1"/>
  <c r="D1602" i="1"/>
  <c r="E1602" s="1"/>
  <c r="E1598" i="2" s="1"/>
  <c r="E1272" i="1"/>
  <c r="E1268" i="2" s="1"/>
  <c r="D649" i="1"/>
  <c r="E1651"/>
  <c r="E1647" i="2" s="1"/>
  <c r="D1419" i="1"/>
  <c r="E1419" s="1"/>
  <c r="E1415" i="2" s="1"/>
  <c r="E1089" i="1"/>
  <c r="E1085" i="2" s="1"/>
  <c r="D1221" i="1"/>
  <c r="E891"/>
  <c r="E887" i="2" s="1"/>
  <c r="D1595" i="1"/>
  <c r="E1595" s="1"/>
  <c r="E1591" i="2" s="1"/>
  <c r="E1265" i="1"/>
  <c r="E1261" i="2" s="1"/>
  <c r="D1439" i="1"/>
  <c r="E1439" s="1"/>
  <c r="E1435" i="2" s="1"/>
  <c r="E1109" i="1"/>
  <c r="E1105" i="2" s="1"/>
  <c r="D1550" i="1"/>
  <c r="E1550" s="1"/>
  <c r="E1546" i="2" s="1"/>
  <c r="E1484" i="1"/>
  <c r="E1480" i="2" s="1"/>
  <c r="D1599" i="1"/>
  <c r="E1599" s="1"/>
  <c r="E1595" i="2" s="1"/>
  <c r="E1269" i="1"/>
  <c r="E1265" i="2" s="1"/>
  <c r="D1199" i="1"/>
  <c r="E869"/>
  <c r="E865" i="2" s="1"/>
  <c r="D1545" i="1"/>
  <c r="E1545" s="1"/>
  <c r="E1541" i="2" s="1"/>
  <c r="D1281" i="1"/>
  <c r="E1281" s="1"/>
  <c r="E1277" i="2" s="1"/>
  <c r="D1177" i="1" l="1"/>
  <c r="E847"/>
  <c r="E843" i="2" s="1"/>
  <c r="D1287" i="1"/>
  <c r="E957"/>
  <c r="E953" i="2" s="1"/>
  <c r="D1529" i="1"/>
  <c r="E1529" s="1"/>
  <c r="E1525" i="2" s="1"/>
  <c r="E1199" i="1"/>
  <c r="E1195" i="2" s="1"/>
  <c r="D913" i="1"/>
  <c r="E583"/>
  <c r="E579" i="2" s="1"/>
  <c r="D1133" i="1"/>
  <c r="E803"/>
  <c r="E799" i="2" s="1"/>
  <c r="D1632" i="1"/>
  <c r="E1632" s="1"/>
  <c r="E1628" i="2" s="1"/>
  <c r="E1302" i="1"/>
  <c r="E1298" i="2" s="1"/>
  <c r="D1551" i="1"/>
  <c r="E1551" s="1"/>
  <c r="E1547" i="2" s="1"/>
  <c r="E1221" i="1"/>
  <c r="E1217" i="2" s="1"/>
  <c r="D979" i="1"/>
  <c r="E649"/>
  <c r="E645" i="2" s="1"/>
  <c r="D1611" i="1"/>
  <c r="E1611" s="1"/>
  <c r="E1607" i="2" s="1"/>
  <c r="D1507" i="1" l="1"/>
  <c r="E1507" s="1"/>
  <c r="E1503" i="2" s="1"/>
  <c r="E1177" i="1"/>
  <c r="E1173" i="2" s="1"/>
  <c r="D1309" i="1"/>
  <c r="E979"/>
  <c r="E975" i="2" s="1"/>
  <c r="D1243" i="1"/>
  <c r="E913"/>
  <c r="E909" i="2" s="1"/>
  <c r="D1617" i="1"/>
  <c r="E1617" s="1"/>
  <c r="E1613" i="2" s="1"/>
  <c r="E1287" i="1"/>
  <c r="E1283" i="2" s="1"/>
  <c r="D1463" i="1"/>
  <c r="E1463" s="1"/>
  <c r="E1459" i="2" s="1"/>
  <c r="E1133" i="1"/>
  <c r="E1129" i="2" s="1"/>
  <c r="D1573" i="1" l="1"/>
  <c r="E1573" s="1"/>
  <c r="E1569" i="2" s="1"/>
  <c r="E1243" i="1"/>
  <c r="E1239" i="2" s="1"/>
  <c r="D1639" i="1"/>
  <c r="E1639" s="1"/>
  <c r="E1635" i="2" s="1"/>
  <c r="E1309" i="1"/>
  <c r="E1305" i="2" s="1"/>
</calcChain>
</file>

<file path=xl/sharedStrings.xml><?xml version="1.0" encoding="utf-8"?>
<sst xmlns="http://schemas.openxmlformats.org/spreadsheetml/2006/main" count="11260" uniqueCount="2542">
  <si>
    <t>id</t>
  </si>
  <si>
    <t>名字(name)</t>
  </si>
  <si>
    <t>品质(quality)</t>
  </si>
  <si>
    <t>等级(level)</t>
  </si>
  <si>
    <t>职业(profession)</t>
  </si>
  <si>
    <t>售出价(sellPrice)</t>
  </si>
  <si>
    <t>熔炼获得熔炼值(smeltGain)</t>
  </si>
  <si>
    <t>打造所需熔炼值(forgeSmeltNeed)</t>
  </si>
  <si>
    <t>头盔</t>
  </si>
  <si>
    <t>戒指</t>
  </si>
  <si>
    <t>腰带</t>
  </si>
  <si>
    <t>胸甲</t>
  </si>
  <si>
    <t>主手武器</t>
  </si>
  <si>
    <t>副手武器</t>
  </si>
  <si>
    <t>护腿</t>
  </si>
  <si>
    <t>鞋子</t>
  </si>
  <si>
    <t>手套</t>
  </si>
  <si>
    <t>项链</t>
  </si>
  <si>
    <t>id</t>
    <phoneticPr fontId="1" type="noConversion"/>
  </si>
  <si>
    <t>part</t>
    <phoneticPr fontId="1" type="noConversion"/>
  </si>
  <si>
    <t>quality</t>
    <phoneticPr fontId="1" type="noConversion"/>
  </si>
  <si>
    <t>level</t>
    <phoneticPr fontId="1" type="noConversion"/>
  </si>
  <si>
    <t>profession</t>
    <phoneticPr fontId="1" type="noConversion"/>
  </si>
  <si>
    <t>sellPrice</t>
    <phoneticPr fontId="1" type="noConversion"/>
  </si>
  <si>
    <t>smeltGain</t>
    <phoneticPr fontId="1" type="noConversion"/>
  </si>
  <si>
    <t>forgeSmeltNeed</t>
    <phoneticPr fontId="1" type="noConversion"/>
  </si>
  <si>
    <t>洗练消耗金币(washCoinCost)</t>
    <phoneticPr fontId="1" type="noConversion"/>
  </si>
  <si>
    <t>washCoinCost</t>
  </si>
  <si>
    <t>装备主属性(equipAttr)</t>
    <phoneticPr fontId="1" type="noConversion"/>
  </si>
  <si>
    <t>equipAttr</t>
  </si>
  <si>
    <t>副属性区间(attrRange)</t>
    <phoneticPr fontId="1" type="noConversion"/>
  </si>
  <si>
    <t>attrRange</t>
  </si>
  <si>
    <t>装备图标</t>
    <phoneticPr fontId="1" type="noConversion"/>
  </si>
  <si>
    <t>data</t>
    <phoneticPr fontId="1" type="noConversion"/>
  </si>
  <si>
    <t>No</t>
    <phoneticPr fontId="1" type="noConversion"/>
  </si>
  <si>
    <t>10010010</t>
  </si>
  <si>
    <t>10010020</t>
  </si>
  <si>
    <t>10010030</t>
  </si>
  <si>
    <t>10010080</t>
  </si>
  <si>
    <t>10010090</t>
  </si>
  <si>
    <t>10010100</t>
  </si>
  <si>
    <t>10011050</t>
  </si>
  <si>
    <t>10011051</t>
  </si>
  <si>
    <t>10011060</t>
  </si>
  <si>
    <t>10011061</t>
  </si>
  <si>
    <t>10012050</t>
  </si>
  <si>
    <t>10012051</t>
  </si>
  <si>
    <t>10012060</t>
  </si>
  <si>
    <t>10012061</t>
  </si>
  <si>
    <t>10013050</t>
  </si>
  <si>
    <t>10013051</t>
  </si>
  <si>
    <t>10013060</t>
  </si>
  <si>
    <t>10013061</t>
  </si>
  <si>
    <t>10010040</t>
  </si>
  <si>
    <t>10010041</t>
  </si>
  <si>
    <t>10010070</t>
  </si>
  <si>
    <t>10010071</t>
  </si>
  <si>
    <t>10050010</t>
  </si>
  <si>
    <t>10050020</t>
  </si>
  <si>
    <t>10050030</t>
  </si>
  <si>
    <t>10050080</t>
  </si>
  <si>
    <t>10050090</t>
  </si>
  <si>
    <t>10050100</t>
  </si>
  <si>
    <t>10051050</t>
  </si>
  <si>
    <t>10051051</t>
  </si>
  <si>
    <t>10051060</t>
  </si>
  <si>
    <t>10051061</t>
  </si>
  <si>
    <t>10052050</t>
  </si>
  <si>
    <t>10052051</t>
  </si>
  <si>
    <t>10052060</t>
  </si>
  <si>
    <t>10052061</t>
  </si>
  <si>
    <t>10053050</t>
  </si>
  <si>
    <t>10053051</t>
  </si>
  <si>
    <t>10053060</t>
  </si>
  <si>
    <t>10053061</t>
  </si>
  <si>
    <t>10050040</t>
  </si>
  <si>
    <t>10050041</t>
  </si>
  <si>
    <t>10050070</t>
  </si>
  <si>
    <t>10050071</t>
  </si>
  <si>
    <t>10100010</t>
  </si>
  <si>
    <t>10100020</t>
  </si>
  <si>
    <t>10100030</t>
  </si>
  <si>
    <t>10100080</t>
  </si>
  <si>
    <t>10100090</t>
  </si>
  <si>
    <t>10100100</t>
  </si>
  <si>
    <t>10101050</t>
  </si>
  <si>
    <t>10101051</t>
  </si>
  <si>
    <t>10101060</t>
  </si>
  <si>
    <t>10101061</t>
  </si>
  <si>
    <t>10102050</t>
  </si>
  <si>
    <t>10102051</t>
  </si>
  <si>
    <t>10102060</t>
  </si>
  <si>
    <t>10102061</t>
  </si>
  <si>
    <t>10103050</t>
  </si>
  <si>
    <t>10103051</t>
  </si>
  <si>
    <t>10103060</t>
  </si>
  <si>
    <t>10103061</t>
  </si>
  <si>
    <t>10100040</t>
  </si>
  <si>
    <t>10100041</t>
  </si>
  <si>
    <t>10100070</t>
  </si>
  <si>
    <t>10100071</t>
  </si>
  <si>
    <t>10150010</t>
  </si>
  <si>
    <t>10150020</t>
  </si>
  <si>
    <t>10150030</t>
  </si>
  <si>
    <t>10150080</t>
  </si>
  <si>
    <t>10150090</t>
  </si>
  <si>
    <t>10150100</t>
  </si>
  <si>
    <t>10151050</t>
  </si>
  <si>
    <t>10151051</t>
  </si>
  <si>
    <t>10151060</t>
  </si>
  <si>
    <t>10151061</t>
  </si>
  <si>
    <t>10152050</t>
  </si>
  <si>
    <t>10152051</t>
  </si>
  <si>
    <t>10152060</t>
  </si>
  <si>
    <t>10152061</t>
  </si>
  <si>
    <t>10153050</t>
  </si>
  <si>
    <t>10153051</t>
  </si>
  <si>
    <t>10153060</t>
  </si>
  <si>
    <t>10153061</t>
  </si>
  <si>
    <t>10150040</t>
  </si>
  <si>
    <t>10150041</t>
  </si>
  <si>
    <t>10150070</t>
  </si>
  <si>
    <t>10150071</t>
  </si>
  <si>
    <t>10200010</t>
  </si>
  <si>
    <t>10200020</t>
  </si>
  <si>
    <t>10200030</t>
  </si>
  <si>
    <t>10200080</t>
  </si>
  <si>
    <t>10200090</t>
  </si>
  <si>
    <t>10200100</t>
  </si>
  <si>
    <t>10201050</t>
  </si>
  <si>
    <t>10201051</t>
  </si>
  <si>
    <t>10201060</t>
  </si>
  <si>
    <t>10201061</t>
  </si>
  <si>
    <t>10202050</t>
  </si>
  <si>
    <t>10202051</t>
  </si>
  <si>
    <t>10202060</t>
  </si>
  <si>
    <t>10202061</t>
  </si>
  <si>
    <t>10203050</t>
  </si>
  <si>
    <t>10203051</t>
  </si>
  <si>
    <t>10203060</t>
  </si>
  <si>
    <t>10203061</t>
  </si>
  <si>
    <t>10200040</t>
  </si>
  <si>
    <t>10200041</t>
  </si>
  <si>
    <t>10200070</t>
  </si>
  <si>
    <t>10200071</t>
  </si>
  <si>
    <t>10250010</t>
  </si>
  <si>
    <t>10250020</t>
  </si>
  <si>
    <t>10250030</t>
  </si>
  <si>
    <t>10250080</t>
  </si>
  <si>
    <t>10250090</t>
  </si>
  <si>
    <t>10250100</t>
  </si>
  <si>
    <t>10251050</t>
  </si>
  <si>
    <t>10251051</t>
  </si>
  <si>
    <t>10251060</t>
  </si>
  <si>
    <t>10251061</t>
  </si>
  <si>
    <t>10252050</t>
  </si>
  <si>
    <t>10252051</t>
  </si>
  <si>
    <t>10252060</t>
  </si>
  <si>
    <t>10252061</t>
  </si>
  <si>
    <t>10253050</t>
  </si>
  <si>
    <t>10253051</t>
  </si>
  <si>
    <t>10253060</t>
  </si>
  <si>
    <t>10253061</t>
  </si>
  <si>
    <t>10250040</t>
  </si>
  <si>
    <t>10250041</t>
  </si>
  <si>
    <t>10250070</t>
  </si>
  <si>
    <t>10250071</t>
  </si>
  <si>
    <t>10300010</t>
  </si>
  <si>
    <t>10300020</t>
  </si>
  <si>
    <t>10300030</t>
  </si>
  <si>
    <t>10300080</t>
  </si>
  <si>
    <t>10300090</t>
  </si>
  <si>
    <t>10300100</t>
  </si>
  <si>
    <t>10301050</t>
  </si>
  <si>
    <t>10301051</t>
  </si>
  <si>
    <t>10301060</t>
  </si>
  <si>
    <t>10301061</t>
  </si>
  <si>
    <t>10302050</t>
  </si>
  <si>
    <t>10302051</t>
  </si>
  <si>
    <t>10302060</t>
  </si>
  <si>
    <t>10302061</t>
  </si>
  <si>
    <t>10303050</t>
  </si>
  <si>
    <t>10303051</t>
  </si>
  <si>
    <t>10303060</t>
  </si>
  <si>
    <t>10303061</t>
  </si>
  <si>
    <t>10300040</t>
  </si>
  <si>
    <t>10300041</t>
  </si>
  <si>
    <t>10300070</t>
  </si>
  <si>
    <t>10300071</t>
  </si>
  <si>
    <t>10350010</t>
  </si>
  <si>
    <t>10350020</t>
  </si>
  <si>
    <t>10350030</t>
  </si>
  <si>
    <t>10350080</t>
  </si>
  <si>
    <t>10350090</t>
  </si>
  <si>
    <t>10350100</t>
  </si>
  <si>
    <t>10351050</t>
  </si>
  <si>
    <t>10351051</t>
  </si>
  <si>
    <t>10351060</t>
  </si>
  <si>
    <t>10351061</t>
  </si>
  <si>
    <t>10352050</t>
  </si>
  <si>
    <t>10352051</t>
  </si>
  <si>
    <t>10352060</t>
  </si>
  <si>
    <t>10352061</t>
  </si>
  <si>
    <t>10353050</t>
  </si>
  <si>
    <t>10353051</t>
  </si>
  <si>
    <t>10353060</t>
  </si>
  <si>
    <t>10353061</t>
  </si>
  <si>
    <t>10350040</t>
  </si>
  <si>
    <t>10350041</t>
  </si>
  <si>
    <t>10350070</t>
  </si>
  <si>
    <t>10350071</t>
  </si>
  <si>
    <t>10400010</t>
  </si>
  <si>
    <t>10400020</t>
  </si>
  <si>
    <t>10400030</t>
  </si>
  <si>
    <t>10400080</t>
  </si>
  <si>
    <t>10400090</t>
  </si>
  <si>
    <t>10400100</t>
  </si>
  <si>
    <t>10401050</t>
  </si>
  <si>
    <t>10401051</t>
  </si>
  <si>
    <t>10401060</t>
  </si>
  <si>
    <t>10401061</t>
  </si>
  <si>
    <t>10402050</t>
  </si>
  <si>
    <t>10402051</t>
  </si>
  <si>
    <t>10402060</t>
  </si>
  <si>
    <t>10402061</t>
  </si>
  <si>
    <t>10403050</t>
  </si>
  <si>
    <t>10403051</t>
  </si>
  <si>
    <t>10403060</t>
  </si>
  <si>
    <t>10403061</t>
  </si>
  <si>
    <t>10400040</t>
  </si>
  <si>
    <t>10400041</t>
  </si>
  <si>
    <t>10400070</t>
  </si>
  <si>
    <t>10400071</t>
  </si>
  <si>
    <t>10450010</t>
  </si>
  <si>
    <t>10450020</t>
  </si>
  <si>
    <t>10450030</t>
  </si>
  <si>
    <t>10450080</t>
  </si>
  <si>
    <t>10450090</t>
  </si>
  <si>
    <t>10450100</t>
  </si>
  <si>
    <t>10451050</t>
  </si>
  <si>
    <t>10451051</t>
  </si>
  <si>
    <t>10451060</t>
  </si>
  <si>
    <t>10451061</t>
  </si>
  <si>
    <t>10452050</t>
  </si>
  <si>
    <t>10452051</t>
  </si>
  <si>
    <t>10452060</t>
  </si>
  <si>
    <t>10452061</t>
  </si>
  <si>
    <t>10453050</t>
  </si>
  <si>
    <t>10453051</t>
  </si>
  <si>
    <t>10453060</t>
  </si>
  <si>
    <t>10453061</t>
  </si>
  <si>
    <t>10450040</t>
  </si>
  <si>
    <t>10450041</t>
  </si>
  <si>
    <t>10450070</t>
  </si>
  <si>
    <t>10450071</t>
  </si>
  <si>
    <t>10500010</t>
  </si>
  <si>
    <t>10500020</t>
  </si>
  <si>
    <t>10500030</t>
  </si>
  <si>
    <t>10500080</t>
  </si>
  <si>
    <t>10500090</t>
  </si>
  <si>
    <t>10500100</t>
  </si>
  <si>
    <t>10501050</t>
  </si>
  <si>
    <t>10501051</t>
  </si>
  <si>
    <t>10501060</t>
  </si>
  <si>
    <t>10501061</t>
  </si>
  <si>
    <t>10502050</t>
  </si>
  <si>
    <t>10502051</t>
  </si>
  <si>
    <t>10502060</t>
  </si>
  <si>
    <t>10502061</t>
  </si>
  <si>
    <t>10503050</t>
  </si>
  <si>
    <t>10503051</t>
  </si>
  <si>
    <t>10503060</t>
  </si>
  <si>
    <t>10503061</t>
  </si>
  <si>
    <t>10500040</t>
  </si>
  <si>
    <t>10500041</t>
  </si>
  <si>
    <t>10500070</t>
  </si>
  <si>
    <t>10500071</t>
  </si>
  <si>
    <t>10550010</t>
  </si>
  <si>
    <t>10550020</t>
  </si>
  <si>
    <t>10550030</t>
  </si>
  <si>
    <t>10550080</t>
  </si>
  <si>
    <t>10550090</t>
  </si>
  <si>
    <t>10550100</t>
  </si>
  <si>
    <t>10551050</t>
  </si>
  <si>
    <t>10551051</t>
  </si>
  <si>
    <t>10551060</t>
  </si>
  <si>
    <t>10551061</t>
  </si>
  <si>
    <t>10552050</t>
  </si>
  <si>
    <t>10552051</t>
  </si>
  <si>
    <t>10552060</t>
  </si>
  <si>
    <t>10552061</t>
  </si>
  <si>
    <t>10553050</t>
  </si>
  <si>
    <t>10553051</t>
  </si>
  <si>
    <t>10553060</t>
  </si>
  <si>
    <t>10553061</t>
  </si>
  <si>
    <t>10550040</t>
  </si>
  <si>
    <t>10550041</t>
  </si>
  <si>
    <t>10550070</t>
  </si>
  <si>
    <t>10550071</t>
  </si>
  <si>
    <t>10600010</t>
  </si>
  <si>
    <t>10600020</t>
  </si>
  <si>
    <t>10600030</t>
  </si>
  <si>
    <t>10600080</t>
  </si>
  <si>
    <t>10600090</t>
  </si>
  <si>
    <t>10600100</t>
  </si>
  <si>
    <t>10601050</t>
  </si>
  <si>
    <t>10601051</t>
  </si>
  <si>
    <t>10601060</t>
  </si>
  <si>
    <t>10601061</t>
  </si>
  <si>
    <t>10602050</t>
  </si>
  <si>
    <t>10602051</t>
  </si>
  <si>
    <t>10602060</t>
  </si>
  <si>
    <t>10602061</t>
  </si>
  <si>
    <t>10603050</t>
  </si>
  <si>
    <t>10603051</t>
  </si>
  <si>
    <t>10603060</t>
  </si>
  <si>
    <t>10603061</t>
  </si>
  <si>
    <t>10600040</t>
  </si>
  <si>
    <t>10600041</t>
  </si>
  <si>
    <t>10600070</t>
  </si>
  <si>
    <t>10600071</t>
  </si>
  <si>
    <t>10650010</t>
  </si>
  <si>
    <t>10650020</t>
  </si>
  <si>
    <t>10650030</t>
  </si>
  <si>
    <t>10650080</t>
  </si>
  <si>
    <t>10650090</t>
  </si>
  <si>
    <t>10650100</t>
  </si>
  <si>
    <t>10651050</t>
  </si>
  <si>
    <t>10651051</t>
  </si>
  <si>
    <t>10651060</t>
  </si>
  <si>
    <t>10651061</t>
  </si>
  <si>
    <t>10652050</t>
  </si>
  <si>
    <t>10652051</t>
  </si>
  <si>
    <t>10652060</t>
  </si>
  <si>
    <t>10652061</t>
  </si>
  <si>
    <t>10653050</t>
  </si>
  <si>
    <t>10653051</t>
  </si>
  <si>
    <t>10653060</t>
  </si>
  <si>
    <t>10653061</t>
  </si>
  <si>
    <t>10650040</t>
  </si>
  <si>
    <t>10650041</t>
  </si>
  <si>
    <t>10650070</t>
  </si>
  <si>
    <t>10650071</t>
  </si>
  <si>
    <t>10700010</t>
  </si>
  <si>
    <t>10700020</t>
  </si>
  <si>
    <t>10700030</t>
  </si>
  <si>
    <t>10700080</t>
  </si>
  <si>
    <t>10700090</t>
  </si>
  <si>
    <t>10700100</t>
  </si>
  <si>
    <t>10701050</t>
  </si>
  <si>
    <t>10701051</t>
  </si>
  <si>
    <t>10701060</t>
  </si>
  <si>
    <t>10701061</t>
  </si>
  <si>
    <t>10702050</t>
  </si>
  <si>
    <t>10702051</t>
  </si>
  <si>
    <t>10702060</t>
  </si>
  <si>
    <t>10702061</t>
  </si>
  <si>
    <t>10703050</t>
  </si>
  <si>
    <t>10703051</t>
  </si>
  <si>
    <t>10703060</t>
  </si>
  <si>
    <t>10703061</t>
  </si>
  <si>
    <t>10700040</t>
  </si>
  <si>
    <t>10700041</t>
  </si>
  <si>
    <t>10700070</t>
  </si>
  <si>
    <t>10700071</t>
  </si>
  <si>
    <t>部位</t>
    <phoneticPr fontId="1" type="noConversion"/>
  </si>
  <si>
    <t>No</t>
    <phoneticPr fontId="1" type="noConversion"/>
  </si>
  <si>
    <t>是否开放</t>
    <phoneticPr fontId="1" type="noConversion"/>
  </si>
  <si>
    <t>20010010</t>
  </si>
  <si>
    <t>20010020</t>
  </si>
  <si>
    <t>20010030</t>
  </si>
  <si>
    <t>20010080</t>
  </si>
  <si>
    <t>20010090</t>
  </si>
  <si>
    <t>20010100</t>
  </si>
  <si>
    <t>20011050</t>
  </si>
  <si>
    <t>20011051</t>
  </si>
  <si>
    <t>20011060</t>
  </si>
  <si>
    <t>20011061</t>
  </si>
  <si>
    <t>20012050</t>
  </si>
  <si>
    <t>20012051</t>
  </si>
  <si>
    <t>20012060</t>
  </si>
  <si>
    <t>20012061</t>
  </si>
  <si>
    <t>20013050</t>
  </si>
  <si>
    <t>20013051</t>
  </si>
  <si>
    <t>20013060</t>
  </si>
  <si>
    <t>20013061</t>
  </si>
  <si>
    <t>20010040</t>
  </si>
  <si>
    <t>20010041</t>
  </si>
  <si>
    <t>20010070</t>
  </si>
  <si>
    <t>20010071</t>
  </si>
  <si>
    <t>20050010</t>
  </si>
  <si>
    <t>20050020</t>
  </si>
  <si>
    <t>20050030</t>
  </si>
  <si>
    <t>20050080</t>
  </si>
  <si>
    <t>20050090</t>
  </si>
  <si>
    <t>20050100</t>
  </si>
  <si>
    <t>20051050</t>
  </si>
  <si>
    <t>20051051</t>
  </si>
  <si>
    <t>20051060</t>
  </si>
  <si>
    <t>20051061</t>
  </si>
  <si>
    <t>20052050</t>
  </si>
  <si>
    <t>20052051</t>
  </si>
  <si>
    <t>20052060</t>
  </si>
  <si>
    <t>20052061</t>
  </si>
  <si>
    <t>20053050</t>
  </si>
  <si>
    <t>20053051</t>
  </si>
  <si>
    <t>20053060</t>
  </si>
  <si>
    <t>20053061</t>
  </si>
  <si>
    <t>20050040</t>
  </si>
  <si>
    <t>20050041</t>
  </si>
  <si>
    <t>20050070</t>
  </si>
  <si>
    <t>20050071</t>
  </si>
  <si>
    <t>20100010</t>
  </si>
  <si>
    <t>20100020</t>
  </si>
  <si>
    <t>20100030</t>
  </si>
  <si>
    <t>20100080</t>
  </si>
  <si>
    <t>20100090</t>
  </si>
  <si>
    <t>20100100</t>
  </si>
  <si>
    <t>20101050</t>
  </si>
  <si>
    <t>20101051</t>
  </si>
  <si>
    <t>20101060</t>
  </si>
  <si>
    <t>20101061</t>
  </si>
  <si>
    <t>20102050</t>
  </si>
  <si>
    <t>20102051</t>
  </si>
  <si>
    <t>20102060</t>
  </si>
  <si>
    <t>20102061</t>
  </si>
  <si>
    <t>20103050</t>
  </si>
  <si>
    <t>20103051</t>
  </si>
  <si>
    <t>20103060</t>
  </si>
  <si>
    <t>20103061</t>
  </si>
  <si>
    <t>20100040</t>
  </si>
  <si>
    <t>20100041</t>
  </si>
  <si>
    <t>20100070</t>
  </si>
  <si>
    <t>20100071</t>
  </si>
  <si>
    <t>20150010</t>
  </si>
  <si>
    <t>20150020</t>
  </si>
  <si>
    <t>20150030</t>
  </si>
  <si>
    <t>20150080</t>
  </si>
  <si>
    <t>20150090</t>
  </si>
  <si>
    <t>20150100</t>
  </si>
  <si>
    <t>20151050</t>
  </si>
  <si>
    <t>20151051</t>
  </si>
  <si>
    <t>20151060</t>
  </si>
  <si>
    <t>20151061</t>
  </si>
  <si>
    <t>20152050</t>
  </si>
  <si>
    <t>20152051</t>
  </si>
  <si>
    <t>20152060</t>
  </si>
  <si>
    <t>20152061</t>
  </si>
  <si>
    <t>20153050</t>
  </si>
  <si>
    <t>20153051</t>
  </si>
  <si>
    <t>20153060</t>
  </si>
  <si>
    <t>20153061</t>
  </si>
  <si>
    <t>20150040</t>
  </si>
  <si>
    <t>20150041</t>
  </si>
  <si>
    <t>20150070</t>
  </si>
  <si>
    <t>20150071</t>
  </si>
  <si>
    <t>20200010</t>
  </si>
  <si>
    <t>20200020</t>
  </si>
  <si>
    <t>20200030</t>
  </si>
  <si>
    <t>20200080</t>
  </si>
  <si>
    <t>20200090</t>
  </si>
  <si>
    <t>20200100</t>
  </si>
  <si>
    <t>20201050</t>
  </si>
  <si>
    <t>20201051</t>
  </si>
  <si>
    <t>20201060</t>
  </si>
  <si>
    <t>20201061</t>
  </si>
  <si>
    <t>20202050</t>
  </si>
  <si>
    <t>20202051</t>
  </si>
  <si>
    <t>20202060</t>
  </si>
  <si>
    <t>20202061</t>
  </si>
  <si>
    <t>20203050</t>
  </si>
  <si>
    <t>20203051</t>
  </si>
  <si>
    <t>20203060</t>
  </si>
  <si>
    <t>20203061</t>
  </si>
  <si>
    <t>20200040</t>
  </si>
  <si>
    <t>20200041</t>
  </si>
  <si>
    <t>20200070</t>
  </si>
  <si>
    <t>20200071</t>
  </si>
  <si>
    <t>20250010</t>
  </si>
  <si>
    <t>20250020</t>
  </si>
  <si>
    <t>20250030</t>
  </si>
  <si>
    <t>20250080</t>
  </si>
  <si>
    <t>20250090</t>
  </si>
  <si>
    <t>20250100</t>
  </si>
  <si>
    <t>20251050</t>
  </si>
  <si>
    <t>20251051</t>
  </si>
  <si>
    <t>20251060</t>
  </si>
  <si>
    <t>20251061</t>
  </si>
  <si>
    <t>20252050</t>
  </si>
  <si>
    <t>20252051</t>
  </si>
  <si>
    <t>20252060</t>
  </si>
  <si>
    <t>20252061</t>
  </si>
  <si>
    <t>20253050</t>
  </si>
  <si>
    <t>20253051</t>
  </si>
  <si>
    <t>20253060</t>
  </si>
  <si>
    <t>20253061</t>
  </si>
  <si>
    <t>20250040</t>
  </si>
  <si>
    <t>20250041</t>
  </si>
  <si>
    <t>20250070</t>
  </si>
  <si>
    <t>20250071</t>
  </si>
  <si>
    <t>20300010</t>
  </si>
  <si>
    <t>20300020</t>
  </si>
  <si>
    <t>20300030</t>
  </si>
  <si>
    <t>20300080</t>
  </si>
  <si>
    <t>20300090</t>
  </si>
  <si>
    <t>20300100</t>
  </si>
  <si>
    <t>20301050</t>
  </si>
  <si>
    <t>20301051</t>
  </si>
  <si>
    <t>20301060</t>
  </si>
  <si>
    <t>20301061</t>
  </si>
  <si>
    <t>20302050</t>
  </si>
  <si>
    <t>20302051</t>
  </si>
  <si>
    <t>20302060</t>
  </si>
  <si>
    <t>20302061</t>
  </si>
  <si>
    <t>20303050</t>
  </si>
  <si>
    <t>20303051</t>
  </si>
  <si>
    <t>20303060</t>
  </si>
  <si>
    <t>20303061</t>
  </si>
  <si>
    <t>20300040</t>
  </si>
  <si>
    <t>20300041</t>
  </si>
  <si>
    <t>20300070</t>
  </si>
  <si>
    <t>20300071</t>
  </si>
  <si>
    <t>20350010</t>
  </si>
  <si>
    <t>20350020</t>
  </si>
  <si>
    <t>20350030</t>
  </si>
  <si>
    <t>20350080</t>
  </si>
  <si>
    <t>20350090</t>
  </si>
  <si>
    <t>20350100</t>
  </si>
  <si>
    <t>20351050</t>
  </si>
  <si>
    <t>20351051</t>
  </si>
  <si>
    <t>20351060</t>
  </si>
  <si>
    <t>20351061</t>
  </si>
  <si>
    <t>20352050</t>
  </si>
  <si>
    <t>20352051</t>
  </si>
  <si>
    <t>20352060</t>
  </si>
  <si>
    <t>20352061</t>
  </si>
  <si>
    <t>20353050</t>
  </si>
  <si>
    <t>20353051</t>
  </si>
  <si>
    <t>20353060</t>
  </si>
  <si>
    <t>20353061</t>
  </si>
  <si>
    <t>20350040</t>
  </si>
  <si>
    <t>20350041</t>
  </si>
  <si>
    <t>20350070</t>
  </si>
  <si>
    <t>20350071</t>
  </si>
  <si>
    <t>20400010</t>
  </si>
  <si>
    <t>20400020</t>
  </si>
  <si>
    <t>20400030</t>
  </si>
  <si>
    <t>20400080</t>
  </si>
  <si>
    <t>20400090</t>
  </si>
  <si>
    <t>20400100</t>
  </si>
  <si>
    <t>20401050</t>
  </si>
  <si>
    <t>20401051</t>
  </si>
  <si>
    <t>20401060</t>
  </si>
  <si>
    <t>20401061</t>
  </si>
  <si>
    <t>20402050</t>
  </si>
  <si>
    <t>20402051</t>
  </si>
  <si>
    <t>20402060</t>
  </si>
  <si>
    <t>20402061</t>
  </si>
  <si>
    <t>20403050</t>
  </si>
  <si>
    <t>20403051</t>
  </si>
  <si>
    <t>20403060</t>
  </si>
  <si>
    <t>20403061</t>
  </si>
  <si>
    <t>20400040</t>
  </si>
  <si>
    <t>20400041</t>
  </si>
  <si>
    <t>20400070</t>
  </si>
  <si>
    <t>20400071</t>
  </si>
  <si>
    <t>20450010</t>
  </si>
  <si>
    <t>20450020</t>
  </si>
  <si>
    <t>20450030</t>
  </si>
  <si>
    <t>20450080</t>
  </si>
  <si>
    <t>20450090</t>
  </si>
  <si>
    <t>20450100</t>
  </si>
  <si>
    <t>20451050</t>
  </si>
  <si>
    <t>20451051</t>
  </si>
  <si>
    <t>20451060</t>
  </si>
  <si>
    <t>20451061</t>
  </si>
  <si>
    <t>20452050</t>
  </si>
  <si>
    <t>20452051</t>
  </si>
  <si>
    <t>20452060</t>
  </si>
  <si>
    <t>20452061</t>
  </si>
  <si>
    <t>20453050</t>
  </si>
  <si>
    <t>20453051</t>
  </si>
  <si>
    <t>20453060</t>
  </si>
  <si>
    <t>20453061</t>
  </si>
  <si>
    <t>20450040</t>
  </si>
  <si>
    <t>20450041</t>
  </si>
  <si>
    <t>20450070</t>
  </si>
  <si>
    <t>20450071</t>
  </si>
  <si>
    <t>20500010</t>
  </si>
  <si>
    <t>20500020</t>
  </si>
  <si>
    <t>20500030</t>
  </si>
  <si>
    <t>20500080</t>
  </si>
  <si>
    <t>20500090</t>
  </si>
  <si>
    <t>20500100</t>
  </si>
  <si>
    <t>20501050</t>
  </si>
  <si>
    <t>20501051</t>
  </si>
  <si>
    <t>20501060</t>
  </si>
  <si>
    <t>20501061</t>
  </si>
  <si>
    <t>20502050</t>
  </si>
  <si>
    <t>20502051</t>
  </si>
  <si>
    <t>20502060</t>
  </si>
  <si>
    <t>20502061</t>
  </si>
  <si>
    <t>20503050</t>
  </si>
  <si>
    <t>20503051</t>
  </si>
  <si>
    <t>20503060</t>
  </si>
  <si>
    <t>20503061</t>
  </si>
  <si>
    <t>20500040</t>
  </si>
  <si>
    <t>20500041</t>
  </si>
  <si>
    <t>20500070</t>
  </si>
  <si>
    <t>20500071</t>
  </si>
  <si>
    <t>20550010</t>
  </si>
  <si>
    <t>20550020</t>
  </si>
  <si>
    <t>20550030</t>
  </si>
  <si>
    <t>20550080</t>
  </si>
  <si>
    <t>20550090</t>
  </si>
  <si>
    <t>20550100</t>
  </si>
  <si>
    <t>20551050</t>
  </si>
  <si>
    <t>20551051</t>
  </si>
  <si>
    <t>20551060</t>
  </si>
  <si>
    <t>20551061</t>
  </si>
  <si>
    <t>20552050</t>
  </si>
  <si>
    <t>20552051</t>
  </si>
  <si>
    <t>20552060</t>
  </si>
  <si>
    <t>20552061</t>
  </si>
  <si>
    <t>20553050</t>
  </si>
  <si>
    <t>20553051</t>
  </si>
  <si>
    <t>20553060</t>
  </si>
  <si>
    <t>20553061</t>
  </si>
  <si>
    <t>20550040</t>
  </si>
  <si>
    <t>20550041</t>
  </si>
  <si>
    <t>20550070</t>
  </si>
  <si>
    <t>20550071</t>
  </si>
  <si>
    <t>20600010</t>
  </si>
  <si>
    <t>20600020</t>
  </si>
  <si>
    <t>20600030</t>
  </si>
  <si>
    <t>20600080</t>
  </si>
  <si>
    <t>20600090</t>
  </si>
  <si>
    <t>20600100</t>
  </si>
  <si>
    <t>20601050</t>
  </si>
  <si>
    <t>20601051</t>
  </si>
  <si>
    <t>20601060</t>
  </si>
  <si>
    <t>20601061</t>
  </si>
  <si>
    <t>20602050</t>
  </si>
  <si>
    <t>20602051</t>
  </si>
  <si>
    <t>20602060</t>
  </si>
  <si>
    <t>20602061</t>
  </si>
  <si>
    <t>20603050</t>
  </si>
  <si>
    <t>20603051</t>
  </si>
  <si>
    <t>20603060</t>
  </si>
  <si>
    <t>20603061</t>
  </si>
  <si>
    <t>20600040</t>
  </si>
  <si>
    <t>20600041</t>
  </si>
  <si>
    <t>20600070</t>
  </si>
  <si>
    <t>20600071</t>
  </si>
  <si>
    <t>20650010</t>
  </si>
  <si>
    <t>20650020</t>
  </si>
  <si>
    <t>20650030</t>
  </si>
  <si>
    <t>20650080</t>
  </si>
  <si>
    <t>20650090</t>
  </si>
  <si>
    <t>20650100</t>
  </si>
  <si>
    <t>20651050</t>
  </si>
  <si>
    <t>20651051</t>
  </si>
  <si>
    <t>20651060</t>
  </si>
  <si>
    <t>20651061</t>
  </si>
  <si>
    <t>20652050</t>
  </si>
  <si>
    <t>20652051</t>
  </si>
  <si>
    <t>20652060</t>
  </si>
  <si>
    <t>20652061</t>
  </si>
  <si>
    <t>20653050</t>
  </si>
  <si>
    <t>20653051</t>
  </si>
  <si>
    <t>20653060</t>
  </si>
  <si>
    <t>20653061</t>
  </si>
  <si>
    <t>20650040</t>
  </si>
  <si>
    <t>20650041</t>
  </si>
  <si>
    <t>20650070</t>
  </si>
  <si>
    <t>20650071</t>
  </si>
  <si>
    <t>20700010</t>
  </si>
  <si>
    <t>20700020</t>
  </si>
  <si>
    <t>20700030</t>
  </si>
  <si>
    <t>20700080</t>
  </si>
  <si>
    <t>20700090</t>
  </si>
  <si>
    <t>20700100</t>
  </si>
  <si>
    <t>20701050</t>
  </si>
  <si>
    <t>20701051</t>
  </si>
  <si>
    <t>20701060</t>
  </si>
  <si>
    <t>20701061</t>
  </si>
  <si>
    <t>20702050</t>
  </si>
  <si>
    <t>20702051</t>
  </si>
  <si>
    <t>20702060</t>
  </si>
  <si>
    <t>20702061</t>
  </si>
  <si>
    <t>20703050</t>
  </si>
  <si>
    <t>20703051</t>
  </si>
  <si>
    <t>20703060</t>
  </si>
  <si>
    <t>20703061</t>
  </si>
  <si>
    <t>20700040</t>
  </si>
  <si>
    <t>20700041</t>
  </si>
  <si>
    <t>20700070</t>
  </si>
  <si>
    <t>20700071</t>
  </si>
  <si>
    <t>0,0</t>
  </si>
  <si>
    <t>1,3</t>
  </si>
  <si>
    <t>1,4</t>
  </si>
  <si>
    <t>7,10</t>
  </si>
  <si>
    <t>9,13</t>
  </si>
  <si>
    <t>15,22</t>
  </si>
  <si>
    <t>20,29</t>
  </si>
  <si>
    <t>27,37</t>
  </si>
  <si>
    <t>35,48</t>
  </si>
  <si>
    <t>46,62</t>
  </si>
  <si>
    <t>42,58</t>
  </si>
  <si>
    <t>55,75</t>
  </si>
  <si>
    <t>58,80</t>
  </si>
  <si>
    <t>75,104</t>
  </si>
  <si>
    <t>73,101</t>
  </si>
  <si>
    <t>95,131</t>
  </si>
  <si>
    <t>93,127</t>
  </si>
  <si>
    <t>121,165</t>
  </si>
  <si>
    <t>125,171</t>
  </si>
  <si>
    <t>163,222</t>
  </si>
  <si>
    <t>142,193</t>
  </si>
  <si>
    <t>185,251</t>
  </si>
  <si>
    <t>172,235</t>
  </si>
  <si>
    <t>224,306</t>
  </si>
  <si>
    <t>223,304</t>
  </si>
  <si>
    <t>290,395</t>
  </si>
  <si>
    <t>269,366</t>
  </si>
  <si>
    <t>350,476</t>
  </si>
  <si>
    <t>318,431</t>
  </si>
  <si>
    <t>413,560</t>
  </si>
  <si>
    <t>30010010</t>
  </si>
  <si>
    <t>30010020</t>
  </si>
  <si>
    <t>30010030</t>
  </si>
  <si>
    <t>30010080</t>
  </si>
  <si>
    <t>30010090</t>
  </si>
  <si>
    <t>30010100</t>
  </si>
  <si>
    <t>30011050</t>
  </si>
  <si>
    <t>30011051</t>
  </si>
  <si>
    <t>30011060</t>
  </si>
  <si>
    <t>30011061</t>
  </si>
  <si>
    <t>30012050</t>
  </si>
  <si>
    <t>30012051</t>
  </si>
  <si>
    <t>30012060</t>
  </si>
  <si>
    <t>30012061</t>
  </si>
  <si>
    <t>30013050</t>
  </si>
  <si>
    <t>30013051</t>
  </si>
  <si>
    <t>30013060</t>
  </si>
  <si>
    <t>30013061</t>
  </si>
  <si>
    <t>30010040</t>
  </si>
  <si>
    <t>30010041</t>
  </si>
  <si>
    <t>30010070</t>
  </si>
  <si>
    <t>30010071</t>
  </si>
  <si>
    <t>30050010</t>
  </si>
  <si>
    <t>30050020</t>
  </si>
  <si>
    <t>30050030</t>
  </si>
  <si>
    <t>30050080</t>
  </si>
  <si>
    <t>30050090</t>
  </si>
  <si>
    <t>30050100</t>
  </si>
  <si>
    <t>30051050</t>
  </si>
  <si>
    <t>30051051</t>
  </si>
  <si>
    <t>30051060</t>
  </si>
  <si>
    <t>30051061</t>
  </si>
  <si>
    <t>30052050</t>
  </si>
  <si>
    <t>30052051</t>
  </si>
  <si>
    <t>30052060</t>
  </si>
  <si>
    <t>30052061</t>
  </si>
  <si>
    <t>30053050</t>
  </si>
  <si>
    <t>30053051</t>
  </si>
  <si>
    <t>30053060</t>
  </si>
  <si>
    <t>30053061</t>
  </si>
  <si>
    <t>30050040</t>
  </si>
  <si>
    <t>30050041</t>
  </si>
  <si>
    <t>30050070</t>
  </si>
  <si>
    <t>30050071</t>
  </si>
  <si>
    <t>30100010</t>
  </si>
  <si>
    <t>30100020</t>
  </si>
  <si>
    <t>30100030</t>
  </si>
  <si>
    <t>30100080</t>
  </si>
  <si>
    <t>30100090</t>
  </si>
  <si>
    <t>30100100</t>
  </si>
  <si>
    <t>30101050</t>
  </si>
  <si>
    <t>30101051</t>
  </si>
  <si>
    <t>30101060</t>
  </si>
  <si>
    <t>30101061</t>
  </si>
  <si>
    <t>30102050</t>
  </si>
  <si>
    <t>30102051</t>
  </si>
  <si>
    <t>30102060</t>
  </si>
  <si>
    <t>30102061</t>
  </si>
  <si>
    <t>30103050</t>
  </si>
  <si>
    <t>30103051</t>
  </si>
  <si>
    <t>30103060</t>
  </si>
  <si>
    <t>30103061</t>
  </si>
  <si>
    <t>30100040</t>
  </si>
  <si>
    <t>30100041</t>
  </si>
  <si>
    <t>30100070</t>
  </si>
  <si>
    <t>30100071</t>
  </si>
  <si>
    <t>30150010</t>
  </si>
  <si>
    <t>30150020</t>
  </si>
  <si>
    <t>30150030</t>
  </si>
  <si>
    <t>30150080</t>
  </si>
  <si>
    <t>30150090</t>
  </si>
  <si>
    <t>30150100</t>
  </si>
  <si>
    <t>30151050</t>
  </si>
  <si>
    <t>30151051</t>
  </si>
  <si>
    <t>30151060</t>
  </si>
  <si>
    <t>30151061</t>
  </si>
  <si>
    <t>30152050</t>
  </si>
  <si>
    <t>30152051</t>
  </si>
  <si>
    <t>30152060</t>
  </si>
  <si>
    <t>30152061</t>
  </si>
  <si>
    <t>30153050</t>
  </si>
  <si>
    <t>30153051</t>
  </si>
  <si>
    <t>30153060</t>
  </si>
  <si>
    <t>30153061</t>
  </si>
  <si>
    <t>30150040</t>
  </si>
  <si>
    <t>30150041</t>
  </si>
  <si>
    <t>30150070</t>
  </si>
  <si>
    <t>30150071</t>
  </si>
  <si>
    <t>30200010</t>
  </si>
  <si>
    <t>30200020</t>
  </si>
  <si>
    <t>30200030</t>
  </si>
  <si>
    <t>30200080</t>
  </si>
  <si>
    <t>30200090</t>
  </si>
  <si>
    <t>30200100</t>
  </si>
  <si>
    <t>30201050</t>
  </si>
  <si>
    <t>30201051</t>
  </si>
  <si>
    <t>30201060</t>
  </si>
  <si>
    <t>30201061</t>
  </si>
  <si>
    <t>30202050</t>
  </si>
  <si>
    <t>30202051</t>
  </si>
  <si>
    <t>30202060</t>
  </si>
  <si>
    <t>30202061</t>
  </si>
  <si>
    <t>30203050</t>
  </si>
  <si>
    <t>30203051</t>
  </si>
  <si>
    <t>30203060</t>
  </si>
  <si>
    <t>30203061</t>
  </si>
  <si>
    <t>30200040</t>
  </si>
  <si>
    <t>30200041</t>
  </si>
  <si>
    <t>30200070</t>
  </si>
  <si>
    <t>30200071</t>
  </si>
  <si>
    <t>30250010</t>
  </si>
  <si>
    <t>30250020</t>
  </si>
  <si>
    <t>30250030</t>
  </si>
  <si>
    <t>30250080</t>
  </si>
  <si>
    <t>30250090</t>
  </si>
  <si>
    <t>30250100</t>
  </si>
  <si>
    <t>30251050</t>
  </si>
  <si>
    <t>30251051</t>
  </si>
  <si>
    <t>30251060</t>
  </si>
  <si>
    <t>30251061</t>
  </si>
  <si>
    <t>30252050</t>
  </si>
  <si>
    <t>30252051</t>
  </si>
  <si>
    <t>30252060</t>
  </si>
  <si>
    <t>30252061</t>
  </si>
  <si>
    <t>30253050</t>
  </si>
  <si>
    <t>30253051</t>
  </si>
  <si>
    <t>30253060</t>
  </si>
  <si>
    <t>30253061</t>
  </si>
  <si>
    <t>30250040</t>
  </si>
  <si>
    <t>30250041</t>
  </si>
  <si>
    <t>30250070</t>
  </si>
  <si>
    <t>30250071</t>
  </si>
  <si>
    <t>30300010</t>
  </si>
  <si>
    <t>30300020</t>
  </si>
  <si>
    <t>30300030</t>
  </si>
  <si>
    <t>30300080</t>
  </si>
  <si>
    <t>30300090</t>
  </si>
  <si>
    <t>30300100</t>
  </si>
  <si>
    <t>30301050</t>
  </si>
  <si>
    <t>30301051</t>
  </si>
  <si>
    <t>30301060</t>
  </si>
  <si>
    <t>30301061</t>
  </si>
  <si>
    <t>30302050</t>
  </si>
  <si>
    <t>30302051</t>
  </si>
  <si>
    <t>30302060</t>
  </si>
  <si>
    <t>30302061</t>
  </si>
  <si>
    <t>30303050</t>
  </si>
  <si>
    <t>30303051</t>
  </si>
  <si>
    <t>30303060</t>
  </si>
  <si>
    <t>30303061</t>
  </si>
  <si>
    <t>30300040</t>
  </si>
  <si>
    <t>30300041</t>
  </si>
  <si>
    <t>30300070</t>
  </si>
  <si>
    <t>30300071</t>
  </si>
  <si>
    <t>30350010</t>
  </si>
  <si>
    <t>30350020</t>
  </si>
  <si>
    <t>30350030</t>
  </si>
  <si>
    <t>30350080</t>
  </si>
  <si>
    <t>30350090</t>
  </si>
  <si>
    <t>30350100</t>
  </si>
  <si>
    <t>30351050</t>
  </si>
  <si>
    <t>30351051</t>
  </si>
  <si>
    <t>30351060</t>
  </si>
  <si>
    <t>30351061</t>
  </si>
  <si>
    <t>30352050</t>
  </si>
  <si>
    <t>30352051</t>
  </si>
  <si>
    <t>30352060</t>
  </si>
  <si>
    <t>30352061</t>
  </si>
  <si>
    <t>30353050</t>
  </si>
  <si>
    <t>30353051</t>
  </si>
  <si>
    <t>30353060</t>
  </si>
  <si>
    <t>30353061</t>
  </si>
  <si>
    <t>30350040</t>
  </si>
  <si>
    <t>30350041</t>
  </si>
  <si>
    <t>30350070</t>
  </si>
  <si>
    <t>30350071</t>
  </si>
  <si>
    <t>30400010</t>
  </si>
  <si>
    <t>30400020</t>
  </si>
  <si>
    <t>30400030</t>
  </si>
  <si>
    <t>30400080</t>
  </si>
  <si>
    <t>30400090</t>
  </si>
  <si>
    <t>30400100</t>
  </si>
  <si>
    <t>30401050</t>
  </si>
  <si>
    <t>30401051</t>
  </si>
  <si>
    <t>30401060</t>
  </si>
  <si>
    <t>30401061</t>
  </si>
  <si>
    <t>30402050</t>
  </si>
  <si>
    <t>30402051</t>
  </si>
  <si>
    <t>30402060</t>
  </si>
  <si>
    <t>30402061</t>
  </si>
  <si>
    <t>30403050</t>
  </si>
  <si>
    <t>30403051</t>
  </si>
  <si>
    <t>30403060</t>
  </si>
  <si>
    <t>30403061</t>
  </si>
  <si>
    <t>30400040</t>
  </si>
  <si>
    <t>30400041</t>
  </si>
  <si>
    <t>30400070</t>
  </si>
  <si>
    <t>30400071</t>
  </si>
  <si>
    <t>30450010</t>
  </si>
  <si>
    <t>30450020</t>
  </si>
  <si>
    <t>30450030</t>
  </si>
  <si>
    <t>30450080</t>
  </si>
  <si>
    <t>30450090</t>
  </si>
  <si>
    <t>30450100</t>
  </si>
  <si>
    <t>30451050</t>
  </si>
  <si>
    <t>30451051</t>
  </si>
  <si>
    <t>30451060</t>
  </si>
  <si>
    <t>30451061</t>
  </si>
  <si>
    <t>30452050</t>
  </si>
  <si>
    <t>30452051</t>
  </si>
  <si>
    <t>30452060</t>
  </si>
  <si>
    <t>30452061</t>
  </si>
  <si>
    <t>30453050</t>
  </si>
  <si>
    <t>30453051</t>
  </si>
  <si>
    <t>30453060</t>
  </si>
  <si>
    <t>30453061</t>
  </si>
  <si>
    <t>30450040</t>
  </si>
  <si>
    <t>30450041</t>
  </si>
  <si>
    <t>30450070</t>
  </si>
  <si>
    <t>30450071</t>
  </si>
  <si>
    <t>30500010</t>
  </si>
  <si>
    <t>30500020</t>
  </si>
  <si>
    <t>30500030</t>
  </si>
  <si>
    <t>30500080</t>
  </si>
  <si>
    <t>30500090</t>
  </si>
  <si>
    <t>30500100</t>
  </si>
  <si>
    <t>30501050</t>
  </si>
  <si>
    <t>30501051</t>
  </si>
  <si>
    <t>30501060</t>
  </si>
  <si>
    <t>30501061</t>
  </si>
  <si>
    <t>30502050</t>
  </si>
  <si>
    <t>30502051</t>
  </si>
  <si>
    <t>30502060</t>
  </si>
  <si>
    <t>30502061</t>
  </si>
  <si>
    <t>30503050</t>
  </si>
  <si>
    <t>30503051</t>
  </si>
  <si>
    <t>30503060</t>
  </si>
  <si>
    <t>30503061</t>
  </si>
  <si>
    <t>30500040</t>
  </si>
  <si>
    <t>30500041</t>
  </si>
  <si>
    <t>30500070</t>
  </si>
  <si>
    <t>30500071</t>
  </si>
  <si>
    <t>30550010</t>
  </si>
  <si>
    <t>30550020</t>
  </si>
  <si>
    <t>30550030</t>
  </si>
  <si>
    <t>30550080</t>
  </si>
  <si>
    <t>30550090</t>
  </si>
  <si>
    <t>30550100</t>
  </si>
  <si>
    <t>30551050</t>
  </si>
  <si>
    <t>30551051</t>
  </si>
  <si>
    <t>30551060</t>
  </si>
  <si>
    <t>30551061</t>
  </si>
  <si>
    <t>30552050</t>
  </si>
  <si>
    <t>30552051</t>
  </si>
  <si>
    <t>30552060</t>
  </si>
  <si>
    <t>30552061</t>
  </si>
  <si>
    <t>30553050</t>
  </si>
  <si>
    <t>30553051</t>
  </si>
  <si>
    <t>30553060</t>
  </si>
  <si>
    <t>30553061</t>
  </si>
  <si>
    <t>30550040</t>
  </si>
  <si>
    <t>30550041</t>
  </si>
  <si>
    <t>30550070</t>
  </si>
  <si>
    <t>30550071</t>
  </si>
  <si>
    <t>30600010</t>
  </si>
  <si>
    <t>30600020</t>
  </si>
  <si>
    <t>30600030</t>
  </si>
  <si>
    <t>30600080</t>
  </si>
  <si>
    <t>30600090</t>
  </si>
  <si>
    <t>30600100</t>
  </si>
  <si>
    <t>30601050</t>
  </si>
  <si>
    <t>30601051</t>
  </si>
  <si>
    <t>30601060</t>
  </si>
  <si>
    <t>30601061</t>
  </si>
  <si>
    <t>30602050</t>
  </si>
  <si>
    <t>30602051</t>
  </si>
  <si>
    <t>30602060</t>
  </si>
  <si>
    <t>30602061</t>
  </si>
  <si>
    <t>30603050</t>
  </si>
  <si>
    <t>30603051</t>
  </si>
  <si>
    <t>30603060</t>
  </si>
  <si>
    <t>30603061</t>
  </si>
  <si>
    <t>30600040</t>
  </si>
  <si>
    <t>30600041</t>
  </si>
  <si>
    <t>30600070</t>
  </si>
  <si>
    <t>30600071</t>
  </si>
  <si>
    <t>30650010</t>
  </si>
  <si>
    <t>30650020</t>
  </si>
  <si>
    <t>30650030</t>
  </si>
  <si>
    <t>30650080</t>
  </si>
  <si>
    <t>30650090</t>
  </si>
  <si>
    <t>30650100</t>
  </si>
  <si>
    <t>30651050</t>
  </si>
  <si>
    <t>30651051</t>
  </si>
  <si>
    <t>30651060</t>
  </si>
  <si>
    <t>30651061</t>
  </si>
  <si>
    <t>30652050</t>
  </si>
  <si>
    <t>30652051</t>
  </si>
  <si>
    <t>30652060</t>
  </si>
  <si>
    <t>30652061</t>
  </si>
  <si>
    <t>30653050</t>
  </si>
  <si>
    <t>30653051</t>
  </si>
  <si>
    <t>30653060</t>
  </si>
  <si>
    <t>30653061</t>
  </si>
  <si>
    <t>30650040</t>
  </si>
  <si>
    <t>30650041</t>
  </si>
  <si>
    <t>30650070</t>
  </si>
  <si>
    <t>30650071</t>
  </si>
  <si>
    <t>30700010</t>
  </si>
  <si>
    <t>30700020</t>
  </si>
  <si>
    <t>30700030</t>
  </si>
  <si>
    <t>30700080</t>
  </si>
  <si>
    <t>30700090</t>
  </si>
  <si>
    <t>30700100</t>
  </si>
  <si>
    <t>30701050</t>
  </si>
  <si>
    <t>30701051</t>
  </si>
  <si>
    <t>30701060</t>
  </si>
  <si>
    <t>30701061</t>
  </si>
  <si>
    <t>30702050</t>
  </si>
  <si>
    <t>30702051</t>
  </si>
  <si>
    <t>30702060</t>
  </si>
  <si>
    <t>30702061</t>
  </si>
  <si>
    <t>30703050</t>
  </si>
  <si>
    <t>30703051</t>
  </si>
  <si>
    <t>30703060</t>
  </si>
  <si>
    <t>30703061</t>
  </si>
  <si>
    <t>30700040</t>
  </si>
  <si>
    <t>30700041</t>
  </si>
  <si>
    <t>30700070</t>
  </si>
  <si>
    <t>30700071</t>
  </si>
  <si>
    <t>2,5</t>
  </si>
  <si>
    <t>3,7</t>
  </si>
  <si>
    <t>12,17</t>
  </si>
  <si>
    <t>16,22</t>
  </si>
  <si>
    <t>26,37</t>
  </si>
  <si>
    <t>34,48</t>
  </si>
  <si>
    <t>45,62</t>
  </si>
  <si>
    <t>59,81</t>
  </si>
  <si>
    <t>77,105</t>
  </si>
  <si>
    <t>70,97</t>
  </si>
  <si>
    <t>91,126</t>
  </si>
  <si>
    <t>98,133</t>
  </si>
  <si>
    <t>127,173</t>
  </si>
  <si>
    <t>123,168</t>
  </si>
  <si>
    <t>160,218</t>
  </si>
  <si>
    <t>155,212</t>
  </si>
  <si>
    <t>202,276</t>
  </si>
  <si>
    <t>210,285</t>
  </si>
  <si>
    <t>273,371</t>
  </si>
  <si>
    <t>237,322</t>
  </si>
  <si>
    <t>308,419</t>
  </si>
  <si>
    <t>288,391</t>
  </si>
  <si>
    <t>374,508</t>
  </si>
  <si>
    <t>373,506</t>
  </si>
  <si>
    <t>485,658</t>
  </si>
  <si>
    <t>450,610</t>
  </si>
  <si>
    <t>585,793</t>
  </si>
  <si>
    <t>530,719</t>
  </si>
  <si>
    <t>689,935</t>
  </si>
  <si>
    <t>40010010</t>
  </si>
  <si>
    <t>40010020</t>
  </si>
  <si>
    <t>40010030</t>
  </si>
  <si>
    <t>40010080</t>
  </si>
  <si>
    <t>40010090</t>
  </si>
  <si>
    <t>40010100</t>
  </si>
  <si>
    <t>40011050</t>
  </si>
  <si>
    <t>40011051</t>
  </si>
  <si>
    <t>40011060</t>
  </si>
  <si>
    <t>40011061</t>
  </si>
  <si>
    <t>40012050</t>
  </si>
  <si>
    <t>40012051</t>
  </si>
  <si>
    <t>40012060</t>
  </si>
  <si>
    <t>40012061</t>
  </si>
  <si>
    <t>40013050</t>
  </si>
  <si>
    <t>40013051</t>
  </si>
  <si>
    <t>40013060</t>
  </si>
  <si>
    <t>40013061</t>
  </si>
  <si>
    <t>40010040</t>
  </si>
  <si>
    <t>40010041</t>
  </si>
  <si>
    <t>40010070</t>
  </si>
  <si>
    <t>40010071</t>
  </si>
  <si>
    <t>40050010</t>
  </si>
  <si>
    <t>40050020</t>
  </si>
  <si>
    <t>40050030</t>
  </si>
  <si>
    <t>40050080</t>
  </si>
  <si>
    <t>40050090</t>
  </si>
  <si>
    <t>40050100</t>
  </si>
  <si>
    <t>40051050</t>
  </si>
  <si>
    <t>40051051</t>
  </si>
  <si>
    <t>40051060</t>
  </si>
  <si>
    <t>40051061</t>
  </si>
  <si>
    <t>40052050</t>
  </si>
  <si>
    <t>40052051</t>
  </si>
  <si>
    <t>40052060</t>
  </si>
  <si>
    <t>40052061</t>
  </si>
  <si>
    <t>40053050</t>
  </si>
  <si>
    <t>40053051</t>
  </si>
  <si>
    <t>40053060</t>
  </si>
  <si>
    <t>40053061</t>
  </si>
  <si>
    <t>40050040</t>
  </si>
  <si>
    <t>40050041</t>
  </si>
  <si>
    <t>40050070</t>
  </si>
  <si>
    <t>40050071</t>
  </si>
  <si>
    <t>40100010</t>
  </si>
  <si>
    <t>40100020</t>
  </si>
  <si>
    <t>40100030</t>
  </si>
  <si>
    <t>40100080</t>
  </si>
  <si>
    <t>40100090</t>
  </si>
  <si>
    <t>40100100</t>
  </si>
  <si>
    <t>40101050</t>
  </si>
  <si>
    <t>40101051</t>
  </si>
  <si>
    <t>40101060</t>
  </si>
  <si>
    <t>40101061</t>
  </si>
  <si>
    <t>40102050</t>
  </si>
  <si>
    <t>40102051</t>
  </si>
  <si>
    <t>40102060</t>
  </si>
  <si>
    <t>40102061</t>
  </si>
  <si>
    <t>40103050</t>
  </si>
  <si>
    <t>40103051</t>
  </si>
  <si>
    <t>40103060</t>
  </si>
  <si>
    <t>40103061</t>
  </si>
  <si>
    <t>40100040</t>
  </si>
  <si>
    <t>40100041</t>
  </si>
  <si>
    <t>40100070</t>
  </si>
  <si>
    <t>40100071</t>
  </si>
  <si>
    <t>40150010</t>
  </si>
  <si>
    <t>40150020</t>
  </si>
  <si>
    <t>40150030</t>
  </si>
  <si>
    <t>40150080</t>
  </si>
  <si>
    <t>40150090</t>
  </si>
  <si>
    <t>40150100</t>
  </si>
  <si>
    <t>40151050</t>
  </si>
  <si>
    <t>40151060</t>
  </si>
  <si>
    <t>40151061</t>
  </si>
  <si>
    <t>40152050</t>
  </si>
  <si>
    <t>40152060</t>
  </si>
  <si>
    <t>40152061</t>
  </si>
  <si>
    <t>40153050</t>
  </si>
  <si>
    <t>40153060</t>
  </si>
  <si>
    <t>40153061</t>
  </si>
  <si>
    <t>40150040</t>
  </si>
  <si>
    <t>40150041</t>
  </si>
  <si>
    <t>40150070</t>
  </si>
  <si>
    <t>40150071</t>
  </si>
  <si>
    <t>40200010</t>
  </si>
  <si>
    <t>40200020</t>
  </si>
  <si>
    <t>40200030</t>
  </si>
  <si>
    <t>40200080</t>
  </si>
  <si>
    <t>40200090</t>
  </si>
  <si>
    <t>40200100</t>
  </si>
  <si>
    <t>40201050</t>
  </si>
  <si>
    <t>40201051</t>
  </si>
  <si>
    <t>40201060</t>
  </si>
  <si>
    <t>40201061</t>
  </si>
  <si>
    <t>40202050</t>
  </si>
  <si>
    <t>40202051</t>
  </si>
  <si>
    <t>40202060</t>
  </si>
  <si>
    <t>40202061</t>
  </si>
  <si>
    <t>40203050</t>
  </si>
  <si>
    <t>40203051</t>
  </si>
  <si>
    <t>40203060</t>
  </si>
  <si>
    <t>40203061</t>
  </si>
  <si>
    <t>40200040</t>
  </si>
  <si>
    <t>40200041</t>
  </si>
  <si>
    <t>40200070</t>
  </si>
  <si>
    <t>40200071</t>
  </si>
  <si>
    <t>40250010</t>
  </si>
  <si>
    <t>40250020</t>
  </si>
  <si>
    <t>40250030</t>
  </si>
  <si>
    <t>40250080</t>
  </si>
  <si>
    <t>40250090</t>
  </si>
  <si>
    <t>40250100</t>
  </si>
  <si>
    <t>40251050</t>
  </si>
  <si>
    <t>40251051</t>
  </si>
  <si>
    <t>40251060</t>
  </si>
  <si>
    <t>40251061</t>
  </si>
  <si>
    <t>40252050</t>
  </si>
  <si>
    <t>40252051</t>
  </si>
  <si>
    <t>40252060</t>
  </si>
  <si>
    <t>40252061</t>
  </si>
  <si>
    <t>40253050</t>
  </si>
  <si>
    <t>40253051</t>
  </si>
  <si>
    <t>40253060</t>
  </si>
  <si>
    <t>40253061</t>
  </si>
  <si>
    <t>40250040</t>
  </si>
  <si>
    <t>40250041</t>
  </si>
  <si>
    <t>40250070</t>
  </si>
  <si>
    <t>40250071</t>
  </si>
  <si>
    <t>40300010</t>
  </si>
  <si>
    <t>40300020</t>
  </si>
  <si>
    <t>40300030</t>
  </si>
  <si>
    <t>40300080</t>
  </si>
  <si>
    <t>40300090</t>
  </si>
  <si>
    <t>40300100</t>
  </si>
  <si>
    <t>40301050</t>
  </si>
  <si>
    <t>40301051</t>
  </si>
  <si>
    <t>40301060</t>
  </si>
  <si>
    <t>40301061</t>
  </si>
  <si>
    <t>40302050</t>
  </si>
  <si>
    <t>40302051</t>
  </si>
  <si>
    <t>40302060</t>
  </si>
  <si>
    <t>40302061</t>
  </si>
  <si>
    <t>40303050</t>
  </si>
  <si>
    <t>40303051</t>
  </si>
  <si>
    <t>40303060</t>
  </si>
  <si>
    <t>40303061</t>
  </si>
  <si>
    <t>40300040</t>
  </si>
  <si>
    <t>40300041</t>
  </si>
  <si>
    <t>40300070</t>
  </si>
  <si>
    <t>40300071</t>
  </si>
  <si>
    <t>40350010</t>
  </si>
  <si>
    <t>40350020</t>
  </si>
  <si>
    <t>40350030</t>
  </si>
  <si>
    <t>40350080</t>
  </si>
  <si>
    <t>40350090</t>
  </si>
  <si>
    <t>40350100</t>
  </si>
  <si>
    <t>40351050</t>
  </si>
  <si>
    <t>40351051</t>
  </si>
  <si>
    <t>40351060</t>
  </si>
  <si>
    <t>40351061</t>
  </si>
  <si>
    <t>40352050</t>
  </si>
  <si>
    <t>40352051</t>
  </si>
  <si>
    <t>40352060</t>
  </si>
  <si>
    <t>40352061</t>
  </si>
  <si>
    <t>40353050</t>
  </si>
  <si>
    <t>40353051</t>
  </si>
  <si>
    <t>40353060</t>
  </si>
  <si>
    <t>40353061</t>
  </si>
  <si>
    <t>40350040</t>
  </si>
  <si>
    <t>40350041</t>
  </si>
  <si>
    <t>40350070</t>
  </si>
  <si>
    <t>40350071</t>
  </si>
  <si>
    <t>40400010</t>
  </si>
  <si>
    <t>40400020</t>
  </si>
  <si>
    <t>40400030</t>
  </si>
  <si>
    <t>40400080</t>
  </si>
  <si>
    <t>40400090</t>
  </si>
  <si>
    <t>40400100</t>
  </si>
  <si>
    <t>40401050</t>
  </si>
  <si>
    <t>40401051</t>
  </si>
  <si>
    <t>40401060</t>
  </si>
  <si>
    <t>40401061</t>
  </si>
  <si>
    <t>40402050</t>
  </si>
  <si>
    <t>40402051</t>
  </si>
  <si>
    <t>40402060</t>
  </si>
  <si>
    <t>40402061</t>
  </si>
  <si>
    <t>40403050</t>
  </si>
  <si>
    <t>40403051</t>
  </si>
  <si>
    <t>40403060</t>
  </si>
  <si>
    <t>40403061</t>
  </si>
  <si>
    <t>40400040</t>
  </si>
  <si>
    <t>40400041</t>
  </si>
  <si>
    <t>40400070</t>
  </si>
  <si>
    <t>40400071</t>
  </si>
  <si>
    <t>40450010</t>
  </si>
  <si>
    <t>40450020</t>
  </si>
  <si>
    <t>40450030</t>
  </si>
  <si>
    <t>40450080</t>
  </si>
  <si>
    <t>40450090</t>
  </si>
  <si>
    <t>40450100</t>
  </si>
  <si>
    <t>40451050</t>
  </si>
  <si>
    <t>40451051</t>
  </si>
  <si>
    <t>40451060</t>
  </si>
  <si>
    <t>40451061</t>
  </si>
  <si>
    <t>40452050</t>
  </si>
  <si>
    <t>40452051</t>
  </si>
  <si>
    <t>40452060</t>
  </si>
  <si>
    <t>40452061</t>
  </si>
  <si>
    <t>40453050</t>
  </si>
  <si>
    <t>40453051</t>
  </si>
  <si>
    <t>40453060</t>
  </si>
  <si>
    <t>40453061</t>
  </si>
  <si>
    <t>40450040</t>
  </si>
  <si>
    <t>40450041</t>
  </si>
  <si>
    <t>40450070</t>
  </si>
  <si>
    <t>40450071</t>
  </si>
  <si>
    <t>40500010</t>
  </si>
  <si>
    <t>40500020</t>
  </si>
  <si>
    <t>40500030</t>
  </si>
  <si>
    <t>40500080</t>
  </si>
  <si>
    <t>40500090</t>
  </si>
  <si>
    <t>40500100</t>
  </si>
  <si>
    <t>40501050</t>
  </si>
  <si>
    <t>40501051</t>
  </si>
  <si>
    <t>40501060</t>
  </si>
  <si>
    <t>40501061</t>
  </si>
  <si>
    <t>40502050</t>
  </si>
  <si>
    <t>40502051</t>
  </si>
  <si>
    <t>40502060</t>
  </si>
  <si>
    <t>40502061</t>
  </si>
  <si>
    <t>40503050</t>
  </si>
  <si>
    <t>40503051</t>
  </si>
  <si>
    <t>40503060</t>
  </si>
  <si>
    <t>40503061</t>
  </si>
  <si>
    <t>40500040</t>
  </si>
  <si>
    <t>40500041</t>
  </si>
  <si>
    <t>40500070</t>
  </si>
  <si>
    <t>40500071</t>
  </si>
  <si>
    <t>40550010</t>
  </si>
  <si>
    <t>40550020</t>
  </si>
  <si>
    <t>40550030</t>
  </si>
  <si>
    <t>40550080</t>
  </si>
  <si>
    <t>40550090</t>
  </si>
  <si>
    <t>40550100</t>
  </si>
  <si>
    <t>40551050</t>
  </si>
  <si>
    <t>40551051</t>
  </si>
  <si>
    <t>40551060</t>
  </si>
  <si>
    <t>40551061</t>
  </si>
  <si>
    <t>40552050</t>
  </si>
  <si>
    <t>40552051</t>
  </si>
  <si>
    <t>40552060</t>
  </si>
  <si>
    <t>40552061</t>
  </si>
  <si>
    <t>40553050</t>
  </si>
  <si>
    <t>40553051</t>
  </si>
  <si>
    <t>40553060</t>
  </si>
  <si>
    <t>40553061</t>
  </si>
  <si>
    <t>40550040</t>
  </si>
  <si>
    <t>40550041</t>
  </si>
  <si>
    <t>40550070</t>
  </si>
  <si>
    <t>40550071</t>
  </si>
  <si>
    <t>40600010</t>
  </si>
  <si>
    <t>40600020</t>
  </si>
  <si>
    <t>40600030</t>
  </si>
  <si>
    <t>40600080</t>
  </si>
  <si>
    <t>40600090</t>
  </si>
  <si>
    <t>40600100</t>
  </si>
  <si>
    <t>40601050</t>
  </si>
  <si>
    <t>40601051</t>
  </si>
  <si>
    <t>40601060</t>
  </si>
  <si>
    <t>40601061</t>
  </si>
  <si>
    <t>40602050</t>
  </si>
  <si>
    <t>40602051</t>
  </si>
  <si>
    <t>40602060</t>
  </si>
  <si>
    <t>40602061</t>
  </si>
  <si>
    <t>40603050</t>
  </si>
  <si>
    <t>40603051</t>
  </si>
  <si>
    <t>40603060</t>
  </si>
  <si>
    <t>40603061</t>
  </si>
  <si>
    <t>40600040</t>
  </si>
  <si>
    <t>40600041</t>
  </si>
  <si>
    <t>40600070</t>
  </si>
  <si>
    <t>40600071</t>
  </si>
  <si>
    <t>40650010</t>
  </si>
  <si>
    <t>40650020</t>
  </si>
  <si>
    <t>40650030</t>
  </si>
  <si>
    <t>40650080</t>
  </si>
  <si>
    <t>40650090</t>
  </si>
  <si>
    <t>40650100</t>
  </si>
  <si>
    <t>40651050</t>
  </si>
  <si>
    <t>40651051</t>
  </si>
  <si>
    <t>40651060</t>
  </si>
  <si>
    <t>40651061</t>
  </si>
  <si>
    <t>40652050</t>
  </si>
  <si>
    <t>40652051</t>
  </si>
  <si>
    <t>40652060</t>
  </si>
  <si>
    <t>40652061</t>
  </si>
  <si>
    <t>40653050</t>
  </si>
  <si>
    <t>40653051</t>
  </si>
  <si>
    <t>40653060</t>
  </si>
  <si>
    <t>40653061</t>
  </si>
  <si>
    <t>40650040</t>
  </si>
  <si>
    <t>40650041</t>
  </si>
  <si>
    <t>40650070</t>
  </si>
  <si>
    <t>40650071</t>
  </si>
  <si>
    <t>40700010</t>
  </si>
  <si>
    <t>40700020</t>
  </si>
  <si>
    <t>40700030</t>
  </si>
  <si>
    <t>40700080</t>
  </si>
  <si>
    <t>40700090</t>
  </si>
  <si>
    <t>40700100</t>
  </si>
  <si>
    <t>40701050</t>
  </si>
  <si>
    <t>40701051</t>
  </si>
  <si>
    <t>40701060</t>
  </si>
  <si>
    <t>40701061</t>
  </si>
  <si>
    <t>40702050</t>
  </si>
  <si>
    <t>40702051</t>
  </si>
  <si>
    <t>40702060</t>
  </si>
  <si>
    <t>40702061</t>
  </si>
  <si>
    <t>40703050</t>
  </si>
  <si>
    <t>40703051</t>
  </si>
  <si>
    <t>40703060</t>
  </si>
  <si>
    <t>40703061</t>
  </si>
  <si>
    <t>40700040</t>
  </si>
  <si>
    <t>40700041</t>
  </si>
  <si>
    <t>40700070</t>
  </si>
  <si>
    <t>40700071</t>
  </si>
  <si>
    <t>4,9</t>
  </si>
  <si>
    <t>17,26</t>
  </si>
  <si>
    <t>22,34</t>
  </si>
  <si>
    <t>39,55</t>
  </si>
  <si>
    <t>51,72</t>
  </si>
  <si>
    <t>67,93</t>
  </si>
  <si>
    <t>87,121</t>
  </si>
  <si>
    <t>113,157</t>
  </si>
  <si>
    <t>105,145</t>
  </si>
  <si>
    <t>137,189</t>
  </si>
  <si>
    <t>146,200</t>
  </si>
  <si>
    <t>190,260</t>
  </si>
  <si>
    <t>184,252</t>
  </si>
  <si>
    <t>239,328</t>
  </si>
  <si>
    <t>233,317</t>
  </si>
  <si>
    <t>303,412</t>
  </si>
  <si>
    <t>314,428</t>
  </si>
  <si>
    <t>408,556</t>
  </si>
  <si>
    <t>355,483</t>
  </si>
  <si>
    <t>462,628</t>
  </si>
  <si>
    <t>432,587</t>
  </si>
  <si>
    <t>562,763</t>
  </si>
  <si>
    <t>559,759</t>
  </si>
  <si>
    <t>727,987</t>
  </si>
  <si>
    <t>674,914</t>
  </si>
  <si>
    <t>876,1188</t>
  </si>
  <si>
    <t>795,1078</t>
  </si>
  <si>
    <t>1034,1401</t>
  </si>
  <si>
    <t>50010010</t>
  </si>
  <si>
    <t>50010020</t>
  </si>
  <si>
    <t>50010030</t>
  </si>
  <si>
    <t>50010080</t>
  </si>
  <si>
    <t>50010090</t>
  </si>
  <si>
    <t>50010100</t>
  </si>
  <si>
    <t>50011050</t>
  </si>
  <si>
    <t>50011051</t>
  </si>
  <si>
    <t>50011060</t>
  </si>
  <si>
    <t>50011061</t>
  </si>
  <si>
    <t>50012050</t>
  </si>
  <si>
    <t>50012051</t>
  </si>
  <si>
    <t>50012060</t>
  </si>
  <si>
    <t>50012061</t>
  </si>
  <si>
    <t>50013050</t>
  </si>
  <si>
    <t>50013051</t>
  </si>
  <si>
    <t>50013060</t>
  </si>
  <si>
    <t>50013061</t>
  </si>
  <si>
    <t>50010040</t>
  </si>
  <si>
    <t>50010041</t>
  </si>
  <si>
    <t>50010070</t>
  </si>
  <si>
    <t>50010071</t>
  </si>
  <si>
    <t>50050010</t>
  </si>
  <si>
    <t>50050020</t>
  </si>
  <si>
    <t>50050030</t>
  </si>
  <si>
    <t>50050080</t>
  </si>
  <si>
    <t>50050090</t>
  </si>
  <si>
    <t>50050100</t>
  </si>
  <si>
    <t>50051050</t>
  </si>
  <si>
    <t>50051051</t>
  </si>
  <si>
    <t>50051060</t>
  </si>
  <si>
    <t>50051061</t>
  </si>
  <si>
    <t>50052050</t>
  </si>
  <si>
    <t>50052051</t>
  </si>
  <si>
    <t>50052060</t>
  </si>
  <si>
    <t>50052061</t>
  </si>
  <si>
    <t>50053050</t>
  </si>
  <si>
    <t>50053051</t>
  </si>
  <si>
    <t>50053060</t>
  </si>
  <si>
    <t>50053061</t>
  </si>
  <si>
    <t>50050040</t>
  </si>
  <si>
    <t>50050041</t>
  </si>
  <si>
    <t>50050070</t>
  </si>
  <si>
    <t>50050071</t>
  </si>
  <si>
    <t>50100010</t>
  </si>
  <si>
    <t>50100020</t>
  </si>
  <si>
    <t>50100030</t>
  </si>
  <si>
    <t>50100080</t>
  </si>
  <si>
    <t>50100090</t>
  </si>
  <si>
    <t>50100100</t>
  </si>
  <si>
    <t>50101050</t>
  </si>
  <si>
    <t>50101051</t>
  </si>
  <si>
    <t>50101060</t>
  </si>
  <si>
    <t>50101061</t>
  </si>
  <si>
    <t>50102050</t>
  </si>
  <si>
    <t>50102051</t>
  </si>
  <si>
    <t>50102060</t>
  </si>
  <si>
    <t>50102061</t>
  </si>
  <si>
    <t>50103050</t>
  </si>
  <si>
    <t>50103051</t>
  </si>
  <si>
    <t>50103060</t>
  </si>
  <si>
    <t>50103061</t>
  </si>
  <si>
    <t>50100040</t>
  </si>
  <si>
    <t>50100041</t>
  </si>
  <si>
    <t>50100070</t>
  </si>
  <si>
    <t>50100071</t>
  </si>
  <si>
    <t>50150010</t>
  </si>
  <si>
    <t>50150020</t>
  </si>
  <si>
    <t>50150030</t>
  </si>
  <si>
    <t>50150080</t>
  </si>
  <si>
    <t>50150090</t>
  </si>
  <si>
    <t>50150100</t>
  </si>
  <si>
    <t>50151050</t>
  </si>
  <si>
    <t>50151051</t>
  </si>
  <si>
    <t>50151060</t>
  </si>
  <si>
    <t>50151061</t>
  </si>
  <si>
    <t>50152050</t>
  </si>
  <si>
    <t>50152051</t>
  </si>
  <si>
    <t>50152060</t>
  </si>
  <si>
    <t>50152061</t>
  </si>
  <si>
    <t>50153050</t>
  </si>
  <si>
    <t>50153051</t>
  </si>
  <si>
    <t>50153060</t>
  </si>
  <si>
    <t>50153061</t>
  </si>
  <si>
    <t>50150040</t>
  </si>
  <si>
    <t>50150041</t>
  </si>
  <si>
    <t>50150070</t>
  </si>
  <si>
    <t>50150071</t>
  </si>
  <si>
    <t>50200010</t>
  </si>
  <si>
    <t>50200020</t>
  </si>
  <si>
    <t>50200030</t>
  </si>
  <si>
    <t>50200080</t>
  </si>
  <si>
    <t>50200090</t>
  </si>
  <si>
    <t>50200100</t>
  </si>
  <si>
    <t>50201051</t>
  </si>
  <si>
    <t>50201060</t>
  </si>
  <si>
    <t>50201061</t>
  </si>
  <si>
    <t>50202051</t>
  </si>
  <si>
    <t>50202060</t>
  </si>
  <si>
    <t>50202061</t>
  </si>
  <si>
    <t>50203050</t>
  </si>
  <si>
    <t>50203060</t>
  </si>
  <si>
    <t>50203061</t>
  </si>
  <si>
    <t>50200040</t>
  </si>
  <si>
    <t>50200041</t>
  </si>
  <si>
    <t>50200070</t>
  </si>
  <si>
    <t>50200071</t>
  </si>
  <si>
    <t>50250010</t>
  </si>
  <si>
    <t>50250020</t>
  </si>
  <si>
    <t>50250030</t>
  </si>
  <si>
    <t>50250080</t>
  </si>
  <si>
    <t>50250090</t>
  </si>
  <si>
    <t>50250100</t>
  </si>
  <si>
    <t>50251050</t>
  </si>
  <si>
    <t>50251051</t>
  </si>
  <si>
    <t>50251060</t>
  </si>
  <si>
    <t>50251061</t>
  </si>
  <si>
    <t>50252050</t>
  </si>
  <si>
    <t>50252051</t>
  </si>
  <si>
    <t>50252060</t>
  </si>
  <si>
    <t>50252061</t>
  </si>
  <si>
    <t>50253050</t>
  </si>
  <si>
    <t>50253051</t>
  </si>
  <si>
    <t>50253060</t>
  </si>
  <si>
    <t>50253061</t>
  </si>
  <si>
    <t>50250040</t>
  </si>
  <si>
    <t>50250041</t>
  </si>
  <si>
    <t>50250070</t>
  </si>
  <si>
    <t>50250071</t>
  </si>
  <si>
    <t>50300010</t>
  </si>
  <si>
    <t>50300020</t>
  </si>
  <si>
    <t>50300030</t>
  </si>
  <si>
    <t>50300080</t>
  </si>
  <si>
    <t>50300090</t>
  </si>
  <si>
    <t>50300100</t>
  </si>
  <si>
    <t>50301050</t>
  </si>
  <si>
    <t>50301051</t>
  </si>
  <si>
    <t>50301060</t>
  </si>
  <si>
    <t>50301061</t>
  </si>
  <si>
    <t>50302050</t>
  </si>
  <si>
    <t>50302051</t>
  </si>
  <si>
    <t>50302060</t>
  </si>
  <si>
    <t>50302061</t>
  </si>
  <si>
    <t>50303050</t>
  </si>
  <si>
    <t>50303051</t>
  </si>
  <si>
    <t>50303060</t>
  </si>
  <si>
    <t>50303061</t>
  </si>
  <si>
    <t>50300040</t>
  </si>
  <si>
    <t>50300041</t>
  </si>
  <si>
    <t>50300070</t>
  </si>
  <si>
    <t>50300071</t>
  </si>
  <si>
    <t>50350010</t>
  </si>
  <si>
    <t>50350020</t>
  </si>
  <si>
    <t>50350030</t>
  </si>
  <si>
    <t>50350080</t>
  </si>
  <si>
    <t>50350090</t>
  </si>
  <si>
    <t>50350100</t>
  </si>
  <si>
    <t>50351050</t>
  </si>
  <si>
    <t>50351051</t>
  </si>
  <si>
    <t>50351060</t>
  </si>
  <si>
    <t>50351061</t>
  </si>
  <si>
    <t>50352050</t>
  </si>
  <si>
    <t>50352051</t>
  </si>
  <si>
    <t>50352060</t>
  </si>
  <si>
    <t>50352061</t>
  </si>
  <si>
    <t>50353050</t>
  </si>
  <si>
    <t>50353051</t>
  </si>
  <si>
    <t>50353060</t>
  </si>
  <si>
    <t>50353061</t>
  </si>
  <si>
    <t>50350040</t>
  </si>
  <si>
    <t>50350041</t>
  </si>
  <si>
    <t>50350070</t>
  </si>
  <si>
    <t>50350071</t>
  </si>
  <si>
    <t>50400010</t>
  </si>
  <si>
    <t>50400020</t>
  </si>
  <si>
    <t>50400030</t>
  </si>
  <si>
    <t>50400080</t>
  </si>
  <si>
    <t>50400090</t>
  </si>
  <si>
    <t>50400100</t>
  </si>
  <si>
    <t>50401050</t>
  </si>
  <si>
    <t>50401051</t>
  </si>
  <si>
    <t>50401060</t>
  </si>
  <si>
    <t>50401061</t>
  </si>
  <si>
    <t>50402050</t>
  </si>
  <si>
    <t>50402051</t>
  </si>
  <si>
    <t>50402060</t>
  </si>
  <si>
    <t>50402061</t>
  </si>
  <si>
    <t>50403050</t>
  </si>
  <si>
    <t>50403051</t>
  </si>
  <si>
    <t>50403060</t>
  </si>
  <si>
    <t>50403061</t>
  </si>
  <si>
    <t>50400040</t>
  </si>
  <si>
    <t>50400041</t>
  </si>
  <si>
    <t>50400070</t>
  </si>
  <si>
    <t>50400071</t>
  </si>
  <si>
    <t>50450010</t>
  </si>
  <si>
    <t>50450020</t>
  </si>
  <si>
    <t>50450030</t>
  </si>
  <si>
    <t>50450080</t>
  </si>
  <si>
    <t>50450090</t>
  </si>
  <si>
    <t>50450100</t>
  </si>
  <si>
    <t>50451050</t>
  </si>
  <si>
    <t>50451051</t>
  </si>
  <si>
    <t>50451060</t>
  </si>
  <si>
    <t>50451061</t>
  </si>
  <si>
    <t>50452050</t>
  </si>
  <si>
    <t>50452051</t>
  </si>
  <si>
    <t>50452060</t>
  </si>
  <si>
    <t>50452061</t>
  </si>
  <si>
    <t>50453050</t>
  </si>
  <si>
    <t>50453051</t>
  </si>
  <si>
    <t>50453060</t>
  </si>
  <si>
    <t>50453061</t>
  </si>
  <si>
    <t>50450040</t>
  </si>
  <si>
    <t>50450041</t>
  </si>
  <si>
    <t>50450070</t>
  </si>
  <si>
    <t>50450071</t>
  </si>
  <si>
    <t>50500010</t>
  </si>
  <si>
    <t>50500020</t>
  </si>
  <si>
    <t>50500030</t>
  </si>
  <si>
    <t>50500080</t>
  </si>
  <si>
    <t>50500090</t>
  </si>
  <si>
    <t>50500100</t>
  </si>
  <si>
    <t>50501050</t>
  </si>
  <si>
    <t>50501051</t>
  </si>
  <si>
    <t>50501060</t>
  </si>
  <si>
    <t>50501061</t>
  </si>
  <si>
    <t>50502050</t>
  </si>
  <si>
    <t>50502051</t>
  </si>
  <si>
    <t>50502060</t>
  </si>
  <si>
    <t>50502061</t>
  </si>
  <si>
    <t>50503050</t>
  </si>
  <si>
    <t>50503051</t>
  </si>
  <si>
    <t>50503060</t>
  </si>
  <si>
    <t>50503061</t>
  </si>
  <si>
    <t>50500040</t>
  </si>
  <si>
    <t>50500041</t>
  </si>
  <si>
    <t>50500070</t>
  </si>
  <si>
    <t>50500071</t>
  </si>
  <si>
    <t>50550010</t>
  </si>
  <si>
    <t>50550020</t>
  </si>
  <si>
    <t>50550030</t>
  </si>
  <si>
    <t>50550080</t>
  </si>
  <si>
    <t>50550090</t>
  </si>
  <si>
    <t>50550100</t>
  </si>
  <si>
    <t>50551050</t>
  </si>
  <si>
    <t>50551051</t>
  </si>
  <si>
    <t>50551060</t>
  </si>
  <si>
    <t>50551061</t>
  </si>
  <si>
    <t>50552050</t>
  </si>
  <si>
    <t>50552051</t>
  </si>
  <si>
    <t>50552060</t>
  </si>
  <si>
    <t>50552061</t>
  </si>
  <si>
    <t>50553050</t>
  </si>
  <si>
    <t>50553051</t>
  </si>
  <si>
    <t>50553060</t>
  </si>
  <si>
    <t>50553061</t>
  </si>
  <si>
    <t>50550040</t>
  </si>
  <si>
    <t>50550041</t>
  </si>
  <si>
    <t>50550070</t>
  </si>
  <si>
    <t>50550071</t>
  </si>
  <si>
    <t>50600010</t>
  </si>
  <si>
    <t>50600020</t>
  </si>
  <si>
    <t>50600030</t>
  </si>
  <si>
    <t>50600080</t>
  </si>
  <si>
    <t>50600090</t>
  </si>
  <si>
    <t>50600100</t>
  </si>
  <si>
    <t>50601050</t>
  </si>
  <si>
    <t>50601051</t>
  </si>
  <si>
    <t>50601060</t>
  </si>
  <si>
    <t>50601061</t>
  </si>
  <si>
    <t>50602050</t>
  </si>
  <si>
    <t>50602051</t>
  </si>
  <si>
    <t>50602060</t>
  </si>
  <si>
    <t>50602061</t>
  </si>
  <si>
    <t>50603050</t>
  </si>
  <si>
    <t>50603051</t>
  </si>
  <si>
    <t>50603060</t>
  </si>
  <si>
    <t>50603061</t>
  </si>
  <si>
    <t>50600040</t>
  </si>
  <si>
    <t>50600041</t>
  </si>
  <si>
    <t>50600070</t>
  </si>
  <si>
    <t>50600071</t>
  </si>
  <si>
    <t>50650010</t>
  </si>
  <si>
    <t>50650020</t>
  </si>
  <si>
    <t>50650030</t>
  </si>
  <si>
    <t>50650080</t>
  </si>
  <si>
    <t>50650090</t>
  </si>
  <si>
    <t>50650100</t>
  </si>
  <si>
    <t>50651050</t>
  </si>
  <si>
    <t>50651051</t>
  </si>
  <si>
    <t>50651060</t>
  </si>
  <si>
    <t>50651061</t>
  </si>
  <si>
    <t>50652050</t>
  </si>
  <si>
    <t>50652051</t>
  </si>
  <si>
    <t>50652060</t>
  </si>
  <si>
    <t>50652061</t>
  </si>
  <si>
    <t>50653050</t>
  </si>
  <si>
    <t>50653051</t>
  </si>
  <si>
    <t>50653060</t>
  </si>
  <si>
    <t>50653061</t>
  </si>
  <si>
    <t>50650040</t>
  </si>
  <si>
    <t>50650041</t>
  </si>
  <si>
    <t>50650070</t>
  </si>
  <si>
    <t>50650071</t>
  </si>
  <si>
    <t>50700010</t>
  </si>
  <si>
    <t>50700020</t>
  </si>
  <si>
    <t>50700030</t>
  </si>
  <si>
    <t>50700080</t>
  </si>
  <si>
    <t>50700090</t>
  </si>
  <si>
    <t>50700100</t>
  </si>
  <si>
    <t>50701050</t>
  </si>
  <si>
    <t>50701051</t>
  </si>
  <si>
    <t>50701060</t>
  </si>
  <si>
    <t>50701061</t>
  </si>
  <si>
    <t>50702050</t>
  </si>
  <si>
    <t>50702051</t>
  </si>
  <si>
    <t>50702060</t>
  </si>
  <si>
    <t>50702061</t>
  </si>
  <si>
    <t>50703050</t>
  </si>
  <si>
    <t>50703051</t>
  </si>
  <si>
    <t>50703060</t>
  </si>
  <si>
    <t>50703061</t>
  </si>
  <si>
    <t>50700040</t>
  </si>
  <si>
    <t>50700041</t>
  </si>
  <si>
    <t>50700070</t>
  </si>
  <si>
    <t>50700071</t>
  </si>
  <si>
    <t>5,12</t>
  </si>
  <si>
    <t>22,35</t>
  </si>
  <si>
    <t>29,46</t>
  </si>
  <si>
    <t>49,74</t>
  </si>
  <si>
    <t>64,96</t>
  </si>
  <si>
    <t>84,124</t>
  </si>
  <si>
    <t>109,161</t>
  </si>
  <si>
    <t>110,161</t>
  </si>
  <si>
    <t>143,209</t>
  </si>
  <si>
    <t>132,193</t>
  </si>
  <si>
    <t>172,251</t>
  </si>
  <si>
    <t>184,267</t>
  </si>
  <si>
    <t>239,347</t>
  </si>
  <si>
    <t>232,336</t>
  </si>
  <si>
    <t>302,437</t>
  </si>
  <si>
    <t>292,423</t>
  </si>
  <si>
    <t>380,550</t>
  </si>
  <si>
    <t>395,570</t>
  </si>
  <si>
    <t>514,741</t>
  </si>
  <si>
    <t>446,644</t>
  </si>
  <si>
    <t>580,837</t>
  </si>
  <si>
    <t>542,782</t>
  </si>
  <si>
    <t>705,1017</t>
  </si>
  <si>
    <t>702,1012</t>
  </si>
  <si>
    <t>913,1316</t>
  </si>
  <si>
    <t>846,1219</t>
  </si>
  <si>
    <t>1100,1585</t>
  </si>
  <si>
    <t>998,1438</t>
  </si>
  <si>
    <t>1297,1869</t>
  </si>
  <si>
    <t>106_0_0</t>
  </si>
  <si>
    <t>102_20_20</t>
  </si>
  <si>
    <t>101_100_100</t>
  </si>
  <si>
    <t>110_4_4</t>
  </si>
  <si>
    <t>108_9_9</t>
  </si>
  <si>
    <t>107_0_0</t>
  </si>
  <si>
    <t>105_4_4</t>
  </si>
  <si>
    <t>105_7_7</t>
  </si>
  <si>
    <t>108_4_4</t>
  </si>
  <si>
    <t>108_7_7</t>
  </si>
  <si>
    <t>102_30_30</t>
  </si>
  <si>
    <t>102_7_7</t>
  </si>
  <si>
    <t>105_3_3</t>
  </si>
  <si>
    <t>105_5_5</t>
  </si>
  <si>
    <t>105_0_0</t>
  </si>
  <si>
    <t>105_1_1</t>
  </si>
  <si>
    <t>106_20_20</t>
  </si>
  <si>
    <t>102_80_80</t>
  </si>
  <si>
    <t>110_7_7</t>
  </si>
  <si>
    <t>108_23_23</t>
  </si>
  <si>
    <t>107_20_20</t>
  </si>
  <si>
    <t>103_10_10,104_20_20</t>
  </si>
  <si>
    <t>105_12_12</t>
  </si>
  <si>
    <t>105_19_19</t>
  </si>
  <si>
    <t>108_12_12</t>
  </si>
  <si>
    <t>108_19_19</t>
  </si>
  <si>
    <t>102_110_110</t>
  </si>
  <si>
    <t>102_19_19</t>
  </si>
  <si>
    <t>105_9_9</t>
  </si>
  <si>
    <t>105_13_13</t>
  </si>
  <si>
    <t>105_10_10</t>
  </si>
  <si>
    <t>106_64_64</t>
  </si>
  <si>
    <t>102_150_150</t>
  </si>
  <si>
    <t>101_480_480</t>
  </si>
  <si>
    <t>110_12_12</t>
  </si>
  <si>
    <t>108_43_43</t>
  </si>
  <si>
    <t>103_32_32,104_64_64</t>
  </si>
  <si>
    <t>103_40_40,104_80_80</t>
  </si>
  <si>
    <t>105_30_30</t>
  </si>
  <si>
    <t>105_59_59</t>
  </si>
  <si>
    <t>108_30_30</t>
  </si>
  <si>
    <t>108_59_59</t>
  </si>
  <si>
    <t>102_240_240</t>
  </si>
  <si>
    <t>102_59_59</t>
  </si>
  <si>
    <t>105_20_20</t>
  </si>
  <si>
    <t>105_28_28</t>
  </si>
  <si>
    <t>102_185_185</t>
  </si>
  <si>
    <t>101_1160_1160</t>
  </si>
  <si>
    <t>110_27_27</t>
  </si>
  <si>
    <t>108_106_106</t>
  </si>
  <si>
    <t>107_64_64</t>
  </si>
  <si>
    <t>103_52_52,104_104_104</t>
  </si>
  <si>
    <t>105_103_103</t>
  </si>
  <si>
    <t>105_130_130</t>
  </si>
  <si>
    <t>108_103_103</t>
  </si>
  <si>
    <t>108_130_130</t>
  </si>
  <si>
    <t>102_420_420</t>
  </si>
  <si>
    <t>102_472_472</t>
  </si>
  <si>
    <t>105_39_39</t>
  </si>
  <si>
    <t>105_64_64</t>
  </si>
  <si>
    <t>105_50_50</t>
  </si>
  <si>
    <t>106_136_136</t>
  </si>
  <si>
    <t>101_2120_2120</t>
  </si>
  <si>
    <t>110_40_40</t>
  </si>
  <si>
    <t>108_211_211</t>
  </si>
  <si>
    <t>107_136_136</t>
  </si>
  <si>
    <t>105_171_171</t>
  </si>
  <si>
    <t>105_205_205</t>
  </si>
  <si>
    <t>108_171_171</t>
  </si>
  <si>
    <t>108_205_205</t>
  </si>
  <si>
    <t>102_550_550</t>
  </si>
  <si>
    <t>102_606_606</t>
  </si>
  <si>
    <t>105_102_102</t>
  </si>
  <si>
    <t>105_122_122</t>
  </si>
  <si>
    <t>105_66_66</t>
  </si>
  <si>
    <t>105_81_81</t>
  </si>
  <si>
    <t>106_237_237</t>
  </si>
  <si>
    <t>102_330_330</t>
  </si>
  <si>
    <t>101_3360_3360</t>
  </si>
  <si>
    <t>108_286_286</t>
  </si>
  <si>
    <t>107_237_237</t>
  </si>
  <si>
    <t>103_177_177,104_354_354</t>
  </si>
  <si>
    <t>105_256_256</t>
  </si>
  <si>
    <t>105_301_301</t>
  </si>
  <si>
    <t>108_256_256</t>
  </si>
  <si>
    <t>108_301_301</t>
  </si>
  <si>
    <t>102_690_690</t>
  </si>
  <si>
    <t>102_301_301</t>
  </si>
  <si>
    <t>105_153_153</t>
  </si>
  <si>
    <t>105_178_178</t>
  </si>
  <si>
    <t>105_104_104</t>
  </si>
  <si>
    <t>105_149_149</t>
  </si>
  <si>
    <t>106_372_372</t>
  </si>
  <si>
    <t>102_460_460</t>
  </si>
  <si>
    <t>110_65_65</t>
  </si>
  <si>
    <t>108_367_367</t>
  </si>
  <si>
    <t>107_372_372</t>
  </si>
  <si>
    <t>103_275_275,104_550_550</t>
  </si>
  <si>
    <t>105_368_368</t>
  </si>
  <si>
    <t>105_491_491</t>
  </si>
  <si>
    <t>108_368_368</t>
  </si>
  <si>
    <t>108_491_491</t>
  </si>
  <si>
    <t>102_880_880</t>
  </si>
  <si>
    <t>102_944_944</t>
  </si>
  <si>
    <t>105_216_216</t>
  </si>
  <si>
    <t>105_247_247</t>
  </si>
  <si>
    <t>106_596_596</t>
  </si>
  <si>
    <t>102_590_590</t>
  </si>
  <si>
    <t>101_4900_4900</t>
  </si>
  <si>
    <t>110_82_82</t>
  </si>
  <si>
    <t>108_588_588</t>
  </si>
  <si>
    <t>107_542_542</t>
  </si>
  <si>
    <t>103_443_443,104_886_886</t>
  </si>
  <si>
    <t>105_676_676</t>
  </si>
  <si>
    <t>105_758_758</t>
  </si>
  <si>
    <t>108_676_676</t>
  </si>
  <si>
    <t>108_758_758</t>
  </si>
  <si>
    <t>102_1040_1040</t>
  </si>
  <si>
    <t>102_1120_1120</t>
  </si>
  <si>
    <t>105_293_293</t>
  </si>
  <si>
    <t>105_375_375</t>
  </si>
  <si>
    <t>105_331_331</t>
  </si>
  <si>
    <t>106_751_751</t>
  </si>
  <si>
    <t>102_740_740</t>
  </si>
  <si>
    <t>101_6720_6720</t>
  </si>
  <si>
    <t>110_108_108</t>
  </si>
  <si>
    <t>108_880_880</t>
  </si>
  <si>
    <t>103_670_670,104_1340_1340</t>
  </si>
  <si>
    <t>105_880_880</t>
  </si>
  <si>
    <t>105_1029_1029</t>
  </si>
  <si>
    <t>108_1029_1029</t>
  </si>
  <si>
    <t>102_1240_1240</t>
  </si>
  <si>
    <t>102_1029_1029</t>
  </si>
  <si>
    <t>105_497_497</t>
  </si>
  <si>
    <t>105_549_549</t>
  </si>
  <si>
    <t>105_387_387</t>
  </si>
  <si>
    <t>105_431_431</t>
  </si>
  <si>
    <t>101_8840_8840</t>
  </si>
  <si>
    <t>110_137_137</t>
  </si>
  <si>
    <t>108_1255_1255</t>
  </si>
  <si>
    <t>107_751_751</t>
  </si>
  <si>
    <t>105_1253_1253</t>
  </si>
  <si>
    <t>105_1312_1312</t>
  </si>
  <si>
    <t>108_1253_1253</t>
  </si>
  <si>
    <t>108_1312_1312</t>
  </si>
  <si>
    <t>102_1320_1320</t>
  </si>
  <si>
    <t>102_1312_1312</t>
  </si>
  <si>
    <t>105_628_628</t>
  </si>
  <si>
    <t>105_689_689</t>
  </si>
  <si>
    <t>106_1000_1000</t>
  </si>
  <si>
    <t>102_975_975</t>
  </si>
  <si>
    <t>101_11560_11560</t>
  </si>
  <si>
    <t>110_172_172</t>
  </si>
  <si>
    <t>108_1726_1726</t>
  </si>
  <si>
    <t>107_1000_1000</t>
  </si>
  <si>
    <t>103_1097_1097,104_2194_2194</t>
  </si>
  <si>
    <t>103_1222_1222,104_2444_2444</t>
  </si>
  <si>
    <t>105_1401_1401</t>
  </si>
  <si>
    <t>105_1633_1633</t>
  </si>
  <si>
    <t>108_1401_1401</t>
  </si>
  <si>
    <t>108_1633_1633</t>
  </si>
  <si>
    <t>102_1440_1440</t>
  </si>
  <si>
    <t>102_1633_1633</t>
  </si>
  <si>
    <t>105_780_780</t>
  </si>
  <si>
    <t>105_929_929</t>
  </si>
  <si>
    <t>106_1291_1291</t>
  </si>
  <si>
    <t>102_1080_1080</t>
  </si>
  <si>
    <t>101_13920_13920</t>
  </si>
  <si>
    <t>110_219_219</t>
  </si>
  <si>
    <t>107_1291_1291</t>
  </si>
  <si>
    <t>105_1981_1981</t>
  </si>
  <si>
    <t>105_2195_2195</t>
  </si>
  <si>
    <t>108_1981_1981</t>
  </si>
  <si>
    <t>108_2195_2195</t>
  </si>
  <si>
    <t>102_1780_1780</t>
  </si>
  <si>
    <t>102_1972_1972</t>
  </si>
  <si>
    <t>105_1153_1153</t>
  </si>
  <si>
    <t>105_1243_1243</t>
  </si>
  <si>
    <t>106_1628_1628</t>
  </si>
  <si>
    <t>102_1260_1260</t>
  </si>
  <si>
    <t>110_271_271</t>
  </si>
  <si>
    <t>108_2300_2300</t>
  </si>
  <si>
    <t>107_1628_1628</t>
  </si>
  <si>
    <t>103_2007_2007,104_4014_4014</t>
  </si>
  <si>
    <t>103_2252_2252,104_4504_4504</t>
  </si>
  <si>
    <t>105_2515_2515</t>
  </si>
  <si>
    <t>105_2704_2704</t>
  </si>
  <si>
    <t>108_2515_2515</t>
  </si>
  <si>
    <t>108_2704_2704</t>
  </si>
  <si>
    <t>102_2260_2260</t>
  </si>
  <si>
    <t>102_2704_2704</t>
  </si>
  <si>
    <t>105_1377_1377</t>
  </si>
  <si>
    <t>105_1477_1477</t>
  </si>
  <si>
    <t>105_1152_1152</t>
  </si>
  <si>
    <t>105_1342_1342</t>
  </si>
  <si>
    <t>106_2015_2015</t>
  </si>
  <si>
    <t>102_1470_1470</t>
  </si>
  <si>
    <t>101_16900_16900</t>
  </si>
  <si>
    <t>110_352_352</t>
  </si>
  <si>
    <t>108_3884_3884</t>
  </si>
  <si>
    <t>107_2015_2015</t>
  </si>
  <si>
    <t>103_2854_2854,104_5708_5708</t>
  </si>
  <si>
    <t>105_2988_2988</t>
  </si>
  <si>
    <t>108_2988_2988</t>
  </si>
  <si>
    <t>102_2620_2620</t>
  </si>
  <si>
    <t>102_2988_2988</t>
  </si>
  <si>
    <t>105_1628_1628</t>
  </si>
  <si>
    <t>105_1627_1627</t>
  </si>
  <si>
    <t>102_0_0</t>
  </si>
  <si>
    <t>101_0_0</t>
  </si>
  <si>
    <t>110_0_0</t>
  </si>
  <si>
    <t>108_0_0</t>
  </si>
  <si>
    <t>105_3522_3522</t>
  </si>
  <si>
    <t>108_3522_3522</t>
  </si>
  <si>
    <t>102_3522_3522</t>
  </si>
  <si>
    <t>102_3080_3080</t>
  </si>
  <si>
    <t>103_2_2,104_6_6</t>
  </si>
  <si>
    <t>103_5_5,104_12_12</t>
  </si>
  <si>
    <t>103_18_18,104_38_38</t>
  </si>
  <si>
    <t>103_76_76,104_152_152</t>
  </si>
  <si>
    <t>103_113_113,104_226_226</t>
  </si>
  <si>
    <t>103_138_138,104_276_276</t>
  </si>
  <si>
    <t>103_216_216,104_432_432</t>
  </si>
  <si>
    <t>103_342_342,104_684_684</t>
  </si>
  <si>
    <t>103_533_533,104_1066_1066</t>
  </si>
  <si>
    <t>103_743_743,104_1486_1486</t>
  </si>
  <si>
    <t>103_854_854,104_1708_1708</t>
  </si>
  <si>
    <t>103_951_951,104_1902_1902</t>
  </si>
  <si>
    <t>103_1409_1409,104_2818_2818</t>
  </si>
  <si>
    <t>103_1648_1648,104_3296_3296</t>
  </si>
  <si>
    <t>103_2619_2619,104_5238_5238</t>
  </si>
  <si>
    <t>103_3269_3269,104_6538_6538</t>
  </si>
  <si>
    <t>新兵外套</t>
    <phoneticPr fontId="1" type="noConversion"/>
  </si>
  <si>
    <t>纹饰帽</t>
    <phoneticPr fontId="1" type="noConversion"/>
  </si>
  <si>
    <t>金戒指</t>
    <phoneticPr fontId="1" type="noConversion"/>
  </si>
  <si>
    <t>兽皮腰带</t>
    <phoneticPr fontId="1" type="noConversion"/>
  </si>
  <si>
    <t>贝壳项链</t>
    <phoneticPr fontId="1" type="noConversion"/>
  </si>
  <si>
    <t>轻布手套</t>
    <phoneticPr fontId="1" type="noConversion"/>
  </si>
  <si>
    <t>皮靴</t>
    <phoneticPr fontId="1" type="noConversion"/>
  </si>
  <si>
    <t>皮甲短裤</t>
    <phoneticPr fontId="1" type="noConversion"/>
  </si>
  <si>
    <t>学徒短裤</t>
    <phoneticPr fontId="1" type="noConversion"/>
  </si>
  <si>
    <t>短弓</t>
    <phoneticPr fontId="1" type="noConversion"/>
  </si>
  <si>
    <t>棘木弓</t>
    <phoneticPr fontId="1" type="noConversion"/>
  </si>
  <si>
    <t>小箭筒</t>
    <phoneticPr fontId="6" type="noConversion"/>
  </si>
  <si>
    <t>箭筒</t>
    <phoneticPr fontId="6" type="noConversion"/>
  </si>
  <si>
    <t>小圆盾</t>
    <phoneticPr fontId="6" type="noConversion"/>
  </si>
  <si>
    <t>尖头盾</t>
    <phoneticPr fontId="6" type="noConversion"/>
  </si>
  <si>
    <t>短剑</t>
    <phoneticPr fontId="6" type="noConversion"/>
  </si>
  <si>
    <t>军刀</t>
    <phoneticPr fontId="6" type="noConversion"/>
  </si>
  <si>
    <t>训练用杖</t>
    <phoneticPr fontId="6" type="noConversion"/>
  </si>
  <si>
    <t>学徒法杖</t>
    <phoneticPr fontId="6" type="noConversion"/>
  </si>
  <si>
    <t>学徒手册</t>
    <phoneticPr fontId="6" type="noConversion"/>
  </si>
  <si>
    <t>法术指南</t>
    <phoneticPr fontId="6" type="noConversion"/>
  </si>
  <si>
    <t>equipment/3001.png</t>
  </si>
  <si>
    <t>equipment/14001.png</t>
  </si>
  <si>
    <t>equipment/6001.png</t>
  </si>
  <si>
    <t>equipment/8001.png</t>
  </si>
  <si>
    <t>equipment/10001.png</t>
  </si>
  <si>
    <t>equipment/12001.png</t>
  </si>
  <si>
    <t>equipment/1101.png</t>
  </si>
  <si>
    <t>equipment/2101.png</t>
  </si>
  <si>
    <t>equipment/1201.png</t>
  </si>
  <si>
    <t>equipment/2201.png</t>
  </si>
  <si>
    <t>equipment/1301.png</t>
  </si>
  <si>
    <t>equipment/2301.png</t>
  </si>
  <si>
    <t>equipment/5001.png</t>
  </si>
  <si>
    <t>equipment/7001.png</t>
  </si>
  <si>
    <t>isOpen</t>
    <phoneticPr fontId="1" type="noConversion"/>
  </si>
  <si>
    <t>godlyAttr</t>
  </si>
  <si>
    <t>神器属性ID</t>
    <phoneticPr fontId="1" type="noConversion"/>
  </si>
  <si>
    <t>开孔费用</t>
    <phoneticPr fontId="1" type="noConversion"/>
  </si>
  <si>
    <t>punchCost</t>
  </si>
  <si>
    <t>10000_1002_1000,30000_30001_1,30000_30002_1,30000_30003_1</t>
  </si>
  <si>
    <t>10000_1002_5000,30000_30001_1,30000_30002_1,30000_30003_1</t>
  </si>
  <si>
    <t>10000_1002_10000,30000_30001_1,30000_30002_1,30000_30003_1</t>
  </si>
  <si>
    <t>10000_1002_15000,30000_30001_1,30000_30002_1,30000_30003_1</t>
  </si>
  <si>
    <t>10000_1002_20000,30000_30001_1,30000_30002_1,30000_30003_1</t>
  </si>
  <si>
    <t>10000_1002_25000,30000_30001_1,30000_30002_1,30000_30003_1</t>
  </si>
  <si>
    <t>10000_1002_30000,30000_30001_1,30000_30002_1,30000_30003_1</t>
  </si>
  <si>
    <t>10000_1002_35000,30000_30001_1,30000_30002_1,30000_30003_1</t>
  </si>
  <si>
    <t>10000_1002_40000,30000_30001_1,30000_30002_1,30000_30003_1</t>
  </si>
  <si>
    <t>10000_1002_45000,30000_30001_1,30000_30002_1,30000_30003_1</t>
  </si>
  <si>
    <t>10000_1002_50000,30000_30001_1,30000_30002_1,30000_30003_1</t>
  </si>
  <si>
    <t>10000_1002_55000,30000_30001_1,30000_30002_1,30000_30003_1</t>
  </si>
  <si>
    <t>10000_1002_60000,30000_30001_1,30000_30002_1,30000_30003_1</t>
  </si>
  <si>
    <t>10000_1002_65000,30000_30001_1,30000_30002_1,30000_30003_1</t>
  </si>
  <si>
    <t>10000_1002_70000,30000_30001_1,30000_30002_1,30000_30003_1</t>
  </si>
  <si>
    <t>10000_1002_1000,30000_30001_1,30000_30002_1,30000_30003_1</t>
    <phoneticPr fontId="1" type="noConversion"/>
  </si>
  <si>
    <t>尖头盾</t>
  </si>
  <si>
    <t>坚硬皮带</t>
    <phoneticPr fontId="1" type="noConversion"/>
  </si>
  <si>
    <t>铁锁腰带</t>
    <phoneticPr fontId="1" type="noConversion"/>
  </si>
  <si>
    <t>战士束带</t>
    <phoneticPr fontId="1" type="noConversion"/>
  </si>
  <si>
    <t>前锋腰带</t>
    <phoneticPr fontId="1" type="noConversion"/>
  </si>
  <si>
    <t>斗士腰带</t>
    <phoneticPr fontId="1" type="noConversion"/>
  </si>
  <si>
    <t>生命腰带</t>
    <phoneticPr fontId="1" type="noConversion"/>
  </si>
  <si>
    <t>力量腰带</t>
    <phoneticPr fontId="1" type="noConversion"/>
  </si>
  <si>
    <t>秘银腰带</t>
    <phoneticPr fontId="1" type="noConversion"/>
  </si>
  <si>
    <t>魔鳞腰带</t>
    <phoneticPr fontId="1" type="noConversion"/>
  </si>
  <si>
    <t>远征腰带</t>
    <phoneticPr fontId="1" type="noConversion"/>
  </si>
  <si>
    <t>统御腰带</t>
    <phoneticPr fontId="1" type="noConversion"/>
  </si>
  <si>
    <t>盔帽</t>
  </si>
  <si>
    <t>双链罩帽</t>
  </si>
  <si>
    <t>镶带头盔</t>
  </si>
  <si>
    <t>烈焰头罩</t>
  </si>
  <si>
    <t>轻便头盔</t>
    <phoneticPr fontId="1" type="noConversion"/>
  </si>
  <si>
    <t>卫士头盔</t>
    <phoneticPr fontId="1" type="noConversion"/>
  </si>
  <si>
    <t>战争头盔</t>
    <phoneticPr fontId="1" type="noConversion"/>
  </si>
  <si>
    <t>战痕头盔</t>
    <phoneticPr fontId="1" type="noConversion"/>
  </si>
  <si>
    <t>银月头盔</t>
    <phoneticPr fontId="1" type="noConversion"/>
  </si>
  <si>
    <t>虚空之冠</t>
  </si>
  <si>
    <t>宝石戒指</t>
    <phoneticPr fontId="1" type="noConversion"/>
  </si>
  <si>
    <t>石岩指环</t>
    <phoneticPr fontId="1" type="noConversion"/>
  </si>
  <si>
    <t>督军腰带</t>
    <phoneticPr fontId="1" type="noConversion"/>
  </si>
  <si>
    <t>繁星之戒</t>
    <phoneticPr fontId="1" type="noConversion"/>
  </si>
  <si>
    <t>血岩戒指</t>
    <phoneticPr fontId="1" type="noConversion"/>
  </si>
  <si>
    <t>烈焰指环</t>
    <phoneticPr fontId="1" type="noConversion"/>
  </si>
  <si>
    <t>龙纹戒指</t>
    <phoneticPr fontId="1" type="noConversion"/>
  </si>
  <si>
    <t>灵风之戒</t>
    <phoneticPr fontId="1" type="noConversion"/>
  </si>
  <si>
    <t>星宇指环</t>
    <phoneticPr fontId="1" type="noConversion"/>
  </si>
  <si>
    <t>镇魂之戒</t>
    <phoneticPr fontId="1" type="noConversion"/>
  </si>
  <si>
    <t>圣火指环</t>
    <phoneticPr fontId="1" type="noConversion"/>
  </si>
  <si>
    <t>至尊三戒</t>
    <phoneticPr fontId="1" type="noConversion"/>
  </si>
  <si>
    <t>软垫靴</t>
  </si>
  <si>
    <t>链甲战靴</t>
  </si>
  <si>
    <t>探寻者之靴</t>
    <phoneticPr fontId="1" type="noConversion"/>
  </si>
  <si>
    <t>镶饰胫甲</t>
  </si>
  <si>
    <t>混乱之靴</t>
    <phoneticPr fontId="1" type="noConversion"/>
  </si>
  <si>
    <t>浩劫长靴</t>
  </si>
  <si>
    <t>征战之靴</t>
    <phoneticPr fontId="1" type="noConversion"/>
  </si>
  <si>
    <t>龙鳞护胫</t>
    <phoneticPr fontId="1" type="noConversion"/>
  </si>
  <si>
    <t>天行者之靴</t>
    <phoneticPr fontId="1" type="noConversion"/>
  </si>
  <si>
    <t>雷神护腰</t>
    <phoneticPr fontId="1" type="noConversion"/>
  </si>
  <si>
    <t>残阳王冠</t>
    <phoneticPr fontId="1" type="noConversion"/>
  </si>
  <si>
    <t>星旅之靴</t>
    <phoneticPr fontId="1" type="noConversion"/>
  </si>
  <si>
    <t>步兵护手</t>
  </si>
  <si>
    <t>战痕手套</t>
  </si>
  <si>
    <t>工程手套</t>
    <phoneticPr fontId="1" type="noConversion"/>
  </si>
  <si>
    <t>链甲手套</t>
  </si>
  <si>
    <t>激励手甲</t>
  </si>
  <si>
    <t>血拳手套</t>
  </si>
  <si>
    <t>远征军护手</t>
    <phoneticPr fontId="1" type="noConversion"/>
  </si>
  <si>
    <t>狱火战靴</t>
    <phoneticPr fontId="1" type="noConversion"/>
  </si>
  <si>
    <t>风暴长靴</t>
    <phoneticPr fontId="1" type="noConversion"/>
  </si>
  <si>
    <t>重拳手套</t>
    <phoneticPr fontId="1" type="noConversion"/>
  </si>
  <si>
    <t>英勇战盔</t>
    <phoneticPr fontId="1" type="noConversion"/>
  </si>
  <si>
    <t>愤怒护手</t>
    <phoneticPr fontId="1" type="noConversion"/>
  </si>
  <si>
    <t>荣耀先驱护手</t>
    <phoneticPr fontId="1" type="noConversion"/>
  </si>
  <si>
    <t>泰坦之拳</t>
    <phoneticPr fontId="1" type="noConversion"/>
  </si>
  <si>
    <t>使者项链</t>
  </si>
  <si>
    <t>翡翠项链</t>
    <phoneticPr fontId="1" type="noConversion"/>
  </si>
  <si>
    <t>魔光项链</t>
  </si>
  <si>
    <t>虎眼石项链</t>
  </si>
  <si>
    <t>苍蓝挂坠</t>
    <phoneticPr fontId="1" type="noConversion"/>
  </si>
  <si>
    <t>新月项链</t>
    <phoneticPr fontId="1" type="noConversion"/>
  </si>
  <si>
    <t>誓言护坠</t>
    <phoneticPr fontId="1" type="noConversion"/>
  </si>
  <si>
    <t>遗忘石坠</t>
    <phoneticPr fontId="1" type="noConversion"/>
  </si>
  <si>
    <t>悔恨之链</t>
    <phoneticPr fontId="1" type="noConversion"/>
  </si>
  <si>
    <t>救赎坠饰</t>
    <phoneticPr fontId="1" type="noConversion"/>
  </si>
  <si>
    <t>岁月永恒护符</t>
    <phoneticPr fontId="1" type="noConversion"/>
  </si>
  <si>
    <t>锁甲外套</t>
    <phoneticPr fontId="1" type="noConversion"/>
  </si>
  <si>
    <t>战士胸甲</t>
    <phoneticPr fontId="1" type="noConversion"/>
  </si>
  <si>
    <t>硬皮外套</t>
  </si>
  <si>
    <t>暗石胸甲</t>
  </si>
  <si>
    <t>卫兵胸甲</t>
  </si>
  <si>
    <t>银月护甲</t>
  </si>
  <si>
    <t>烙铁胸甲</t>
  </si>
  <si>
    <t>水滴胸铠</t>
  </si>
  <si>
    <t>防卫者外套</t>
    <phoneticPr fontId="1" type="noConversion"/>
  </si>
  <si>
    <t>蛮兽胸甲</t>
  </si>
  <si>
    <t>瑟银护甲</t>
  </si>
  <si>
    <t>执政官胸甲</t>
    <phoneticPr fontId="1" type="noConversion"/>
  </si>
  <si>
    <t>军团胸甲</t>
    <phoneticPr fontId="1" type="noConversion"/>
  </si>
  <si>
    <t>血卫胸甲</t>
    <phoneticPr fontId="1" type="noConversion"/>
  </si>
  <si>
    <t>明光战甲</t>
    <phoneticPr fontId="1" type="noConversion"/>
  </si>
  <si>
    <t>龙骑战甲</t>
    <phoneticPr fontId="1" type="noConversion"/>
  </si>
  <si>
    <t>碎界之铠</t>
    <phoneticPr fontId="1" type="noConversion"/>
  </si>
  <si>
    <t>学徒短裤</t>
    <phoneticPr fontId="1" type="noConversion"/>
  </si>
  <si>
    <t>末世胸铠</t>
    <phoneticPr fontId="1" type="noConversion"/>
  </si>
  <si>
    <t>湮没胸甲</t>
    <phoneticPr fontId="1" type="noConversion"/>
  </si>
  <si>
    <t>护卫短裤</t>
  </si>
  <si>
    <t>荒野马裤</t>
  </si>
  <si>
    <t>手工长裤</t>
    <phoneticPr fontId="1" type="noConversion"/>
  </si>
  <si>
    <t>链甲护腿</t>
    <phoneticPr fontId="1" type="noConversion"/>
  </si>
  <si>
    <t>勇气腿甲</t>
  </si>
  <si>
    <t>游侠护腿</t>
  </si>
  <si>
    <t>逐风护腿</t>
    <phoneticPr fontId="1" type="noConversion"/>
  </si>
  <si>
    <t>残忍腿甲</t>
    <phoneticPr fontId="1" type="noConversion"/>
  </si>
  <si>
    <t>巨熊护腿</t>
  </si>
  <si>
    <t>冰铸腿铠</t>
  </si>
  <si>
    <t>织灵护腿</t>
    <phoneticPr fontId="1" type="noConversion"/>
  </si>
  <si>
    <t>凯旋腿甲</t>
    <phoneticPr fontId="1" type="noConversion"/>
  </si>
  <si>
    <t>征服者护腿</t>
    <phoneticPr fontId="1" type="noConversion"/>
  </si>
  <si>
    <t>光耀腿甲</t>
    <phoneticPr fontId="1" type="noConversion"/>
  </si>
  <si>
    <t>深渊护腿</t>
    <phoneticPr fontId="1" type="noConversion"/>
  </si>
  <si>
    <t>止战腿甲</t>
    <phoneticPr fontId="1" type="noConversion"/>
  </si>
  <si>
    <t>魂卫护腿</t>
    <phoneticPr fontId="1" type="noConversion"/>
  </si>
  <si>
    <t>不朽护腿</t>
    <phoneticPr fontId="1" type="noConversion"/>
  </si>
  <si>
    <t>长剑</t>
    <phoneticPr fontId="6" type="noConversion"/>
  </si>
  <si>
    <t>宽刃剑</t>
    <phoneticPr fontId="6" type="noConversion"/>
  </si>
  <si>
    <t>双刃剑</t>
    <phoneticPr fontId="6" type="noConversion"/>
  </si>
  <si>
    <t>鸢盾</t>
  </si>
  <si>
    <t>金属大盾</t>
    <phoneticPr fontId="6" type="noConversion"/>
  </si>
  <si>
    <t>护卫之盾</t>
    <phoneticPr fontId="6" type="noConversion"/>
  </si>
  <si>
    <t>硬弓</t>
    <phoneticPr fontId="1" type="noConversion"/>
  </si>
  <si>
    <t>反曲弓</t>
    <phoneticPr fontId="1" type="noConversion"/>
  </si>
  <si>
    <t>箭筒</t>
  </si>
  <si>
    <t>巫术之杖</t>
    <phoneticPr fontId="6" type="noConversion"/>
  </si>
  <si>
    <t>秘术法杖</t>
    <phoneticPr fontId="6" type="noConversion"/>
  </si>
  <si>
    <t>法术指南</t>
  </si>
  <si>
    <t>护卫之刃</t>
    <phoneticPr fontId="6" type="noConversion"/>
  </si>
  <si>
    <t>铜铸重剑</t>
    <phoneticPr fontId="6" type="noConversion"/>
  </si>
  <si>
    <t>猎手强弓</t>
  </si>
  <si>
    <t>灰木弓</t>
  </si>
  <si>
    <t>帆布箭筒</t>
  </si>
  <si>
    <t>魔导法杖</t>
  </si>
  <si>
    <t>附魔银棒</t>
    <phoneticPr fontId="6" type="noConversion"/>
  </si>
  <si>
    <t>奥术典籍</t>
    <phoneticPr fontId="6" type="noConversion"/>
  </si>
  <si>
    <t>游侠之刃</t>
    <phoneticPr fontId="6" type="noConversion"/>
  </si>
  <si>
    <t>半人马长弓</t>
  </si>
  <si>
    <t>狩猎之弓</t>
    <phoneticPr fontId="1" type="noConversion"/>
  </si>
  <si>
    <t>皮革箭筒</t>
  </si>
  <si>
    <t>风灵法杖</t>
  </si>
  <si>
    <t>禁锢之杖</t>
  </si>
  <si>
    <t>秘法之书</t>
    <phoneticPr fontId="6" type="noConversion"/>
  </si>
  <si>
    <t>勇者长剑</t>
  </si>
  <si>
    <t>护卫之弓</t>
  </si>
  <si>
    <t>狩猎箭筒</t>
  </si>
  <si>
    <t>保护法杖</t>
  </si>
  <si>
    <t>火石法杖</t>
    <phoneticPr fontId="6" type="noConversion"/>
  </si>
  <si>
    <t>奥义之书</t>
    <phoneticPr fontId="6" type="noConversion"/>
  </si>
  <si>
    <t>游侠利刃</t>
    <phoneticPr fontId="6" type="noConversion"/>
  </si>
  <si>
    <t>坚固重盾</t>
    <phoneticPr fontId="6" type="noConversion"/>
  </si>
  <si>
    <t>精准之弓</t>
  </si>
  <si>
    <t>刺客箭筒</t>
  </si>
  <si>
    <t>荒骨法杖</t>
    <phoneticPr fontId="6" type="noConversion"/>
  </si>
  <si>
    <t>预言法杖</t>
    <phoneticPr fontId="6" type="noConversion"/>
  </si>
  <si>
    <t>魔法秘典</t>
    <phoneticPr fontId="6" type="noConversion"/>
  </si>
  <si>
    <t>贵族阔剑</t>
  </si>
  <si>
    <t>耐久盾牌</t>
  </si>
  <si>
    <t>盐石盾牌</t>
  </si>
  <si>
    <t>灼热弓</t>
  </si>
  <si>
    <t>红木长弓</t>
  </si>
  <si>
    <t>倒刺箭筒</t>
  </si>
  <si>
    <t>崇圣箭筒</t>
  </si>
  <si>
    <t>聚能之杖</t>
    <phoneticPr fontId="6" type="noConversion"/>
  </si>
  <si>
    <t>神圣典籍</t>
    <phoneticPr fontId="6" type="noConversion"/>
  </si>
  <si>
    <t>召唤之书</t>
    <phoneticPr fontId="6" type="noConversion"/>
  </si>
  <si>
    <t>水晶剑</t>
  </si>
  <si>
    <t>符记盾牌</t>
  </si>
  <si>
    <t>风语者弯弓</t>
  </si>
  <si>
    <t>游侠箭筒</t>
    <phoneticPr fontId="1" type="noConversion"/>
  </si>
  <si>
    <t>风行者箭筒</t>
    <phoneticPr fontId="6" type="noConversion"/>
  </si>
  <si>
    <t>真理之杖</t>
    <phoneticPr fontId="6" type="noConversion"/>
  </si>
  <si>
    <t>新月法杖</t>
    <phoneticPr fontId="6" type="noConversion"/>
  </si>
  <si>
    <t>破咒之刃</t>
    <phoneticPr fontId="6" type="noConversion"/>
  </si>
  <si>
    <t>洛阿巨盾</t>
    <phoneticPr fontId="6" type="noConversion"/>
  </si>
  <si>
    <t>强击之弓</t>
    <phoneticPr fontId="1" type="noConversion"/>
  </si>
  <si>
    <t>羽月长弓</t>
    <phoneticPr fontId="1" type="noConversion"/>
  </si>
  <si>
    <t>风怒箭筒</t>
    <phoneticPr fontId="6" type="noConversion"/>
  </si>
  <si>
    <t>皇权之杖</t>
    <phoneticPr fontId="6" type="noConversion"/>
  </si>
  <si>
    <t>符文魔杖</t>
    <phoneticPr fontId="6" type="noConversion"/>
  </si>
  <si>
    <t>附魔秘典</t>
    <phoneticPr fontId="6" type="noConversion"/>
  </si>
  <si>
    <t>龙纹之刃</t>
    <phoneticPr fontId="6" type="noConversion"/>
  </si>
  <si>
    <t>正义壁垒</t>
    <phoneticPr fontId="6" type="noConversion"/>
  </si>
  <si>
    <t>霜语长弓</t>
    <phoneticPr fontId="1" type="noConversion"/>
  </si>
  <si>
    <t>月沐箭筒</t>
    <phoneticPr fontId="6" type="noConversion"/>
  </si>
  <si>
    <t>圣晶权杖</t>
    <phoneticPr fontId="6" type="noConversion"/>
  </si>
  <si>
    <t>虚灵法杖</t>
    <phoneticPr fontId="6" type="noConversion"/>
  </si>
  <si>
    <t>占卜魔典</t>
    <phoneticPr fontId="6" type="noConversion"/>
  </si>
  <si>
    <t>放逐者之刃</t>
    <phoneticPr fontId="6" type="noConversion"/>
  </si>
  <si>
    <t>魂祭之盾</t>
    <phoneticPr fontId="6" type="noConversion"/>
  </si>
  <si>
    <t>黎明之刃</t>
    <phoneticPr fontId="6" type="noConversion"/>
  </si>
  <si>
    <t>觅心者长弓</t>
    <phoneticPr fontId="1" type="noConversion"/>
  </si>
  <si>
    <t>氪金大盾</t>
    <phoneticPr fontId="1" type="noConversion"/>
  </si>
  <si>
    <t>黑骨箭袋</t>
    <phoneticPr fontId="6" type="noConversion"/>
  </si>
  <si>
    <t>符文箭筒</t>
    <phoneticPr fontId="6" type="noConversion"/>
  </si>
  <si>
    <t>寒霜之怒</t>
    <phoneticPr fontId="6" type="noConversion"/>
  </si>
  <si>
    <t>幻术之书</t>
    <phoneticPr fontId="6" type="noConversion"/>
  </si>
  <si>
    <t>护咒之书</t>
    <phoneticPr fontId="6" type="noConversion"/>
  </si>
  <si>
    <t>噬魂符剑</t>
    <phoneticPr fontId="6" type="noConversion"/>
  </si>
  <si>
    <t>反射壁垒</t>
    <phoneticPr fontId="1" type="noConversion"/>
  </si>
  <si>
    <t>巨龙之盾</t>
    <phoneticPr fontId="6" type="noConversion"/>
  </si>
  <si>
    <t>魂击长弓</t>
    <phoneticPr fontId="1" type="noConversion"/>
  </si>
  <si>
    <t>银矢箭筒</t>
    <phoneticPr fontId="6" type="noConversion"/>
  </si>
  <si>
    <t>日怒箭筒</t>
    <phoneticPr fontId="6" type="noConversion"/>
  </si>
  <si>
    <t>遗忘魔典</t>
    <phoneticPr fontId="6" type="noConversion"/>
  </si>
  <si>
    <t>龙语秘典</t>
    <phoneticPr fontId="6" type="noConversion"/>
  </si>
  <si>
    <t>龙语入门</t>
    <phoneticPr fontId="6" type="noConversion"/>
  </si>
  <si>
    <t>逐光巨剑</t>
    <phoneticPr fontId="6" type="noConversion"/>
  </si>
  <si>
    <t>魂歌之刃</t>
    <phoneticPr fontId="6" type="noConversion"/>
  </si>
  <si>
    <t>灵魂壁垒</t>
    <phoneticPr fontId="6" type="noConversion"/>
  </si>
  <si>
    <t>暗之追猎者</t>
    <phoneticPr fontId="1" type="noConversion"/>
  </si>
  <si>
    <t>恒光巨杖</t>
    <phoneticPr fontId="6" type="noConversion"/>
  </si>
  <si>
    <t>无尽回响之杖</t>
    <phoneticPr fontId="6" type="noConversion"/>
  </si>
  <si>
    <t>猎星箭袋</t>
    <phoneticPr fontId="6" type="noConversion"/>
  </si>
  <si>
    <t>逐日之矢</t>
    <phoneticPr fontId="6" type="noConversion"/>
  </si>
  <si>
    <t>时轮金杖</t>
    <phoneticPr fontId="6" type="noConversion"/>
  </si>
  <si>
    <t>日辉法杖</t>
    <phoneticPr fontId="6" type="noConversion"/>
  </si>
  <si>
    <t>星图指南</t>
    <phoneticPr fontId="6" type="noConversion"/>
  </si>
  <si>
    <t>毁灭之刃</t>
    <phoneticPr fontId="6" type="noConversion"/>
  </si>
  <si>
    <t>命运</t>
    <phoneticPr fontId="6" type="noConversion"/>
  </si>
  <si>
    <t>日怒之盾</t>
    <phoneticPr fontId="6" type="noConversion"/>
  </si>
  <si>
    <t>瓦解法杖</t>
    <phoneticPr fontId="6" type="noConversion"/>
  </si>
  <si>
    <t>守护者之杖</t>
    <phoneticPr fontId="6" type="noConversion"/>
  </si>
  <si>
    <t>群星之怒</t>
    <phoneticPr fontId="1" type="noConversion"/>
  </si>
  <si>
    <t>日怒凰弓</t>
    <phoneticPr fontId="1" type="noConversion"/>
  </si>
  <si>
    <t>虚空魔典</t>
    <phoneticPr fontId="6" type="noConversion"/>
  </si>
  <si>
    <t>星界之书</t>
    <phoneticPr fontId="6" type="noConversion"/>
  </si>
  <si>
    <t>憎恨之击</t>
    <phoneticPr fontId="1" type="noConversion"/>
  </si>
  <si>
    <t>追噬之矢</t>
    <phoneticPr fontId="6" type="noConversion"/>
  </si>
  <si>
    <t>相位壁垒</t>
    <phoneticPr fontId="6" type="noConversion"/>
  </si>
  <si>
    <t>灰烬使者</t>
    <phoneticPr fontId="6" type="noConversion"/>
  </si>
  <si>
    <t>永恒之盾</t>
    <phoneticPr fontId="6" type="noConversion"/>
  </si>
  <si>
    <t>行者弯弓</t>
    <phoneticPr fontId="1" type="noConversion"/>
  </si>
  <si>
    <t>血刃</t>
    <phoneticPr fontId="6" type="noConversion"/>
  </si>
  <si>
    <t>炽热长剑</t>
    <phoneticPr fontId="1" type="noConversion"/>
  </si>
  <si>
    <t>召唤魔典</t>
    <phoneticPr fontId="6" type="noConversion"/>
  </si>
  <si>
    <t>大法师之书</t>
    <phoneticPr fontId="6" type="noConversion"/>
  </si>
  <si>
    <t>魔铁巨剑</t>
    <phoneticPr fontId="6" type="noConversion"/>
  </si>
  <si>
    <t>秩序盾牌</t>
    <phoneticPr fontId="1" type="noConversion"/>
  </si>
  <si>
    <t>阳炎之弓</t>
    <phoneticPr fontId="1" type="noConversion"/>
  </si>
  <si>
    <t>打孔消耗</t>
    <phoneticPr fontId="1" type="noConversion"/>
  </si>
  <si>
    <t>1,1001</t>
  </si>
  <si>
    <t>2,1002</t>
  </si>
  <si>
    <t>3,1003</t>
  </si>
  <si>
    <t>纹饰帽</t>
    <phoneticPr fontId="1" type="noConversion"/>
  </si>
  <si>
    <t>101_100_100</t>
    <phoneticPr fontId="1" type="noConversion"/>
  </si>
  <si>
    <t>equipment/1102.png</t>
  </si>
  <si>
    <t>equipment/1202.png</t>
  </si>
  <si>
    <t>equipment/1302.png</t>
  </si>
  <si>
    <t>equipment/1103.png</t>
  </si>
  <si>
    <t>equipment/1104.png</t>
  </si>
  <si>
    <t>equipment/2102.png</t>
  </si>
  <si>
    <t>equipment/2202.png</t>
  </si>
  <si>
    <t>equipment/1303.png</t>
  </si>
  <si>
    <t>equipment/1304.png</t>
  </si>
  <si>
    <t>equipment/2302.png</t>
  </si>
  <si>
    <t>equipment/5002.png</t>
  </si>
  <si>
    <t>equipment/5003.png</t>
  </si>
  <si>
    <t>equipment/7002.png</t>
  </si>
  <si>
    <t>equipment/3002.png</t>
  </si>
  <si>
    <t>equipment/14002.png</t>
  </si>
  <si>
    <t>equipment/6002.png</t>
  </si>
  <si>
    <t>equipment/8002.png</t>
  </si>
  <si>
    <t>equipment/10002.png</t>
  </si>
  <si>
    <t>equipment/1105.png</t>
  </si>
  <si>
    <t>equipment/1106.png</t>
  </si>
  <si>
    <t>equipment/2103.png</t>
  </si>
  <si>
    <t>equipment/1205.png</t>
  </si>
  <si>
    <t>equipment/1206.png</t>
  </si>
  <si>
    <t>equipment/2203.png</t>
  </si>
  <si>
    <t>equipment/1305.png</t>
  </si>
  <si>
    <t>equipment/1306.png</t>
  </si>
  <si>
    <t>equipment/2303.png</t>
  </si>
  <si>
    <t>equipment/7003.png</t>
  </si>
  <si>
    <t>equipment/6003.png</t>
  </si>
  <si>
    <t>equipment/8003.png</t>
  </si>
  <si>
    <t>equipment/10003.png</t>
  </si>
  <si>
    <t>equipment/12002.png</t>
  </si>
  <si>
    <t>equipment/1108.png</t>
  </si>
  <si>
    <t>equipment/1107.png</t>
  </si>
  <si>
    <t>equipment/2105.png</t>
  </si>
  <si>
    <t>equipment/1207.png</t>
  </si>
  <si>
    <t>equipment/1208.png</t>
  </si>
  <si>
    <t>equipment/2204.png</t>
  </si>
  <si>
    <t>equipment/1307.png</t>
  </si>
  <si>
    <t>equipment/1308.png</t>
  </si>
  <si>
    <t>equipment/2304.png</t>
  </si>
  <si>
    <t>equipment/5005.png</t>
  </si>
  <si>
    <t>equipment/3003.png</t>
  </si>
  <si>
    <t>equipment/14003.png</t>
  </si>
  <si>
    <t>equipment/6004.png</t>
  </si>
  <si>
    <t>equipment/10004.png</t>
  </si>
  <si>
    <t>equipment/12003.png</t>
  </si>
  <si>
    <t>equipment/1109.png</t>
  </si>
  <si>
    <t>equipment/2104.png</t>
  </si>
  <si>
    <t>equipment/1209.png</t>
  </si>
  <si>
    <t>equipment/2205.png</t>
  </si>
  <si>
    <t>equipment/1309.png</t>
  </si>
  <si>
    <t>equipment/1310.png</t>
  </si>
  <si>
    <t>equipment/2305.png</t>
  </si>
  <si>
    <t>equipment/5004.png</t>
  </si>
  <si>
    <t>equipment/5006.png</t>
  </si>
  <si>
    <t>equipment/7005.png</t>
  </si>
  <si>
    <t>equipment/7004.png</t>
  </si>
  <si>
    <t>equipment/3005.png</t>
  </si>
  <si>
    <t>equipment/14004.png</t>
  </si>
  <si>
    <t>equipment/6005.png</t>
  </si>
  <si>
    <t>equipment/8004.png</t>
  </si>
  <si>
    <t>equipment/12004.png</t>
  </si>
  <si>
    <t>equipment/1110.png</t>
  </si>
  <si>
    <t>equipment/1111.png</t>
  </si>
  <si>
    <t>equipment/2106.png</t>
  </si>
  <si>
    <t>equipment/1210.png</t>
  </si>
  <si>
    <t>equipment/1215.png</t>
  </si>
  <si>
    <t>equipment/2206.png</t>
  </si>
  <si>
    <t>equipment/1311.png</t>
  </si>
  <si>
    <t>equipment/1312.png</t>
  </si>
  <si>
    <t>equipment/2306.png</t>
  </si>
  <si>
    <t>equipment/5007.png</t>
  </si>
  <si>
    <t>equipment/7006.png</t>
  </si>
  <si>
    <t>equipment/3004.png</t>
  </si>
  <si>
    <t>equipment/14005.png</t>
  </si>
  <si>
    <t>equipment/8005.png</t>
  </si>
  <si>
    <t>equipment/10005.png</t>
  </si>
  <si>
    <t>equipment/12005.png</t>
  </si>
  <si>
    <t>equipment/1112.png</t>
  </si>
  <si>
    <t>equipment/1113.png</t>
  </si>
  <si>
    <t>equipment/2107.png</t>
  </si>
  <si>
    <t>equipment/2108.png</t>
  </si>
  <si>
    <t>equipment/1211.png</t>
  </si>
  <si>
    <t>equipment/1212.png</t>
  </si>
  <si>
    <t>equipment/2207.png</t>
  </si>
  <si>
    <t>equipment/2208.png</t>
  </si>
  <si>
    <t>equipment/1313.png</t>
  </si>
  <si>
    <t>equipment/2307.png</t>
  </si>
  <si>
    <t>equipment/2308.png</t>
  </si>
  <si>
    <t>equipment/5008.png</t>
  </si>
  <si>
    <t>equipment/5009.png</t>
  </si>
  <si>
    <t>equipment/7007.png</t>
  </si>
  <si>
    <t>equipment/7008.png</t>
  </si>
  <si>
    <t>equipment/3006.png</t>
  </si>
  <si>
    <t>equipment/14006.png</t>
  </si>
  <si>
    <t>equipment/6006.png</t>
  </si>
  <si>
    <t>equipment/8006.png</t>
  </si>
  <si>
    <t>equipment/10006.png</t>
  </si>
  <si>
    <t>equipment/12006.png</t>
  </si>
  <si>
    <t>equipment/1114.png</t>
  </si>
  <si>
    <t>equipment/2117.png</t>
  </si>
  <si>
    <t>equipment/1213.png</t>
  </si>
  <si>
    <t>equipment/1314.png</t>
  </si>
  <si>
    <t>equipment/2314.png</t>
  </si>
  <si>
    <t>equipment/5011.png</t>
  </si>
  <si>
    <t>equipment/3007.png</t>
  </si>
  <si>
    <t>equipment/14007.png</t>
  </si>
  <si>
    <t>equipment/6007.png</t>
  </si>
  <si>
    <t>equipment/8007.png</t>
  </si>
  <si>
    <t>equipment/10007.png</t>
  </si>
  <si>
    <t>equipment/1115.png</t>
  </si>
  <si>
    <t>equipment/1116.png</t>
  </si>
  <si>
    <t>equipment/2109.png</t>
  </si>
  <si>
    <t>equipment/1216.png</t>
  </si>
  <si>
    <t>equipment/1214.png</t>
  </si>
  <si>
    <t>equipment/2209.png</t>
  </si>
  <si>
    <t>equipment/1317.png</t>
  </si>
  <si>
    <t>equipment/1315.png</t>
  </si>
  <si>
    <t>equipment/2309.png</t>
  </si>
  <si>
    <t>equipment/5012.png</t>
  </si>
  <si>
    <t>equipment/7009.png</t>
  </si>
  <si>
    <t>equipment/6008.png</t>
  </si>
  <si>
    <t>equipment/8008.png</t>
  </si>
  <si>
    <t>equipment/10008.png</t>
  </si>
  <si>
    <t>equipment/12007.png</t>
  </si>
  <si>
    <t>equipment/1117.png</t>
  </si>
  <si>
    <t>equipment/2110.png</t>
  </si>
  <si>
    <t>equipment/1217.png</t>
  </si>
  <si>
    <t>equipment/2211.png</t>
  </si>
  <si>
    <t>equipment/1316.png</t>
  </si>
  <si>
    <t>equipment/1318.png</t>
  </si>
  <si>
    <t>equipment/2310.png</t>
  </si>
  <si>
    <t>equipment/5013.png</t>
  </si>
  <si>
    <t>equipment/5014.png</t>
  </si>
  <si>
    <t>equipment/7011.png</t>
  </si>
  <si>
    <t>equipment/7010.png</t>
  </si>
  <si>
    <t>equipment/3008.png</t>
  </si>
  <si>
    <t>equipment/14008.png</t>
  </si>
  <si>
    <t>equipment/6009.png</t>
  </si>
  <si>
    <t>equipment/10009.png</t>
  </si>
  <si>
    <t>equipment/12008.png</t>
  </si>
  <si>
    <t>equipment/1119.png</t>
  </si>
  <si>
    <t>equipment/1120.png</t>
  </si>
  <si>
    <t>equipment/2111.png</t>
  </si>
  <si>
    <t>equipment/2112.png</t>
  </si>
  <si>
    <t>equipment/1218.png</t>
  </si>
  <si>
    <t>equipment/1221.png</t>
  </si>
  <si>
    <t>equipment/2210.png</t>
  </si>
  <si>
    <t>equipment/2212.png</t>
  </si>
  <si>
    <t>equipment/1319.png</t>
  </si>
  <si>
    <t>equipment/1320.png</t>
  </si>
  <si>
    <t>equipment/2311.png</t>
  </si>
  <si>
    <t>equipment/2312.png</t>
  </si>
  <si>
    <t>equipment/7012.png</t>
  </si>
  <si>
    <t>equipment/3009.png</t>
  </si>
  <si>
    <t>equipment/14009.png</t>
  </si>
  <si>
    <t>equipment/8009.png</t>
  </si>
  <si>
    <t>equipment/12009.png</t>
  </si>
  <si>
    <t>equipment/1121.png</t>
  </si>
  <si>
    <t>equipment/2113.png</t>
  </si>
  <si>
    <t>equipment/2114.png</t>
  </si>
  <si>
    <t>equipment/2213.png</t>
  </si>
  <si>
    <t>equipment/2214.png</t>
  </si>
  <si>
    <t>equipment/1321.png</t>
  </si>
  <si>
    <t>equipment/2313.png</t>
  </si>
  <si>
    <t>equipment/2316.png</t>
  </si>
  <si>
    <t>equipment/5015.png</t>
  </si>
  <si>
    <t>equipment/7013.png</t>
  </si>
  <si>
    <t>equipment/3010.png</t>
  </si>
  <si>
    <t>equipment/14010.png</t>
  </si>
  <si>
    <t>equipment/6010.png</t>
  </si>
  <si>
    <t>equipment/8010.png</t>
  </si>
  <si>
    <t>equipment/10010.png</t>
  </si>
  <si>
    <t>equipment/12010.png</t>
  </si>
  <si>
    <t>equipment/1118.png</t>
  </si>
  <si>
    <t>equipment/1122.png</t>
  </si>
  <si>
    <t>equipment/2115.png</t>
  </si>
  <si>
    <t>equipment/1220.png</t>
  </si>
  <si>
    <t>equipment/2215.png</t>
  </si>
  <si>
    <t>equipment/1322.png</t>
  </si>
  <si>
    <t>equipment/2315.png</t>
  </si>
  <si>
    <t>equipment/5016.png</t>
  </si>
  <si>
    <t>equipment/7014.png</t>
  </si>
  <si>
    <t>equipment/7015.png</t>
  </si>
  <si>
    <t>equipment/3011.png</t>
  </si>
  <si>
    <t>equipment/14011.png</t>
  </si>
  <si>
    <t>equipment/6011.png</t>
  </si>
  <si>
    <t>equipment/8011.png</t>
  </si>
  <si>
    <t>equipment/10011.png</t>
  </si>
  <si>
    <t>equipment/12011.png</t>
  </si>
  <si>
    <t>equipment/1123.png</t>
  </si>
  <si>
    <t>equipment/2116.png</t>
  </si>
  <si>
    <t>equipment/1224.png</t>
  </si>
  <si>
    <t>equipment/2216.png</t>
  </si>
  <si>
    <t>equipment/1323.png</t>
  </si>
  <si>
    <t>equipment/2317.png</t>
  </si>
  <si>
    <t>equipment/5017.png</t>
  </si>
  <si>
    <t>equipment/7017.png</t>
  </si>
  <si>
    <t>equipment/1124.png</t>
  </si>
  <si>
    <t>equipment/2118.png</t>
  </si>
  <si>
    <t>equipment/1222.png</t>
  </si>
  <si>
    <t>equipment/2218.png</t>
  </si>
  <si>
    <t>equipment/1324.png</t>
  </si>
  <si>
    <t>equipment/2318.png</t>
  </si>
  <si>
    <t>equipment/1204.png</t>
    <phoneticPr fontId="1" type="noConversion"/>
  </si>
  <si>
    <t>equipment/1203.png</t>
    <phoneticPr fontId="1" type="noConversion"/>
  </si>
  <si>
    <t>埃提耶什，守护者的传说之杖</t>
    <phoneticPr fontId="6" type="noConversion"/>
  </si>
  <si>
    <t>equipment/101301.png</t>
    <phoneticPr fontId="1" type="noConversion"/>
  </si>
  <si>
    <t>0</t>
    <phoneticPr fontId="1" type="noConversion"/>
  </si>
  <si>
    <t>103_99999_99999,104_99999_99999</t>
    <phoneticPr fontId="1" type="noConversion"/>
  </si>
  <si>
    <t>99999,99999</t>
    <phoneticPr fontId="1" type="noConversion"/>
  </si>
  <si>
    <t>主手武器</t>
    <phoneticPr fontId="1" type="noConversion"/>
  </si>
  <si>
    <t>魔鳞外衣</t>
    <phoneticPr fontId="1" type="noConversion"/>
  </si>
  <si>
    <t>苍蓝挂坠</t>
  </si>
  <si>
    <t>血岩戒指</t>
  </si>
  <si>
    <t>10000_1002_1000,30000_30001_1,30000_30002_1,30000_30003_1</t>
    <phoneticPr fontId="1" type="noConversion"/>
  </si>
</sst>
</file>

<file path=xl/styles.xml><?xml version="1.0" encoding="utf-8"?>
<styleSheet xmlns="http://schemas.openxmlformats.org/spreadsheetml/2006/main">
  <fonts count="7">
    <font>
      <sz val="11"/>
      <color indexed="8"/>
      <name val="宋体"/>
      <family val="2"/>
      <charset val="134"/>
    </font>
    <font>
      <sz val="9"/>
      <name val="宋体"/>
      <family val="2"/>
      <charset val="134"/>
    </font>
    <font>
      <sz val="11"/>
      <color indexed="8"/>
      <name val="宋体"/>
      <family val="3"/>
      <charset val="134"/>
    </font>
    <font>
      <sz val="11"/>
      <color indexed="60"/>
      <name val="宋体"/>
      <family val="2"/>
      <charset val="134"/>
    </font>
    <font>
      <b/>
      <sz val="10"/>
      <color theme="1"/>
      <name val="Arial"/>
      <family val="2"/>
    </font>
    <font>
      <sz val="11"/>
      <color theme="1"/>
      <name val="宋体"/>
      <family val="2"/>
      <charset val="134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2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2" borderId="1" xfId="1" applyBorder="1">
      <alignment vertical="center"/>
    </xf>
    <xf numFmtId="0" fontId="4" fillId="3" borderId="1" xfId="0" applyFont="1" applyFill="1" applyBorder="1">
      <alignment vertical="center"/>
    </xf>
    <xf numFmtId="0" fontId="5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49" fontId="0" fillId="0" borderId="0" xfId="0" applyNumberForma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</cellXfs>
  <cellStyles count="2">
    <cellStyle name="差 2" xfId="1"/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ua/Resource_Product/trunk/&#31574;&#21010;&#25968;&#25454;&#34920;/&#25968;&#20540;&#35745;&#31639;/&#25346;&#26426;WOW&#25968;&#20540;&#24635;&#349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计算规则"/>
      <sheetName val="游戏类型定义"/>
      <sheetName val="用户升级"/>
      <sheetName val="防御属性修正系数"/>
      <sheetName val="职业设计"/>
      <sheetName val="职业属性"/>
      <sheetName val="装备设计"/>
      <sheetName val="装备一览"/>
      <sheetName val="装备强化"/>
      <sheetName val="装备强化附表"/>
      <sheetName val="关卡"/>
      <sheetName val="怪物"/>
      <sheetName val="商城"/>
      <sheetName val="购买金币"/>
      <sheetName val="挂机WOW数值总表"/>
    </sheetNames>
    <definedNames>
      <definedName name="装备部位" refersTo="='游戏类型定义'!$B$20:$B$29"/>
    </definedNames>
    <sheetDataSet>
      <sheetData sheetId="0" refreshError="1"/>
      <sheetData sheetId="1" refreshError="1">
        <row r="20">
          <cell r="B20" t="str">
            <v>头盔</v>
          </cell>
          <cell r="C20">
            <v>1</v>
          </cell>
        </row>
        <row r="21">
          <cell r="B21" t="str">
            <v>戒指</v>
          </cell>
          <cell r="C21">
            <v>2</v>
          </cell>
        </row>
        <row r="22">
          <cell r="B22" t="str">
            <v>腰带</v>
          </cell>
          <cell r="C22">
            <v>3</v>
          </cell>
        </row>
        <row r="23">
          <cell r="B23" t="str">
            <v>胸甲</v>
          </cell>
          <cell r="C23">
            <v>4</v>
          </cell>
        </row>
        <row r="24">
          <cell r="B24" t="str">
            <v>主手武器</v>
          </cell>
          <cell r="C24">
            <v>5</v>
          </cell>
        </row>
        <row r="25">
          <cell r="B25" t="str">
            <v>副手武器</v>
          </cell>
          <cell r="C25">
            <v>6</v>
          </cell>
        </row>
        <row r="26">
          <cell r="B26" t="str">
            <v>护腿</v>
          </cell>
          <cell r="C26">
            <v>7</v>
          </cell>
        </row>
        <row r="27">
          <cell r="B27" t="str">
            <v>鞋子</v>
          </cell>
          <cell r="C27">
            <v>8</v>
          </cell>
        </row>
        <row r="28">
          <cell r="B28" t="str">
            <v>手套</v>
          </cell>
          <cell r="C28">
            <v>9</v>
          </cell>
        </row>
        <row r="29">
          <cell r="B29" t="str">
            <v>项链</v>
          </cell>
          <cell r="C29">
            <v>10</v>
          </cell>
        </row>
      </sheetData>
      <sheetData sheetId="2" refreshError="1">
        <row r="20">
          <cell r="B20">
            <v>10</v>
          </cell>
        </row>
        <row r="21">
          <cell r="B21">
            <v>30</v>
          </cell>
        </row>
        <row r="22">
          <cell r="B22">
            <v>210</v>
          </cell>
        </row>
        <row r="23">
          <cell r="B23">
            <v>670</v>
          </cell>
        </row>
        <row r="24">
          <cell r="B24">
            <v>1530</v>
          </cell>
        </row>
        <row r="25">
          <cell r="B25">
            <v>2910</v>
          </cell>
        </row>
        <row r="26">
          <cell r="B26">
            <v>4930</v>
          </cell>
        </row>
        <row r="27">
          <cell r="B27">
            <v>7710</v>
          </cell>
        </row>
        <row r="28">
          <cell r="B28">
            <v>11370</v>
          </cell>
        </row>
        <row r="29">
          <cell r="B29">
            <v>16030</v>
          </cell>
        </row>
      </sheetData>
      <sheetData sheetId="3" refreshError="1">
        <row r="20">
          <cell r="B20">
            <v>1176</v>
          </cell>
        </row>
        <row r="21">
          <cell r="B21">
            <v>1295</v>
          </cell>
        </row>
        <row r="22">
          <cell r="B22">
            <v>1420</v>
          </cell>
        </row>
        <row r="23">
          <cell r="B23">
            <v>1551</v>
          </cell>
        </row>
        <row r="24">
          <cell r="B24">
            <v>1688</v>
          </cell>
        </row>
        <row r="25">
          <cell r="B25">
            <v>1831</v>
          </cell>
        </row>
        <row r="26">
          <cell r="B26">
            <v>1980</v>
          </cell>
        </row>
        <row r="27">
          <cell r="B27">
            <v>2135</v>
          </cell>
        </row>
        <row r="28">
          <cell r="B28">
            <v>2296</v>
          </cell>
        </row>
        <row r="29">
          <cell r="B29">
            <v>2463</v>
          </cell>
        </row>
      </sheetData>
      <sheetData sheetId="4" refreshError="1">
        <row r="22">
          <cell r="B22" t="str">
            <v>力量</v>
          </cell>
        </row>
        <row r="23">
          <cell r="B23">
            <v>14</v>
          </cell>
        </row>
        <row r="24">
          <cell r="B24">
            <v>17</v>
          </cell>
        </row>
        <row r="25">
          <cell r="B25">
            <v>20</v>
          </cell>
        </row>
        <row r="26">
          <cell r="B26">
            <v>23</v>
          </cell>
        </row>
        <row r="27">
          <cell r="B27">
            <v>26</v>
          </cell>
        </row>
        <row r="28">
          <cell r="B28">
            <v>29</v>
          </cell>
        </row>
        <row r="29">
          <cell r="B29">
            <v>32</v>
          </cell>
        </row>
      </sheetData>
      <sheetData sheetId="5" refreshError="1">
        <row r="20">
          <cell r="B20">
            <v>19</v>
          </cell>
        </row>
        <row r="21">
          <cell r="B21">
            <v>20</v>
          </cell>
        </row>
        <row r="22">
          <cell r="B22">
            <v>21</v>
          </cell>
        </row>
        <row r="23">
          <cell r="B23">
            <v>22</v>
          </cell>
        </row>
        <row r="24">
          <cell r="B24">
            <v>23</v>
          </cell>
        </row>
        <row r="25">
          <cell r="B25">
            <v>24</v>
          </cell>
        </row>
        <row r="26">
          <cell r="B26">
            <v>25</v>
          </cell>
        </row>
        <row r="27">
          <cell r="B27">
            <v>26</v>
          </cell>
        </row>
        <row r="28">
          <cell r="B28">
            <v>27</v>
          </cell>
        </row>
        <row r="29">
          <cell r="B29">
            <v>28</v>
          </cell>
        </row>
      </sheetData>
      <sheetData sheetId="6" refreshError="1">
        <row r="20">
          <cell r="B20">
            <v>20</v>
          </cell>
        </row>
        <row r="21">
          <cell r="B21">
            <v>39</v>
          </cell>
        </row>
        <row r="22">
          <cell r="B22">
            <v>102</v>
          </cell>
        </row>
        <row r="23">
          <cell r="B23">
            <v>153</v>
          </cell>
        </row>
        <row r="24">
          <cell r="B24">
            <v>216</v>
          </cell>
        </row>
        <row r="25">
          <cell r="B25">
            <v>293</v>
          </cell>
        </row>
        <row r="26">
          <cell r="B26">
            <v>497</v>
          </cell>
        </row>
        <row r="27">
          <cell r="B27">
            <v>628</v>
          </cell>
        </row>
        <row r="28">
          <cell r="B28">
            <v>780</v>
          </cell>
        </row>
        <row r="29">
          <cell r="B29">
            <v>1153</v>
          </cell>
        </row>
      </sheetData>
      <sheetData sheetId="7" refreshError="1">
        <row r="20">
          <cell r="B20">
            <v>0</v>
          </cell>
        </row>
        <row r="21">
          <cell r="B21">
            <v>0</v>
          </cell>
        </row>
        <row r="22">
          <cell r="B22">
            <v>1</v>
          </cell>
        </row>
        <row r="23">
          <cell r="B23">
            <v>1</v>
          </cell>
        </row>
        <row r="24">
          <cell r="B24">
            <v>1</v>
          </cell>
        </row>
        <row r="25">
          <cell r="B25">
            <v>0</v>
          </cell>
        </row>
        <row r="26">
          <cell r="B26">
            <v>1</v>
          </cell>
        </row>
        <row r="27">
          <cell r="B27">
            <v>1</v>
          </cell>
        </row>
        <row r="28">
          <cell r="B28">
            <v>1</v>
          </cell>
        </row>
        <row r="29">
          <cell r="B29">
            <v>0</v>
          </cell>
        </row>
      </sheetData>
      <sheetData sheetId="8" refreshError="1">
        <row r="20">
          <cell r="B20">
            <v>9</v>
          </cell>
        </row>
        <row r="21">
          <cell r="B21">
            <v>10</v>
          </cell>
        </row>
        <row r="22">
          <cell r="B22">
            <v>11</v>
          </cell>
        </row>
        <row r="23">
          <cell r="B23">
            <v>12</v>
          </cell>
        </row>
        <row r="24">
          <cell r="B24">
            <v>13</v>
          </cell>
        </row>
        <row r="25">
          <cell r="B25">
            <v>14</v>
          </cell>
        </row>
        <row r="26">
          <cell r="B26">
            <v>15</v>
          </cell>
        </row>
      </sheetData>
      <sheetData sheetId="9" refreshError="1">
        <row r="20">
          <cell r="B20">
            <v>1</v>
          </cell>
        </row>
        <row r="21">
          <cell r="B21">
            <v>0</v>
          </cell>
        </row>
        <row r="22">
          <cell r="B22">
            <v>1</v>
          </cell>
        </row>
        <row r="23">
          <cell r="B23">
            <v>0</v>
          </cell>
        </row>
        <row r="24">
          <cell r="B24">
            <v>1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</sheetData>
      <sheetData sheetId="10">
        <row r="8">
          <cell r="M8">
            <v>400</v>
          </cell>
        </row>
        <row r="20">
          <cell r="B20">
            <v>23</v>
          </cell>
        </row>
        <row r="21">
          <cell r="B21">
            <v>25</v>
          </cell>
        </row>
        <row r="22">
          <cell r="B22">
            <v>27</v>
          </cell>
        </row>
        <row r="23">
          <cell r="B23">
            <v>29</v>
          </cell>
        </row>
        <row r="24">
          <cell r="B24">
            <v>31</v>
          </cell>
        </row>
        <row r="25">
          <cell r="B25">
            <v>33</v>
          </cell>
        </row>
        <row r="26">
          <cell r="B26">
            <v>35</v>
          </cell>
        </row>
        <row r="27">
          <cell r="B27">
            <v>37</v>
          </cell>
        </row>
        <row r="28">
          <cell r="B28">
            <v>39</v>
          </cell>
        </row>
        <row r="29">
          <cell r="B29">
            <v>41</v>
          </cell>
        </row>
      </sheetData>
      <sheetData sheetId="11" refreshError="1"/>
      <sheetData sheetId="12" refreshError="1">
        <row r="24">
          <cell r="B24" t="str">
            <v>内容</v>
          </cell>
        </row>
        <row r="25">
          <cell r="B25" t="str">
            <v>本职业橙色装备(+-5级)</v>
          </cell>
        </row>
        <row r="26">
          <cell r="B26" t="str">
            <v>本职业紫色装备(+-5级)</v>
          </cell>
        </row>
        <row r="27">
          <cell r="B27" t="str">
            <v>其他职业橙色装备(+-5级)</v>
          </cell>
        </row>
        <row r="28">
          <cell r="B28" t="str">
            <v>其他业紫色装备(+-5级)</v>
          </cell>
        </row>
      </sheetData>
      <sheetData sheetId="13" refreshError="1">
        <row r="20">
          <cell r="B20">
            <v>100</v>
          </cell>
        </row>
        <row r="21">
          <cell r="B21">
            <v>100</v>
          </cell>
        </row>
        <row r="22">
          <cell r="B22">
            <v>100</v>
          </cell>
        </row>
        <row r="23">
          <cell r="B23">
            <v>100</v>
          </cell>
        </row>
        <row r="24">
          <cell r="B24">
            <v>100</v>
          </cell>
        </row>
        <row r="25">
          <cell r="B25">
            <v>100</v>
          </cell>
        </row>
        <row r="26">
          <cell r="B26">
            <v>100</v>
          </cell>
        </row>
        <row r="27">
          <cell r="B27">
            <v>150</v>
          </cell>
        </row>
        <row r="28">
          <cell r="B28">
            <v>150</v>
          </cell>
        </row>
        <row r="29">
          <cell r="B29">
            <v>150</v>
          </cell>
        </row>
      </sheetData>
      <sheetData sheetId="14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668"/>
  <sheetViews>
    <sheetView tabSelected="1" workbookViewId="0">
      <pane xSplit="7" topLeftCell="H1" activePane="topRight" state="frozen"/>
      <selection activeCell="A195" sqref="A195"/>
      <selection pane="topRight" activeCell="A10" sqref="A10"/>
    </sheetView>
  </sheetViews>
  <sheetFormatPr defaultColWidth="9" defaultRowHeight="13.5"/>
  <cols>
    <col min="1" max="1" width="9.5" style="1" bestFit="1" customWidth="1"/>
    <col min="2" max="2" width="9" style="1"/>
    <col min="3" max="5" width="11.375" style="1" customWidth="1"/>
    <col min="6" max="6" width="14.75" style="1" customWidth="1"/>
    <col min="7" max="7" width="12.5" style="1" customWidth="1"/>
    <col min="8" max="8" width="18" style="10" customWidth="1"/>
    <col min="9" max="9" width="17.375" style="1" customWidth="1"/>
    <col min="10" max="10" width="27.375" style="1" customWidth="1"/>
    <col min="11" max="11" width="32.875" style="1" customWidth="1"/>
    <col min="12" max="12" width="28.625" style="1" customWidth="1"/>
    <col min="13" max="15" width="23.625" style="1" customWidth="1"/>
    <col min="16" max="16" width="28.75" style="1" customWidth="1"/>
    <col min="17" max="17" width="15.375" style="7" customWidth="1"/>
    <col min="18" max="16384" width="9" style="1"/>
  </cols>
  <sheetData>
    <row r="1" spans="1:17">
      <c r="A1" s="1" t="s">
        <v>33</v>
      </c>
      <c r="B1" s="5"/>
    </row>
    <row r="2" spans="1:17" s="4" customFormat="1">
      <c r="B2" s="6"/>
      <c r="C2" s="4" t="s">
        <v>34</v>
      </c>
      <c r="D2" s="4" t="s">
        <v>366</v>
      </c>
      <c r="H2" s="11"/>
      <c r="Q2" s="8"/>
    </row>
    <row r="3" spans="1:17">
      <c r="A3" s="1" t="s">
        <v>0</v>
      </c>
      <c r="B3" s="5" t="s">
        <v>367</v>
      </c>
      <c r="C3" s="1" t="s">
        <v>1</v>
      </c>
      <c r="D3" t="s">
        <v>365</v>
      </c>
      <c r="E3" t="s">
        <v>365</v>
      </c>
      <c r="F3" s="1" t="s">
        <v>2</v>
      </c>
      <c r="G3" s="1" t="s">
        <v>3</v>
      </c>
      <c r="H3" s="10" t="s">
        <v>4</v>
      </c>
      <c r="I3" s="1" t="s">
        <v>5</v>
      </c>
      <c r="J3" s="1" t="s">
        <v>6</v>
      </c>
      <c r="K3" s="1" t="s">
        <v>7</v>
      </c>
      <c r="L3" s="1" t="s">
        <v>26</v>
      </c>
      <c r="M3" s="1" t="s">
        <v>28</v>
      </c>
      <c r="N3" s="1" t="s">
        <v>30</v>
      </c>
      <c r="O3" s="1" t="s">
        <v>2067</v>
      </c>
      <c r="P3" s="1" t="s">
        <v>2068</v>
      </c>
      <c r="Q3" s="7" t="s">
        <v>32</v>
      </c>
    </row>
    <row r="4" spans="1:17">
      <c r="A4" s="1" t="s">
        <v>18</v>
      </c>
      <c r="B4" s="5" t="s">
        <v>2065</v>
      </c>
      <c r="E4" t="s">
        <v>19</v>
      </c>
      <c r="F4" s="1" t="s">
        <v>20</v>
      </c>
      <c r="G4" s="1" t="s">
        <v>21</v>
      </c>
      <c r="H4" s="10" t="s">
        <v>22</v>
      </c>
      <c r="I4" s="1" t="s">
        <v>23</v>
      </c>
      <c r="J4" s="1" t="s">
        <v>24</v>
      </c>
      <c r="K4" s="1" t="s">
        <v>25</v>
      </c>
      <c r="L4" s="1" t="s">
        <v>27</v>
      </c>
      <c r="M4" s="1" t="s">
        <v>29</v>
      </c>
      <c r="N4" s="1" t="s">
        <v>31</v>
      </c>
      <c r="O4" s="1" t="s">
        <v>2066</v>
      </c>
      <c r="P4" s="1" t="s">
        <v>2069</v>
      </c>
    </row>
    <row r="5" spans="1:17" ht="14.25" thickBot="1">
      <c r="B5" s="5"/>
      <c r="D5"/>
      <c r="E5"/>
    </row>
    <row r="6" spans="1:17" ht="14.25" thickBot="1">
      <c r="A6" s="1" t="s">
        <v>35</v>
      </c>
      <c r="B6" s="2">
        <v>0</v>
      </c>
      <c r="C6" s="1" t="s">
        <v>2323</v>
      </c>
      <c r="D6" s="1" t="s">
        <v>8</v>
      </c>
      <c r="E6" s="1">
        <f>INDEX([1]游戏类型定义!$C$20:$C$29,MATCH(D6,[1]!装备部位,0))</f>
        <v>1</v>
      </c>
      <c r="F6" s="1">
        <v>1</v>
      </c>
      <c r="G6" s="1">
        <v>1</v>
      </c>
      <c r="H6" s="10">
        <v>0</v>
      </c>
      <c r="I6" s="1">
        <v>100</v>
      </c>
      <c r="J6" s="1">
        <v>5</v>
      </c>
      <c r="K6" s="1">
        <v>0</v>
      </c>
      <c r="L6" s="1">
        <v>0</v>
      </c>
      <c r="M6" s="1" t="s">
        <v>1798</v>
      </c>
      <c r="N6" s="1" t="s">
        <v>698</v>
      </c>
      <c r="O6" s="1">
        <v>0</v>
      </c>
      <c r="P6" s="1" t="s">
        <v>2541</v>
      </c>
      <c r="Q6" s="7" t="s">
        <v>2051</v>
      </c>
    </row>
    <row r="7" spans="1:17" ht="14.25" thickBot="1">
      <c r="A7" s="1" t="s">
        <v>36</v>
      </c>
      <c r="B7" s="2">
        <v>0</v>
      </c>
      <c r="C7" s="1" t="s">
        <v>2032</v>
      </c>
      <c r="D7" s="1" t="s">
        <v>9</v>
      </c>
      <c r="E7" s="1">
        <f>INDEX([1]游戏类型定义!$C$20:$C$29,MATCH(D7,[1]!装备部位,0))</f>
        <v>2</v>
      </c>
      <c r="F7" s="1">
        <v>1</v>
      </c>
      <c r="G7" s="1">
        <v>1</v>
      </c>
      <c r="H7" s="10">
        <v>0</v>
      </c>
      <c r="I7" s="1">
        <v>100</v>
      </c>
      <c r="J7" s="1">
        <v>5</v>
      </c>
      <c r="K7" s="1">
        <v>0</v>
      </c>
      <c r="L7" s="1">
        <v>0</v>
      </c>
      <c r="M7" s="1" t="s">
        <v>1799</v>
      </c>
      <c r="N7" s="1" t="s">
        <v>698</v>
      </c>
      <c r="O7" s="1">
        <v>0</v>
      </c>
      <c r="P7" s="1" t="s">
        <v>2085</v>
      </c>
      <c r="Q7" s="7" t="s">
        <v>2052</v>
      </c>
    </row>
    <row r="8" spans="1:17" ht="14.25" thickBot="1">
      <c r="A8" s="1" t="s">
        <v>37</v>
      </c>
      <c r="B8" s="2">
        <v>0</v>
      </c>
      <c r="C8" s="1" t="s">
        <v>2033</v>
      </c>
      <c r="D8" s="1" t="s">
        <v>10</v>
      </c>
      <c r="E8" s="1">
        <f>INDEX([1]游戏类型定义!$C$20:$C$29,MATCH(D8,[1]!装备部位,0))</f>
        <v>3</v>
      </c>
      <c r="F8" s="1">
        <v>1</v>
      </c>
      <c r="G8" s="1">
        <v>1</v>
      </c>
      <c r="H8" s="10">
        <v>0</v>
      </c>
      <c r="I8" s="1">
        <v>100</v>
      </c>
      <c r="J8" s="1">
        <v>5</v>
      </c>
      <c r="K8" s="1">
        <v>0</v>
      </c>
      <c r="L8" s="1">
        <v>0</v>
      </c>
      <c r="M8" s="1" t="s">
        <v>1800</v>
      </c>
      <c r="N8" s="1" t="s">
        <v>698</v>
      </c>
      <c r="O8" s="1">
        <v>0</v>
      </c>
      <c r="P8" s="1" t="s">
        <v>2085</v>
      </c>
      <c r="Q8" s="7" t="s">
        <v>2053</v>
      </c>
    </row>
    <row r="9" spans="1:17" ht="14.25" thickBot="1">
      <c r="A9" s="1" t="s">
        <v>38</v>
      </c>
      <c r="B9" s="3">
        <v>1</v>
      </c>
      <c r="C9" s="1" t="s">
        <v>2036</v>
      </c>
      <c r="D9" s="1" t="s">
        <v>15</v>
      </c>
      <c r="E9" s="1">
        <f>INDEX([1]游戏类型定义!$C$20:$C$29,MATCH(D9,[1]!装备部位,0))</f>
        <v>8</v>
      </c>
      <c r="F9" s="1">
        <v>1</v>
      </c>
      <c r="G9" s="1">
        <v>1</v>
      </c>
      <c r="H9" s="10">
        <v>0</v>
      </c>
      <c r="I9" s="1">
        <v>100</v>
      </c>
      <c r="J9" s="1">
        <v>5</v>
      </c>
      <c r="K9" s="1">
        <v>0</v>
      </c>
      <c r="L9" s="1">
        <v>0</v>
      </c>
      <c r="M9" s="1" t="s">
        <v>1801</v>
      </c>
      <c r="N9" s="1" t="s">
        <v>698</v>
      </c>
      <c r="O9" s="1">
        <v>0</v>
      </c>
      <c r="P9" s="1" t="s">
        <v>2070</v>
      </c>
      <c r="Q9" s="7" t="s">
        <v>2054</v>
      </c>
    </row>
    <row r="10" spans="1:17" ht="14.25" thickBot="1">
      <c r="A10" s="1" t="s">
        <v>39</v>
      </c>
      <c r="B10" s="3">
        <v>1</v>
      </c>
      <c r="C10" s="1" t="s">
        <v>2035</v>
      </c>
      <c r="D10" s="1" t="s">
        <v>16</v>
      </c>
      <c r="E10" s="1">
        <f>INDEX([1]游戏类型定义!$C$20:$C$29,MATCH(D10,[1]!装备部位,0))</f>
        <v>9</v>
      </c>
      <c r="F10" s="1">
        <v>1</v>
      </c>
      <c r="G10" s="1">
        <v>1</v>
      </c>
      <c r="H10" s="10">
        <v>0</v>
      </c>
      <c r="I10" s="1">
        <v>100</v>
      </c>
      <c r="J10" s="1">
        <v>5</v>
      </c>
      <c r="K10" s="1">
        <v>0</v>
      </c>
      <c r="L10" s="1">
        <v>0</v>
      </c>
      <c r="M10" s="1" t="s">
        <v>1802</v>
      </c>
      <c r="N10" s="1" t="s">
        <v>698</v>
      </c>
      <c r="O10" s="1">
        <v>0</v>
      </c>
      <c r="P10" s="1" t="s">
        <v>2070</v>
      </c>
      <c r="Q10" s="7" t="s">
        <v>2055</v>
      </c>
    </row>
    <row r="11" spans="1:17" ht="14.25" thickBot="1">
      <c r="A11" s="1" t="s">
        <v>40</v>
      </c>
      <c r="B11" s="2">
        <v>0</v>
      </c>
      <c r="C11" s="1" t="s">
        <v>2034</v>
      </c>
      <c r="D11" s="1" t="s">
        <v>17</v>
      </c>
      <c r="E11" s="1">
        <f>INDEX([1]游戏类型定义!$C$20:$C$29,MATCH(D11,[1]!装备部位,0))</f>
        <v>10</v>
      </c>
      <c r="F11" s="1">
        <v>1</v>
      </c>
      <c r="G11" s="1">
        <v>1</v>
      </c>
      <c r="H11" s="10">
        <v>0</v>
      </c>
      <c r="I11" s="1">
        <v>100</v>
      </c>
      <c r="J11" s="1">
        <v>5</v>
      </c>
      <c r="K11" s="1">
        <v>0</v>
      </c>
      <c r="L11" s="1">
        <v>0</v>
      </c>
      <c r="M11" s="1" t="s">
        <v>1803</v>
      </c>
      <c r="N11" s="1" t="s">
        <v>698</v>
      </c>
      <c r="O11" s="1">
        <v>0</v>
      </c>
      <c r="P11" s="1" t="s">
        <v>2070</v>
      </c>
      <c r="Q11" s="7" t="s">
        <v>2056</v>
      </c>
    </row>
    <row r="12" spans="1:17" ht="14.25" thickBot="1">
      <c r="A12" s="1" t="s">
        <v>41</v>
      </c>
      <c r="B12" s="3">
        <v>1</v>
      </c>
      <c r="C12" s="9" t="s">
        <v>2045</v>
      </c>
      <c r="D12" s="1" t="s">
        <v>12</v>
      </c>
      <c r="E12" s="1">
        <f>INDEX([1]游戏类型定义!$C$20:$C$29,MATCH(D12,[1]!装备部位,0))</f>
        <v>5</v>
      </c>
      <c r="F12" s="1">
        <v>1</v>
      </c>
      <c r="G12" s="1">
        <v>1</v>
      </c>
      <c r="H12" s="10" t="s">
        <v>2320</v>
      </c>
      <c r="I12" s="1">
        <v>100</v>
      </c>
      <c r="J12" s="1">
        <v>5</v>
      </c>
      <c r="K12" s="1">
        <v>0</v>
      </c>
      <c r="L12" s="1">
        <v>0</v>
      </c>
      <c r="M12" s="1" t="s">
        <v>2014</v>
      </c>
      <c r="N12" s="1" t="s">
        <v>698</v>
      </c>
      <c r="O12" s="1">
        <v>0</v>
      </c>
      <c r="P12" s="1" t="s">
        <v>2070</v>
      </c>
      <c r="Q12" s="7" t="s">
        <v>2057</v>
      </c>
    </row>
    <row r="13" spans="1:17" ht="14.25" thickBot="1">
      <c r="A13" s="1" t="s">
        <v>42</v>
      </c>
      <c r="B13" s="3">
        <v>1</v>
      </c>
      <c r="C13" s="9" t="s">
        <v>2046</v>
      </c>
      <c r="D13" s="1" t="s">
        <v>12</v>
      </c>
      <c r="E13" s="1">
        <f>INDEX([1]游戏类型定义!$C$20:$C$29,MATCH(D13,[1]!装备部位,0))</f>
        <v>5</v>
      </c>
      <c r="F13" s="1">
        <v>1</v>
      </c>
      <c r="G13" s="1">
        <v>1</v>
      </c>
      <c r="H13" s="10" t="s">
        <v>2320</v>
      </c>
      <c r="I13" s="1">
        <v>400</v>
      </c>
      <c r="J13" s="1">
        <v>5</v>
      </c>
      <c r="K13" s="1">
        <v>0</v>
      </c>
      <c r="L13" s="1">
        <v>0</v>
      </c>
      <c r="M13" s="1" t="s">
        <v>2015</v>
      </c>
      <c r="N13" s="1" t="s">
        <v>698</v>
      </c>
      <c r="O13" s="1">
        <v>0</v>
      </c>
      <c r="P13" s="1" t="s">
        <v>2070</v>
      </c>
      <c r="Q13" s="7" t="s">
        <v>2325</v>
      </c>
    </row>
    <row r="14" spans="1:17" ht="14.25" thickBot="1">
      <c r="A14" s="1" t="s">
        <v>43</v>
      </c>
      <c r="B14" s="3">
        <v>1</v>
      </c>
      <c r="C14" s="9" t="s">
        <v>2043</v>
      </c>
      <c r="D14" s="1" t="s">
        <v>13</v>
      </c>
      <c r="E14" s="1">
        <f>INDEX([1]游戏类型定义!$C$20:$C$29,MATCH(D14,[1]!装备部位,0))</f>
        <v>6</v>
      </c>
      <c r="F14" s="1">
        <v>1</v>
      </c>
      <c r="G14" s="1">
        <v>1</v>
      </c>
      <c r="H14" s="10" t="s">
        <v>2320</v>
      </c>
      <c r="I14" s="1">
        <v>100</v>
      </c>
      <c r="J14" s="1">
        <v>5</v>
      </c>
      <c r="K14" s="1">
        <v>0</v>
      </c>
      <c r="L14" s="1">
        <v>0</v>
      </c>
      <c r="M14" s="1" t="s">
        <v>1804</v>
      </c>
      <c r="N14" s="1" t="s">
        <v>698</v>
      </c>
      <c r="O14" s="1">
        <v>0</v>
      </c>
      <c r="P14" s="1" t="s">
        <v>2070</v>
      </c>
      <c r="Q14" s="7" t="s">
        <v>2058</v>
      </c>
    </row>
    <row r="15" spans="1:17" ht="14.25" thickBot="1">
      <c r="A15" s="1" t="s">
        <v>44</v>
      </c>
      <c r="B15" s="2">
        <v>0</v>
      </c>
      <c r="C15" s="9" t="s">
        <v>2044</v>
      </c>
      <c r="D15" s="1" t="s">
        <v>13</v>
      </c>
      <c r="E15" s="1">
        <f>INDEX([1]游戏类型定义!$C$20:$C$29,MATCH(D15,[1]!装备部位,0))</f>
        <v>6</v>
      </c>
      <c r="F15" s="1">
        <v>1</v>
      </c>
      <c r="G15" s="1">
        <v>1</v>
      </c>
      <c r="H15" s="10" t="s">
        <v>2320</v>
      </c>
      <c r="I15" s="1">
        <v>400</v>
      </c>
      <c r="J15" s="1">
        <v>5</v>
      </c>
      <c r="K15" s="1">
        <v>0</v>
      </c>
      <c r="L15" s="1">
        <v>0</v>
      </c>
      <c r="M15" s="1" t="s">
        <v>1805</v>
      </c>
      <c r="N15" s="1" t="s">
        <v>698</v>
      </c>
      <c r="O15" s="1">
        <v>0</v>
      </c>
      <c r="P15" s="1" t="s">
        <v>2070</v>
      </c>
      <c r="Q15" s="7" t="s">
        <v>2058</v>
      </c>
    </row>
    <row r="16" spans="1:17" ht="14.25" thickBot="1">
      <c r="A16" s="1" t="s">
        <v>45</v>
      </c>
      <c r="B16" s="3">
        <v>1</v>
      </c>
      <c r="C16" s="1" t="s">
        <v>2039</v>
      </c>
      <c r="D16" s="1" t="s">
        <v>12</v>
      </c>
      <c r="E16" s="1">
        <f>INDEX([1]游戏类型定义!$C$20:$C$29,MATCH(D16,[1]!装备部位,0))</f>
        <v>5</v>
      </c>
      <c r="F16" s="1">
        <v>1</v>
      </c>
      <c r="G16" s="1">
        <v>1</v>
      </c>
      <c r="H16" s="10" t="s">
        <v>2321</v>
      </c>
      <c r="I16" s="1">
        <v>100</v>
      </c>
      <c r="J16" s="1">
        <v>5</v>
      </c>
      <c r="K16" s="1">
        <v>0</v>
      </c>
      <c r="L16" s="1">
        <v>0</v>
      </c>
      <c r="M16" s="1" t="s">
        <v>2014</v>
      </c>
      <c r="N16" s="1" t="s">
        <v>698</v>
      </c>
      <c r="O16" s="1">
        <v>0</v>
      </c>
      <c r="P16" s="1" t="s">
        <v>2070</v>
      </c>
      <c r="Q16" s="7" t="s">
        <v>2059</v>
      </c>
    </row>
    <row r="17" spans="1:17" ht="14.25" thickBot="1">
      <c r="A17" s="1" t="s">
        <v>46</v>
      </c>
      <c r="B17" s="3">
        <v>1</v>
      </c>
      <c r="C17" s="1" t="s">
        <v>2040</v>
      </c>
      <c r="D17" s="1" t="s">
        <v>12</v>
      </c>
      <c r="E17" s="1">
        <f>INDEX([1]游戏类型定义!$C$20:$C$29,MATCH(D17,[1]!装备部位,0))</f>
        <v>5</v>
      </c>
      <c r="F17" s="1">
        <v>1</v>
      </c>
      <c r="G17" s="1">
        <v>1</v>
      </c>
      <c r="H17" s="10" t="s">
        <v>2321</v>
      </c>
      <c r="I17" s="1">
        <v>400</v>
      </c>
      <c r="J17" s="1">
        <v>5</v>
      </c>
      <c r="K17" s="1">
        <v>0</v>
      </c>
      <c r="L17" s="1">
        <v>0</v>
      </c>
      <c r="M17" s="1" t="s">
        <v>2015</v>
      </c>
      <c r="N17" s="1" t="s">
        <v>698</v>
      </c>
      <c r="O17" s="1">
        <v>0</v>
      </c>
      <c r="P17" s="1" t="s">
        <v>2070</v>
      </c>
      <c r="Q17" s="7" t="s">
        <v>2326</v>
      </c>
    </row>
    <row r="18" spans="1:17" ht="14.25" thickBot="1">
      <c r="A18" s="1" t="s">
        <v>47</v>
      </c>
      <c r="B18" s="3">
        <v>1</v>
      </c>
      <c r="C18" s="9" t="s">
        <v>2041</v>
      </c>
      <c r="D18" s="1" t="s">
        <v>13</v>
      </c>
      <c r="E18" s="1">
        <f>INDEX([1]游戏类型定义!$C$20:$C$29,MATCH(D18,[1]!装备部位,0))</f>
        <v>6</v>
      </c>
      <c r="F18" s="1">
        <v>1</v>
      </c>
      <c r="G18" s="1">
        <v>1</v>
      </c>
      <c r="H18" s="10" t="s">
        <v>2321</v>
      </c>
      <c r="I18" s="1">
        <v>100</v>
      </c>
      <c r="J18" s="1">
        <v>5</v>
      </c>
      <c r="K18" s="1">
        <v>0</v>
      </c>
      <c r="L18" s="1">
        <v>0</v>
      </c>
      <c r="M18" s="1" t="s">
        <v>1806</v>
      </c>
      <c r="N18" s="1" t="s">
        <v>698</v>
      </c>
      <c r="O18" s="1">
        <v>0</v>
      </c>
      <c r="P18" s="1" t="s">
        <v>2070</v>
      </c>
      <c r="Q18" s="7" t="s">
        <v>2060</v>
      </c>
    </row>
    <row r="19" spans="1:17" ht="14.25" thickBot="1">
      <c r="A19" s="1" t="s">
        <v>48</v>
      </c>
      <c r="B19" s="2">
        <v>0</v>
      </c>
      <c r="C19" s="9" t="s">
        <v>2042</v>
      </c>
      <c r="D19" s="1" t="s">
        <v>13</v>
      </c>
      <c r="E19" s="1">
        <f>INDEX([1]游戏类型定义!$C$20:$C$29,MATCH(D19,[1]!装备部位,0))</f>
        <v>6</v>
      </c>
      <c r="F19" s="1">
        <v>1</v>
      </c>
      <c r="G19" s="1">
        <v>1</v>
      </c>
      <c r="H19" s="10" t="s">
        <v>2321</v>
      </c>
      <c r="I19" s="1">
        <v>400</v>
      </c>
      <c r="J19" s="1">
        <v>5</v>
      </c>
      <c r="K19" s="1">
        <v>0</v>
      </c>
      <c r="L19" s="1">
        <v>0</v>
      </c>
      <c r="M19" s="1" t="s">
        <v>1807</v>
      </c>
      <c r="N19" s="1" t="s">
        <v>698</v>
      </c>
      <c r="O19" s="1">
        <v>0</v>
      </c>
      <c r="P19" s="1" t="s">
        <v>2070</v>
      </c>
      <c r="Q19" s="7" t="s">
        <v>2060</v>
      </c>
    </row>
    <row r="20" spans="1:17" ht="14.25" thickBot="1">
      <c r="A20" s="1" t="s">
        <v>49</v>
      </c>
      <c r="B20" s="3">
        <v>1</v>
      </c>
      <c r="C20" s="9" t="s">
        <v>2047</v>
      </c>
      <c r="D20" s="1" t="s">
        <v>12</v>
      </c>
      <c r="E20" s="1">
        <f>INDEX([1]游戏类型定义!$C$20:$C$29,MATCH(D20,[1]!装备部位,0))</f>
        <v>5</v>
      </c>
      <c r="F20" s="1">
        <v>1</v>
      </c>
      <c r="G20" s="1">
        <v>1</v>
      </c>
      <c r="H20" s="10" t="s">
        <v>2322</v>
      </c>
      <c r="I20" s="1">
        <v>100</v>
      </c>
      <c r="J20" s="1">
        <v>5</v>
      </c>
      <c r="K20" s="1">
        <v>0</v>
      </c>
      <c r="L20" s="1">
        <v>0</v>
      </c>
      <c r="M20" s="1" t="s">
        <v>2014</v>
      </c>
      <c r="N20" s="1" t="s">
        <v>698</v>
      </c>
      <c r="O20" s="1">
        <v>0</v>
      </c>
      <c r="P20" s="1" t="s">
        <v>2070</v>
      </c>
      <c r="Q20" s="7" t="s">
        <v>2061</v>
      </c>
    </row>
    <row r="21" spans="1:17" ht="14.25" thickBot="1">
      <c r="A21" s="1" t="s">
        <v>50</v>
      </c>
      <c r="B21" s="3">
        <v>1</v>
      </c>
      <c r="C21" s="9" t="s">
        <v>2048</v>
      </c>
      <c r="D21" s="1" t="s">
        <v>12</v>
      </c>
      <c r="E21" s="1">
        <f>INDEX([1]游戏类型定义!$C$20:$C$29,MATCH(D21,[1]!装备部位,0))</f>
        <v>5</v>
      </c>
      <c r="F21" s="1">
        <v>1</v>
      </c>
      <c r="G21" s="1">
        <v>1</v>
      </c>
      <c r="H21" s="10" t="s">
        <v>2322</v>
      </c>
      <c r="I21" s="1">
        <v>400</v>
      </c>
      <c r="J21" s="1">
        <v>5</v>
      </c>
      <c r="K21" s="1">
        <v>0</v>
      </c>
      <c r="L21" s="1">
        <v>0</v>
      </c>
      <c r="M21" s="1" t="s">
        <v>2015</v>
      </c>
      <c r="N21" s="1" t="s">
        <v>698</v>
      </c>
      <c r="O21" s="1">
        <v>0</v>
      </c>
      <c r="P21" s="1" t="s">
        <v>2070</v>
      </c>
      <c r="Q21" s="7" t="s">
        <v>2327</v>
      </c>
    </row>
    <row r="22" spans="1:17" ht="14.25" thickBot="1">
      <c r="A22" s="1" t="s">
        <v>51</v>
      </c>
      <c r="B22" s="3">
        <v>1</v>
      </c>
      <c r="C22" s="9" t="s">
        <v>2049</v>
      </c>
      <c r="D22" s="1" t="s">
        <v>13</v>
      </c>
      <c r="E22" s="1">
        <f>INDEX([1]游戏类型定义!$C$20:$C$29,MATCH(D22,[1]!装备部位,0))</f>
        <v>6</v>
      </c>
      <c r="F22" s="1">
        <v>1</v>
      </c>
      <c r="G22" s="1">
        <v>1</v>
      </c>
      <c r="H22" s="10" t="s">
        <v>2322</v>
      </c>
      <c r="I22" s="1">
        <v>100</v>
      </c>
      <c r="J22" s="1">
        <v>5</v>
      </c>
      <c r="K22" s="1">
        <v>0</v>
      </c>
      <c r="L22" s="1">
        <v>0</v>
      </c>
      <c r="M22" s="1" t="s">
        <v>1808</v>
      </c>
      <c r="N22" s="1" t="s">
        <v>698</v>
      </c>
      <c r="O22" s="1">
        <v>0</v>
      </c>
      <c r="P22" s="1" t="s">
        <v>2070</v>
      </c>
      <c r="Q22" s="7" t="s">
        <v>2062</v>
      </c>
    </row>
    <row r="23" spans="1:17" ht="14.25" thickBot="1">
      <c r="A23" s="1" t="s">
        <v>52</v>
      </c>
      <c r="B23" s="2">
        <v>0</v>
      </c>
      <c r="C23" s="9" t="s">
        <v>2050</v>
      </c>
      <c r="D23" s="1" t="s">
        <v>13</v>
      </c>
      <c r="E23" s="1">
        <f>INDEX([1]游戏类型定义!$C$20:$C$29,MATCH(D23,[1]!装备部位,0))</f>
        <v>6</v>
      </c>
      <c r="F23" s="1">
        <v>1</v>
      </c>
      <c r="G23" s="1">
        <v>1</v>
      </c>
      <c r="H23" s="10" t="s">
        <v>2322</v>
      </c>
      <c r="I23" s="1">
        <v>400</v>
      </c>
      <c r="J23" s="1">
        <v>5</v>
      </c>
      <c r="K23" s="1">
        <v>0</v>
      </c>
      <c r="L23" s="1">
        <v>0</v>
      </c>
      <c r="M23" s="1" t="s">
        <v>1809</v>
      </c>
      <c r="N23" s="1" t="s">
        <v>698</v>
      </c>
      <c r="O23" s="1">
        <v>0</v>
      </c>
      <c r="P23" s="1" t="s">
        <v>2070</v>
      </c>
      <c r="Q23" s="7" t="s">
        <v>2062</v>
      </c>
    </row>
    <row r="24" spans="1:17" ht="14.25" thickBot="1">
      <c r="A24" s="1" t="s">
        <v>53</v>
      </c>
      <c r="B24" s="3">
        <v>1</v>
      </c>
      <c r="C24" s="1" t="s">
        <v>2030</v>
      </c>
      <c r="D24" s="1" t="s">
        <v>11</v>
      </c>
      <c r="E24" s="1">
        <f>INDEX([1]游戏类型定义!$C$20:$C$29,MATCH(D24,[1]!装备部位,0))</f>
        <v>4</v>
      </c>
      <c r="F24" s="1">
        <v>1</v>
      </c>
      <c r="G24" s="1">
        <v>1</v>
      </c>
      <c r="H24" s="10">
        <v>0</v>
      </c>
      <c r="I24" s="1">
        <v>100</v>
      </c>
      <c r="J24" s="1">
        <v>5</v>
      </c>
      <c r="K24" s="1">
        <v>0</v>
      </c>
      <c r="L24" s="1">
        <v>0</v>
      </c>
      <c r="M24" s="1" t="s">
        <v>1810</v>
      </c>
      <c r="N24" s="1" t="s">
        <v>698</v>
      </c>
      <c r="O24" s="1">
        <v>0</v>
      </c>
      <c r="P24" s="1" t="s">
        <v>2070</v>
      </c>
      <c r="Q24" s="7" t="s">
        <v>2063</v>
      </c>
    </row>
    <row r="25" spans="1:17" ht="14.25" thickBot="1">
      <c r="A25" s="1" t="s">
        <v>54</v>
      </c>
      <c r="B25" s="2">
        <v>0</v>
      </c>
      <c r="C25" s="1" t="s">
        <v>2030</v>
      </c>
      <c r="D25" s="1" t="s">
        <v>11</v>
      </c>
      <c r="E25" s="1">
        <f>INDEX([1]游戏类型定义!$C$20:$C$29,MATCH(D25,[1]!装备部位,0))</f>
        <v>4</v>
      </c>
      <c r="F25" s="1">
        <v>1</v>
      </c>
      <c r="G25" s="1">
        <v>1</v>
      </c>
      <c r="H25" s="10">
        <v>0</v>
      </c>
      <c r="I25" s="1">
        <v>400</v>
      </c>
      <c r="J25" s="1">
        <v>5</v>
      </c>
      <c r="K25" s="1">
        <v>0</v>
      </c>
      <c r="L25" s="1">
        <v>0</v>
      </c>
      <c r="M25" s="1" t="s">
        <v>1811</v>
      </c>
      <c r="N25" s="1" t="s">
        <v>698</v>
      </c>
      <c r="O25" s="1">
        <v>0</v>
      </c>
      <c r="P25" s="1" t="s">
        <v>2070</v>
      </c>
      <c r="Q25" s="7" t="s">
        <v>2063</v>
      </c>
    </row>
    <row r="26" spans="1:17" ht="14.25" thickBot="1">
      <c r="A26" s="1" t="s">
        <v>55</v>
      </c>
      <c r="B26" s="2">
        <v>0</v>
      </c>
      <c r="C26" s="1" t="s">
        <v>2037</v>
      </c>
      <c r="D26" s="1" t="s">
        <v>14</v>
      </c>
      <c r="E26" s="1">
        <f>INDEX([1]游戏类型定义!$C$20:$C$29,MATCH(D26,[1]!装备部位,0))</f>
        <v>7</v>
      </c>
      <c r="F26" s="1">
        <v>1</v>
      </c>
      <c r="G26" s="1">
        <v>1</v>
      </c>
      <c r="H26" s="10">
        <v>0</v>
      </c>
      <c r="I26" s="1">
        <v>100</v>
      </c>
      <c r="J26" s="1">
        <v>5</v>
      </c>
      <c r="K26" s="1">
        <v>0</v>
      </c>
      <c r="L26" s="1">
        <v>0</v>
      </c>
      <c r="M26" s="1" t="s">
        <v>1812</v>
      </c>
      <c r="N26" s="1" t="s">
        <v>698</v>
      </c>
      <c r="O26" s="1">
        <v>0</v>
      </c>
      <c r="P26" s="1" t="s">
        <v>2070</v>
      </c>
      <c r="Q26" s="7" t="s">
        <v>2064</v>
      </c>
    </row>
    <row r="27" spans="1:17" ht="14.25" thickBot="1">
      <c r="A27" s="1" t="s">
        <v>56</v>
      </c>
      <c r="B27" s="2">
        <v>0</v>
      </c>
      <c r="C27" s="1" t="s">
        <v>2038</v>
      </c>
      <c r="D27" s="1" t="s">
        <v>14</v>
      </c>
      <c r="E27" s="1">
        <f>INDEX([1]游戏类型定义!$C$20:$C$29,MATCH(D27,[1]!装备部位,0))</f>
        <v>7</v>
      </c>
      <c r="F27" s="1">
        <v>1</v>
      </c>
      <c r="G27" s="1">
        <v>1</v>
      </c>
      <c r="H27" s="10">
        <v>0</v>
      </c>
      <c r="I27" s="1">
        <v>400</v>
      </c>
      <c r="J27" s="1">
        <v>5</v>
      </c>
      <c r="K27" s="1">
        <v>0</v>
      </c>
      <c r="L27" s="1">
        <v>0</v>
      </c>
      <c r="M27" s="1" t="s">
        <v>1813</v>
      </c>
      <c r="N27" s="1" t="s">
        <v>698</v>
      </c>
      <c r="O27" s="1">
        <v>0</v>
      </c>
      <c r="P27" s="1" t="s">
        <v>2070</v>
      </c>
      <c r="Q27" s="7" t="s">
        <v>2064</v>
      </c>
    </row>
    <row r="28" spans="1:17" ht="14.25" thickBot="1">
      <c r="A28" s="1" t="s">
        <v>57</v>
      </c>
      <c r="B28" s="3">
        <v>1</v>
      </c>
      <c r="C28" s="1" t="s">
        <v>2031</v>
      </c>
      <c r="D28" s="1" t="s">
        <v>8</v>
      </c>
      <c r="E28" s="1">
        <f>INDEX([1]游戏类型定义!$C$20:$C$29,MATCH(D28,[1]!装备部位,0))</f>
        <v>1</v>
      </c>
      <c r="F28" s="1">
        <v>1</v>
      </c>
      <c r="G28" s="1">
        <v>5</v>
      </c>
      <c r="H28" s="10">
        <v>0</v>
      </c>
      <c r="I28" s="1">
        <v>500</v>
      </c>
      <c r="J28" s="1">
        <v>5</v>
      </c>
      <c r="K28" s="1">
        <v>0</v>
      </c>
      <c r="L28" s="1">
        <v>0</v>
      </c>
      <c r="M28" s="1" t="s">
        <v>1814</v>
      </c>
      <c r="N28" s="1" t="s">
        <v>698</v>
      </c>
      <c r="O28" s="1">
        <v>0</v>
      </c>
      <c r="P28" s="1" t="s">
        <v>2071</v>
      </c>
      <c r="Q28" s="7" t="s">
        <v>2051</v>
      </c>
    </row>
    <row r="29" spans="1:17" ht="14.25" thickBot="1">
      <c r="A29" s="1" t="s">
        <v>58</v>
      </c>
      <c r="B29" s="3">
        <v>1</v>
      </c>
      <c r="C29" s="1" t="s">
        <v>2032</v>
      </c>
      <c r="D29" s="1" t="s">
        <v>9</v>
      </c>
      <c r="E29" s="1">
        <f>INDEX([1]游戏类型定义!$C$20:$C$29,MATCH(D29,[1]!装备部位,0))</f>
        <v>2</v>
      </c>
      <c r="F29" s="1">
        <v>1</v>
      </c>
      <c r="G29" s="1">
        <v>5</v>
      </c>
      <c r="H29" s="10">
        <v>0</v>
      </c>
      <c r="I29" s="1">
        <v>500</v>
      </c>
      <c r="J29" s="1">
        <v>5</v>
      </c>
      <c r="K29" s="1">
        <v>0</v>
      </c>
      <c r="L29" s="1">
        <v>0</v>
      </c>
      <c r="M29" s="1" t="s">
        <v>1815</v>
      </c>
      <c r="N29" s="1" t="s">
        <v>698</v>
      </c>
      <c r="O29" s="1">
        <v>0</v>
      </c>
      <c r="P29" s="1" t="s">
        <v>2071</v>
      </c>
      <c r="Q29" s="7" t="s">
        <v>2052</v>
      </c>
    </row>
    <row r="30" spans="1:17" ht="14.25" thickBot="1">
      <c r="A30" s="1" t="s">
        <v>59</v>
      </c>
      <c r="B30" s="3">
        <v>1</v>
      </c>
      <c r="C30" s="1" t="s">
        <v>2033</v>
      </c>
      <c r="D30" s="1" t="s">
        <v>10</v>
      </c>
      <c r="E30" s="1">
        <f>INDEX([1]游戏类型定义!$C$20:$C$29,MATCH(D30,[1]!装备部位,0))</f>
        <v>3</v>
      </c>
      <c r="F30" s="1">
        <v>1</v>
      </c>
      <c r="G30" s="1">
        <v>5</v>
      </c>
      <c r="H30" s="10">
        <v>0</v>
      </c>
      <c r="I30" s="1">
        <v>500</v>
      </c>
      <c r="J30" s="1">
        <v>5</v>
      </c>
      <c r="K30" s="1">
        <v>0</v>
      </c>
      <c r="L30" s="1">
        <v>0</v>
      </c>
      <c r="M30" s="1" t="s">
        <v>2324</v>
      </c>
      <c r="N30" s="1" t="s">
        <v>698</v>
      </c>
      <c r="O30" s="1">
        <v>0</v>
      </c>
      <c r="P30" s="1" t="s">
        <v>2071</v>
      </c>
      <c r="Q30" s="7" t="s">
        <v>2053</v>
      </c>
    </row>
    <row r="31" spans="1:17" ht="14.25" thickBot="1">
      <c r="A31" s="1" t="s">
        <v>60</v>
      </c>
      <c r="B31" s="2">
        <v>0</v>
      </c>
      <c r="C31" s="1" t="s">
        <v>2036</v>
      </c>
      <c r="D31" s="1" t="s">
        <v>15</v>
      </c>
      <c r="E31" s="1">
        <f>INDEX([1]游戏类型定义!$C$20:$C$29,MATCH(D31,[1]!装备部位,0))</f>
        <v>8</v>
      </c>
      <c r="F31" s="1">
        <v>1</v>
      </c>
      <c r="G31" s="1">
        <v>5</v>
      </c>
      <c r="H31" s="10">
        <v>0</v>
      </c>
      <c r="I31" s="1">
        <v>500</v>
      </c>
      <c r="J31" s="1">
        <v>5</v>
      </c>
      <c r="K31" s="1">
        <v>0</v>
      </c>
      <c r="L31" s="1">
        <v>0</v>
      </c>
      <c r="M31" s="1" t="s">
        <v>1816</v>
      </c>
      <c r="N31" s="1" t="s">
        <v>698</v>
      </c>
      <c r="O31" s="1">
        <v>0</v>
      </c>
      <c r="P31" s="1" t="s">
        <v>2071</v>
      </c>
      <c r="Q31" s="7" t="s">
        <v>2054</v>
      </c>
    </row>
    <row r="32" spans="1:17" ht="14.25" thickBot="1">
      <c r="A32" s="1" t="s">
        <v>61</v>
      </c>
      <c r="B32" s="2">
        <v>0</v>
      </c>
      <c r="C32" s="1" t="s">
        <v>2035</v>
      </c>
      <c r="D32" s="1" t="s">
        <v>16</v>
      </c>
      <c r="E32" s="1">
        <f>INDEX([1]游戏类型定义!$C$20:$C$29,MATCH(D32,[1]!装备部位,0))</f>
        <v>9</v>
      </c>
      <c r="F32" s="1">
        <v>1</v>
      </c>
      <c r="G32" s="1">
        <v>5</v>
      </c>
      <c r="H32" s="10">
        <v>0</v>
      </c>
      <c r="I32" s="1">
        <v>500</v>
      </c>
      <c r="J32" s="1">
        <v>5</v>
      </c>
      <c r="K32" s="1">
        <v>0</v>
      </c>
      <c r="L32" s="1">
        <v>0</v>
      </c>
      <c r="M32" s="1" t="s">
        <v>1817</v>
      </c>
      <c r="N32" s="1" t="s">
        <v>698</v>
      </c>
      <c r="O32" s="1">
        <v>0</v>
      </c>
      <c r="P32" s="1" t="s">
        <v>2071</v>
      </c>
      <c r="Q32" s="7" t="s">
        <v>2055</v>
      </c>
    </row>
    <row r="33" spans="1:17" ht="14.25" thickBot="1">
      <c r="A33" s="1" t="s">
        <v>62</v>
      </c>
      <c r="B33" s="3">
        <v>1</v>
      </c>
      <c r="C33" s="1" t="s">
        <v>2034</v>
      </c>
      <c r="D33" s="1" t="s">
        <v>17</v>
      </c>
      <c r="E33" s="1">
        <f>INDEX([1]游戏类型定义!$C$20:$C$29,MATCH(D33,[1]!装备部位,0))</f>
        <v>10</v>
      </c>
      <c r="F33" s="1">
        <v>1</v>
      </c>
      <c r="G33" s="1">
        <v>5</v>
      </c>
      <c r="H33" s="10">
        <v>0</v>
      </c>
      <c r="I33" s="1">
        <v>500</v>
      </c>
      <c r="J33" s="1">
        <v>5</v>
      </c>
      <c r="K33" s="1">
        <v>0</v>
      </c>
      <c r="L33" s="1">
        <v>0</v>
      </c>
      <c r="M33" s="1" t="s">
        <v>1818</v>
      </c>
      <c r="N33" s="1" t="s">
        <v>698</v>
      </c>
      <c r="O33" s="1">
        <v>0</v>
      </c>
      <c r="P33" s="1" t="s">
        <v>2071</v>
      </c>
      <c r="Q33" s="7" t="s">
        <v>2056</v>
      </c>
    </row>
    <row r="34" spans="1:17" ht="14.25" thickBot="1">
      <c r="A34" s="1" t="s">
        <v>63</v>
      </c>
      <c r="B34" s="3">
        <v>1</v>
      </c>
      <c r="C34" s="9" t="s">
        <v>2195</v>
      </c>
      <c r="D34" s="1" t="s">
        <v>12</v>
      </c>
      <c r="E34" s="1">
        <f>INDEX([1]游戏类型定义!$C$20:$C$29,MATCH(D34,[1]!装备部位,0))</f>
        <v>5</v>
      </c>
      <c r="F34" s="1">
        <v>1</v>
      </c>
      <c r="G34" s="1">
        <v>5</v>
      </c>
      <c r="H34" s="10" t="s">
        <v>2320</v>
      </c>
      <c r="I34" s="1">
        <v>500</v>
      </c>
      <c r="J34" s="1">
        <v>5</v>
      </c>
      <c r="K34" s="1">
        <v>0</v>
      </c>
      <c r="L34" s="1">
        <v>0</v>
      </c>
      <c r="M34" s="1" t="s">
        <v>1819</v>
      </c>
      <c r="N34" s="1" t="s">
        <v>698</v>
      </c>
      <c r="O34" s="1">
        <v>0</v>
      </c>
      <c r="P34" s="1" t="s">
        <v>2071</v>
      </c>
      <c r="Q34" s="7" t="s">
        <v>2328</v>
      </c>
    </row>
    <row r="35" spans="1:17" ht="14.25" thickBot="1">
      <c r="A35" s="1" t="s">
        <v>64</v>
      </c>
      <c r="B35" s="3">
        <v>1</v>
      </c>
      <c r="C35" s="9" t="s">
        <v>2197</v>
      </c>
      <c r="D35" s="1" t="s">
        <v>12</v>
      </c>
      <c r="E35" s="1">
        <f>INDEX([1]游戏类型定义!$C$20:$C$29,MATCH(D35,[1]!装备部位,0))</f>
        <v>5</v>
      </c>
      <c r="F35" s="1">
        <v>1</v>
      </c>
      <c r="G35" s="1">
        <v>5</v>
      </c>
      <c r="H35" s="10" t="s">
        <v>2320</v>
      </c>
      <c r="I35" s="1">
        <v>800</v>
      </c>
      <c r="J35" s="1">
        <v>5</v>
      </c>
      <c r="K35" s="1">
        <v>0</v>
      </c>
      <c r="L35" s="1">
        <v>0</v>
      </c>
      <c r="M35" s="1" t="s">
        <v>2016</v>
      </c>
      <c r="N35" s="1" t="s">
        <v>698</v>
      </c>
      <c r="O35" s="1">
        <v>0</v>
      </c>
      <c r="P35" s="1" t="s">
        <v>2071</v>
      </c>
      <c r="Q35" s="7" t="s">
        <v>2329</v>
      </c>
    </row>
    <row r="36" spans="1:17" ht="14.25" thickBot="1">
      <c r="A36" s="1" t="s">
        <v>65</v>
      </c>
      <c r="B36" s="3">
        <v>1</v>
      </c>
      <c r="C36" s="9" t="s">
        <v>2086</v>
      </c>
      <c r="D36" s="1" t="s">
        <v>13</v>
      </c>
      <c r="E36" s="1">
        <f>INDEX([1]游戏类型定义!$C$20:$C$29,MATCH(D36,[1]!装备部位,0))</f>
        <v>6</v>
      </c>
      <c r="F36" s="1">
        <v>1</v>
      </c>
      <c r="G36" s="1">
        <v>5</v>
      </c>
      <c r="H36" s="10" t="s">
        <v>2320</v>
      </c>
      <c r="I36" s="1">
        <v>500</v>
      </c>
      <c r="J36" s="1">
        <v>5</v>
      </c>
      <c r="K36" s="1">
        <v>0</v>
      </c>
      <c r="L36" s="1">
        <v>0</v>
      </c>
      <c r="M36" s="1" t="s">
        <v>1820</v>
      </c>
      <c r="N36" s="1" t="s">
        <v>698</v>
      </c>
      <c r="O36" s="1">
        <v>0</v>
      </c>
      <c r="P36" s="1" t="s">
        <v>2071</v>
      </c>
      <c r="Q36" s="7" t="s">
        <v>2330</v>
      </c>
    </row>
    <row r="37" spans="1:17" ht="14.25" thickBot="1">
      <c r="A37" s="1" t="s">
        <v>66</v>
      </c>
      <c r="B37" s="2">
        <v>0</v>
      </c>
      <c r="C37" s="9" t="s">
        <v>2044</v>
      </c>
      <c r="D37" s="1" t="s">
        <v>13</v>
      </c>
      <c r="E37" s="1">
        <f>INDEX([1]游戏类型定义!$C$20:$C$29,MATCH(D37,[1]!装备部位,0))</f>
        <v>6</v>
      </c>
      <c r="F37" s="1">
        <v>1</v>
      </c>
      <c r="G37" s="1">
        <v>5</v>
      </c>
      <c r="H37" s="10" t="s">
        <v>2320</v>
      </c>
      <c r="I37" s="1">
        <v>800</v>
      </c>
      <c r="J37" s="1">
        <v>5</v>
      </c>
      <c r="K37" s="1">
        <v>0</v>
      </c>
      <c r="L37" s="1">
        <v>0</v>
      </c>
      <c r="M37" s="1" t="s">
        <v>1821</v>
      </c>
      <c r="N37" s="1" t="s">
        <v>698</v>
      </c>
      <c r="O37" s="1">
        <v>0</v>
      </c>
      <c r="P37" s="1" t="s">
        <v>2071</v>
      </c>
      <c r="Q37" s="7" t="s">
        <v>2058</v>
      </c>
    </row>
    <row r="38" spans="1:17" ht="14.25" thickBot="1">
      <c r="A38" s="1" t="s">
        <v>67</v>
      </c>
      <c r="B38" s="3">
        <v>1</v>
      </c>
      <c r="C38" s="1" t="s">
        <v>2201</v>
      </c>
      <c r="D38" s="1" t="s">
        <v>12</v>
      </c>
      <c r="E38" s="1">
        <f>INDEX([1]游戏类型定义!$C$20:$C$29,MATCH(D38,[1]!装备部位,0))</f>
        <v>5</v>
      </c>
      <c r="F38" s="1">
        <v>1</v>
      </c>
      <c r="G38" s="1">
        <v>5</v>
      </c>
      <c r="H38" s="10" t="s">
        <v>2321</v>
      </c>
      <c r="I38" s="1">
        <v>500</v>
      </c>
      <c r="J38" s="1">
        <v>5</v>
      </c>
      <c r="K38" s="1">
        <v>0</v>
      </c>
      <c r="L38" s="1">
        <v>0</v>
      </c>
      <c r="M38" s="1" t="s">
        <v>1819</v>
      </c>
      <c r="N38" s="1" t="s">
        <v>698</v>
      </c>
      <c r="O38" s="1">
        <v>0</v>
      </c>
      <c r="P38" s="1" t="s">
        <v>2071</v>
      </c>
      <c r="Q38" s="7" t="s">
        <v>2530</v>
      </c>
    </row>
    <row r="39" spans="1:17" ht="14.25" thickBot="1">
      <c r="A39" s="1" t="s">
        <v>68</v>
      </c>
      <c r="B39" s="3">
        <v>1</v>
      </c>
      <c r="C39" s="1" t="s">
        <v>2202</v>
      </c>
      <c r="D39" s="1" t="s">
        <v>12</v>
      </c>
      <c r="E39" s="1">
        <f>INDEX([1]游戏类型定义!$C$20:$C$29,MATCH(D39,[1]!装备部位,0))</f>
        <v>5</v>
      </c>
      <c r="F39" s="1">
        <v>1</v>
      </c>
      <c r="G39" s="1">
        <v>5</v>
      </c>
      <c r="H39" s="10" t="s">
        <v>2321</v>
      </c>
      <c r="I39" s="1">
        <v>800</v>
      </c>
      <c r="J39" s="1">
        <v>5</v>
      </c>
      <c r="K39" s="1">
        <v>0</v>
      </c>
      <c r="L39" s="1">
        <v>0</v>
      </c>
      <c r="M39" s="1" t="s">
        <v>2016</v>
      </c>
      <c r="N39" s="1" t="s">
        <v>698</v>
      </c>
      <c r="O39" s="1">
        <v>0</v>
      </c>
      <c r="P39" s="1" t="s">
        <v>2071</v>
      </c>
      <c r="Q39" s="7" t="s">
        <v>2531</v>
      </c>
    </row>
    <row r="40" spans="1:17" ht="14.25" thickBot="1">
      <c r="A40" s="1" t="s">
        <v>69</v>
      </c>
      <c r="B40" s="3">
        <v>1</v>
      </c>
      <c r="C40" s="9" t="s">
        <v>2203</v>
      </c>
      <c r="D40" s="1" t="s">
        <v>13</v>
      </c>
      <c r="E40" s="1">
        <f>INDEX([1]游戏类型定义!$C$20:$C$29,MATCH(D40,[1]!装备部位,0))</f>
        <v>6</v>
      </c>
      <c r="F40" s="1">
        <v>1</v>
      </c>
      <c r="G40" s="1">
        <v>5</v>
      </c>
      <c r="H40" s="10" t="s">
        <v>2321</v>
      </c>
      <c r="I40" s="1">
        <v>500</v>
      </c>
      <c r="J40" s="1">
        <v>5</v>
      </c>
      <c r="K40" s="1">
        <v>0</v>
      </c>
      <c r="L40" s="1">
        <v>0</v>
      </c>
      <c r="M40" s="1" t="s">
        <v>1822</v>
      </c>
      <c r="N40" s="1" t="s">
        <v>698</v>
      </c>
      <c r="O40" s="1">
        <v>0</v>
      </c>
      <c r="P40" s="1" t="s">
        <v>2071</v>
      </c>
      <c r="Q40" s="7" t="s">
        <v>2331</v>
      </c>
    </row>
    <row r="41" spans="1:17" ht="14.25" thickBot="1">
      <c r="A41" s="1" t="s">
        <v>70</v>
      </c>
      <c r="B41" s="2">
        <v>0</v>
      </c>
      <c r="C41" s="9" t="s">
        <v>2042</v>
      </c>
      <c r="D41" s="1" t="s">
        <v>13</v>
      </c>
      <c r="E41" s="1">
        <f>INDEX([1]游戏类型定义!$C$20:$C$29,MATCH(D41,[1]!装备部位,0))</f>
        <v>6</v>
      </c>
      <c r="F41" s="1">
        <v>1</v>
      </c>
      <c r="G41" s="1">
        <v>5</v>
      </c>
      <c r="H41" s="10" t="s">
        <v>2321</v>
      </c>
      <c r="I41" s="1">
        <v>800</v>
      </c>
      <c r="J41" s="1">
        <v>5</v>
      </c>
      <c r="K41" s="1">
        <v>0</v>
      </c>
      <c r="L41" s="1">
        <v>0</v>
      </c>
      <c r="M41" s="1" t="s">
        <v>1823</v>
      </c>
      <c r="N41" s="1" t="s">
        <v>698</v>
      </c>
      <c r="O41" s="1">
        <v>0</v>
      </c>
      <c r="P41" s="1" t="s">
        <v>2071</v>
      </c>
      <c r="Q41" s="7" t="s">
        <v>2060</v>
      </c>
    </row>
    <row r="42" spans="1:17" ht="14.25" thickBot="1">
      <c r="A42" s="1" t="s">
        <v>71</v>
      </c>
      <c r="B42" s="3">
        <v>1</v>
      </c>
      <c r="C42" s="9" t="s">
        <v>2204</v>
      </c>
      <c r="D42" s="1" t="s">
        <v>12</v>
      </c>
      <c r="E42" s="1">
        <f>INDEX([1]游戏类型定义!$C$20:$C$29,MATCH(D42,[1]!装备部位,0))</f>
        <v>5</v>
      </c>
      <c r="F42" s="1">
        <v>1</v>
      </c>
      <c r="G42" s="1">
        <v>5</v>
      </c>
      <c r="H42" s="10" t="s">
        <v>2322</v>
      </c>
      <c r="I42" s="1">
        <v>500</v>
      </c>
      <c r="J42" s="1">
        <v>5</v>
      </c>
      <c r="K42" s="1">
        <v>0</v>
      </c>
      <c r="L42" s="1">
        <v>0</v>
      </c>
      <c r="M42" s="1" t="s">
        <v>1819</v>
      </c>
      <c r="N42" s="1" t="s">
        <v>698</v>
      </c>
      <c r="O42" s="1">
        <v>0</v>
      </c>
      <c r="P42" s="1" t="s">
        <v>2071</v>
      </c>
      <c r="Q42" s="7" t="s">
        <v>2332</v>
      </c>
    </row>
    <row r="43" spans="1:17" ht="14.25" thickBot="1">
      <c r="A43" s="1" t="s">
        <v>72</v>
      </c>
      <c r="B43" s="3">
        <v>1</v>
      </c>
      <c r="C43" s="9" t="s">
        <v>2205</v>
      </c>
      <c r="D43" s="1" t="s">
        <v>12</v>
      </c>
      <c r="E43" s="1">
        <f>INDEX([1]游戏类型定义!$C$20:$C$29,MATCH(D43,[1]!装备部位,0))</f>
        <v>5</v>
      </c>
      <c r="F43" s="1">
        <v>1</v>
      </c>
      <c r="G43" s="1">
        <v>5</v>
      </c>
      <c r="H43" s="10" t="s">
        <v>2322</v>
      </c>
      <c r="I43" s="1">
        <v>800</v>
      </c>
      <c r="J43" s="1">
        <v>5</v>
      </c>
      <c r="K43" s="1">
        <v>0</v>
      </c>
      <c r="L43" s="1">
        <v>0</v>
      </c>
      <c r="M43" s="1" t="s">
        <v>2016</v>
      </c>
      <c r="N43" s="1" t="s">
        <v>698</v>
      </c>
      <c r="O43" s="1">
        <v>0</v>
      </c>
      <c r="P43" s="1" t="s">
        <v>2071</v>
      </c>
      <c r="Q43" s="7" t="s">
        <v>2333</v>
      </c>
    </row>
    <row r="44" spans="1:17" ht="14.25" thickBot="1">
      <c r="A44" s="1" t="s">
        <v>73</v>
      </c>
      <c r="B44" s="3">
        <v>1</v>
      </c>
      <c r="C44" s="9" t="s">
        <v>2206</v>
      </c>
      <c r="D44" s="1" t="s">
        <v>13</v>
      </c>
      <c r="E44" s="1">
        <f>INDEX([1]游戏类型定义!$C$20:$C$29,MATCH(D44,[1]!装备部位,0))</f>
        <v>6</v>
      </c>
      <c r="F44" s="1">
        <v>1</v>
      </c>
      <c r="G44" s="1">
        <v>5</v>
      </c>
      <c r="H44" s="10" t="s">
        <v>2322</v>
      </c>
      <c r="I44" s="1">
        <v>500</v>
      </c>
      <c r="J44" s="1">
        <v>5</v>
      </c>
      <c r="K44" s="1">
        <v>0</v>
      </c>
      <c r="L44" s="1">
        <v>0</v>
      </c>
      <c r="M44" s="1" t="s">
        <v>1824</v>
      </c>
      <c r="N44" s="1" t="s">
        <v>698</v>
      </c>
      <c r="O44" s="1">
        <v>0</v>
      </c>
      <c r="P44" s="1" t="s">
        <v>2071</v>
      </c>
      <c r="Q44" s="7" t="s">
        <v>2334</v>
      </c>
    </row>
    <row r="45" spans="1:17" ht="14.25" thickBot="1">
      <c r="A45" s="1" t="s">
        <v>74</v>
      </c>
      <c r="B45" s="2">
        <v>0</v>
      </c>
      <c r="C45" s="9" t="s">
        <v>2050</v>
      </c>
      <c r="D45" s="1" t="s">
        <v>13</v>
      </c>
      <c r="E45" s="1">
        <f>INDEX([1]游戏类型定义!$C$20:$C$29,MATCH(D45,[1]!装备部位,0))</f>
        <v>6</v>
      </c>
      <c r="F45" s="1">
        <v>1</v>
      </c>
      <c r="G45" s="1">
        <v>5</v>
      </c>
      <c r="H45" s="10" t="s">
        <v>2322</v>
      </c>
      <c r="I45" s="1">
        <v>800</v>
      </c>
      <c r="J45" s="1">
        <v>5</v>
      </c>
      <c r="K45" s="1">
        <v>0</v>
      </c>
      <c r="L45" s="1">
        <v>0</v>
      </c>
      <c r="M45" s="1" t="s">
        <v>1825</v>
      </c>
      <c r="N45" s="1" t="s">
        <v>698</v>
      </c>
      <c r="O45" s="1">
        <v>0</v>
      </c>
      <c r="P45" s="1" t="s">
        <v>2071</v>
      </c>
      <c r="Q45" s="7" t="s">
        <v>2062</v>
      </c>
    </row>
    <row r="46" spans="1:17" ht="14.25" thickBot="1">
      <c r="A46" s="1" t="s">
        <v>75</v>
      </c>
      <c r="B46" s="3">
        <v>1</v>
      </c>
      <c r="C46" s="1" t="s">
        <v>2157</v>
      </c>
      <c r="D46" s="1" t="s">
        <v>11</v>
      </c>
      <c r="E46" s="1">
        <f>INDEX([1]游戏类型定义!$C$20:$C$29,MATCH(D46,[1]!装备部位,0))</f>
        <v>4</v>
      </c>
      <c r="F46" s="1">
        <v>1</v>
      </c>
      <c r="G46" s="1">
        <v>5</v>
      </c>
      <c r="H46" s="10">
        <v>0</v>
      </c>
      <c r="I46" s="1">
        <v>500</v>
      </c>
      <c r="J46" s="1">
        <v>5</v>
      </c>
      <c r="K46" s="1">
        <v>0</v>
      </c>
      <c r="L46" s="1">
        <v>0</v>
      </c>
      <c r="M46" s="1" t="s">
        <v>1826</v>
      </c>
      <c r="N46" s="1" t="s">
        <v>698</v>
      </c>
      <c r="O46" s="1">
        <v>0</v>
      </c>
      <c r="P46" s="1" t="s">
        <v>2071</v>
      </c>
      <c r="Q46" s="7" t="s">
        <v>2335</v>
      </c>
    </row>
    <row r="47" spans="1:17" ht="14.25" thickBot="1">
      <c r="A47" s="1" t="s">
        <v>76</v>
      </c>
      <c r="B47" s="3">
        <v>1</v>
      </c>
      <c r="C47" s="1" t="s">
        <v>2158</v>
      </c>
      <c r="D47" s="1" t="s">
        <v>11</v>
      </c>
      <c r="E47" s="1">
        <f>INDEX([1]游戏类型定义!$C$20:$C$29,MATCH(D47,[1]!装备部位,0))</f>
        <v>4</v>
      </c>
      <c r="F47" s="1">
        <v>1</v>
      </c>
      <c r="G47" s="1">
        <v>5</v>
      </c>
      <c r="H47" s="10">
        <v>0</v>
      </c>
      <c r="I47" s="1">
        <v>800</v>
      </c>
      <c r="J47" s="1">
        <v>5</v>
      </c>
      <c r="K47" s="1">
        <v>0</v>
      </c>
      <c r="L47" s="1">
        <v>0</v>
      </c>
      <c r="M47" s="1" t="s">
        <v>1827</v>
      </c>
      <c r="N47" s="1" t="s">
        <v>698</v>
      </c>
      <c r="O47" s="1">
        <v>0</v>
      </c>
      <c r="P47" s="1" t="s">
        <v>2071</v>
      </c>
      <c r="Q47" s="7" t="s">
        <v>2336</v>
      </c>
    </row>
    <row r="48" spans="1:17" ht="14.25" thickBot="1">
      <c r="A48" s="1" t="s">
        <v>77</v>
      </c>
      <c r="B48" s="3">
        <v>1</v>
      </c>
      <c r="C48" s="1" t="s">
        <v>2037</v>
      </c>
      <c r="D48" s="1" t="s">
        <v>14</v>
      </c>
      <c r="E48" s="1">
        <f>INDEX([1]游戏类型定义!$C$20:$C$29,MATCH(D48,[1]!装备部位,0))</f>
        <v>7</v>
      </c>
      <c r="F48" s="1">
        <v>1</v>
      </c>
      <c r="G48" s="1">
        <v>5</v>
      </c>
      <c r="H48" s="10">
        <v>0</v>
      </c>
      <c r="I48" s="1">
        <v>500</v>
      </c>
      <c r="J48" s="1">
        <v>5</v>
      </c>
      <c r="K48" s="1">
        <v>0</v>
      </c>
      <c r="L48" s="1">
        <v>0</v>
      </c>
      <c r="M48" s="1" t="s">
        <v>1810</v>
      </c>
      <c r="N48" s="1" t="s">
        <v>698</v>
      </c>
      <c r="O48" s="1">
        <v>0</v>
      </c>
      <c r="P48" s="1" t="s">
        <v>2071</v>
      </c>
      <c r="Q48" s="7" t="s">
        <v>2064</v>
      </c>
    </row>
    <row r="49" spans="1:17" ht="14.25" thickBot="1">
      <c r="A49" s="1" t="s">
        <v>78</v>
      </c>
      <c r="B49" s="3">
        <v>1</v>
      </c>
      <c r="C49" s="1" t="s">
        <v>2174</v>
      </c>
      <c r="D49" s="1" t="s">
        <v>14</v>
      </c>
      <c r="E49" s="1">
        <f>INDEX([1]游戏类型定义!$C$20:$C$29,MATCH(D49,[1]!装备部位,0))</f>
        <v>7</v>
      </c>
      <c r="F49" s="1">
        <v>1</v>
      </c>
      <c r="G49" s="1">
        <v>5</v>
      </c>
      <c r="H49" s="10">
        <v>0</v>
      </c>
      <c r="I49" s="1">
        <v>800</v>
      </c>
      <c r="J49" s="1">
        <v>5</v>
      </c>
      <c r="K49" s="1">
        <v>0</v>
      </c>
      <c r="L49" s="1">
        <v>0</v>
      </c>
      <c r="M49" s="1" t="s">
        <v>1828</v>
      </c>
      <c r="N49" s="1" t="s">
        <v>698</v>
      </c>
      <c r="O49" s="1">
        <v>0</v>
      </c>
      <c r="P49" s="1" t="s">
        <v>2071</v>
      </c>
      <c r="Q49" s="7" t="s">
        <v>2337</v>
      </c>
    </row>
    <row r="50" spans="1:17" ht="14.25" thickBot="1">
      <c r="A50" s="1" t="s">
        <v>79</v>
      </c>
      <c r="B50" s="3">
        <v>1</v>
      </c>
      <c r="C50" s="1" t="s">
        <v>2102</v>
      </c>
      <c r="D50" s="1" t="s">
        <v>8</v>
      </c>
      <c r="E50" s="1">
        <f>INDEX([1]游戏类型定义!$C$20:$C$29,MATCH(D50,[1]!装备部位,0))</f>
        <v>1</v>
      </c>
      <c r="F50" s="1">
        <v>1</v>
      </c>
      <c r="G50" s="1">
        <v>10</v>
      </c>
      <c r="H50" s="10">
        <v>0</v>
      </c>
      <c r="I50" s="1">
        <v>1000</v>
      </c>
      <c r="J50" s="1">
        <v>5</v>
      </c>
      <c r="K50" s="1">
        <v>0</v>
      </c>
      <c r="L50" s="1">
        <v>0</v>
      </c>
      <c r="M50" s="1" t="s">
        <v>1829</v>
      </c>
      <c r="N50" s="1" t="s">
        <v>698</v>
      </c>
      <c r="O50" s="1">
        <v>0</v>
      </c>
      <c r="P50" s="1" t="s">
        <v>2072</v>
      </c>
      <c r="Q50" s="7" t="s">
        <v>2338</v>
      </c>
    </row>
    <row r="51" spans="1:17" ht="14.25" thickBot="1">
      <c r="A51" s="1" t="s">
        <v>80</v>
      </c>
      <c r="B51" s="3">
        <v>1</v>
      </c>
      <c r="C51" s="1" t="s">
        <v>2108</v>
      </c>
      <c r="D51" s="1" t="s">
        <v>9</v>
      </c>
      <c r="E51" s="1">
        <f>INDEX([1]游戏类型定义!$C$20:$C$29,MATCH(D51,[1]!装备部位,0))</f>
        <v>2</v>
      </c>
      <c r="F51" s="1">
        <v>1</v>
      </c>
      <c r="G51" s="1">
        <v>10</v>
      </c>
      <c r="H51" s="10">
        <v>0</v>
      </c>
      <c r="I51" s="1">
        <v>1000</v>
      </c>
      <c r="J51" s="1">
        <v>5</v>
      </c>
      <c r="K51" s="1">
        <v>0</v>
      </c>
      <c r="L51" s="1">
        <v>0</v>
      </c>
      <c r="M51" s="1" t="s">
        <v>1830</v>
      </c>
      <c r="N51" s="1" t="s">
        <v>698</v>
      </c>
      <c r="O51" s="1">
        <v>0</v>
      </c>
      <c r="P51" s="1" t="s">
        <v>2072</v>
      </c>
      <c r="Q51" s="7" t="s">
        <v>2339</v>
      </c>
    </row>
    <row r="52" spans="1:17" ht="14.25" thickBot="1">
      <c r="A52" s="1" t="s">
        <v>81</v>
      </c>
      <c r="B52" s="3">
        <v>1</v>
      </c>
      <c r="C52" s="1" t="s">
        <v>2087</v>
      </c>
      <c r="D52" s="1" t="s">
        <v>10</v>
      </c>
      <c r="E52" s="1">
        <f>INDEX([1]游戏类型定义!$C$20:$C$29,MATCH(D52,[1]!装备部位,0))</f>
        <v>3</v>
      </c>
      <c r="F52" s="1">
        <v>1</v>
      </c>
      <c r="G52" s="1">
        <v>10</v>
      </c>
      <c r="H52" s="10">
        <v>0</v>
      </c>
      <c r="I52" s="1">
        <v>1000</v>
      </c>
      <c r="J52" s="1">
        <v>5</v>
      </c>
      <c r="K52" s="1">
        <v>0</v>
      </c>
      <c r="L52" s="1">
        <v>0</v>
      </c>
      <c r="M52" s="1" t="s">
        <v>1831</v>
      </c>
      <c r="N52" s="1" t="s">
        <v>698</v>
      </c>
      <c r="O52" s="1">
        <v>0</v>
      </c>
      <c r="P52" s="1" t="s">
        <v>2072</v>
      </c>
      <c r="Q52" s="7" t="s">
        <v>2340</v>
      </c>
    </row>
    <row r="53" spans="1:17" ht="14.25" thickBot="1">
      <c r="A53" s="1" t="s">
        <v>82</v>
      </c>
      <c r="B53" s="3">
        <v>1</v>
      </c>
      <c r="C53" s="1" t="s">
        <v>2120</v>
      </c>
      <c r="D53" s="1" t="s">
        <v>15</v>
      </c>
      <c r="E53" s="1">
        <f>INDEX([1]游戏类型定义!$C$20:$C$29,MATCH(D53,[1]!装备部位,0))</f>
        <v>8</v>
      </c>
      <c r="F53" s="1">
        <v>1</v>
      </c>
      <c r="G53" s="1">
        <v>10</v>
      </c>
      <c r="H53" s="10">
        <v>0</v>
      </c>
      <c r="I53" s="1">
        <v>1000</v>
      </c>
      <c r="J53" s="1">
        <v>5</v>
      </c>
      <c r="K53" s="1">
        <v>0</v>
      </c>
      <c r="L53" s="1">
        <v>0</v>
      </c>
      <c r="M53" s="1" t="s">
        <v>1832</v>
      </c>
      <c r="N53" s="1" t="s">
        <v>698</v>
      </c>
      <c r="O53" s="1">
        <v>0</v>
      </c>
      <c r="P53" s="1" t="s">
        <v>2072</v>
      </c>
      <c r="Q53" s="7" t="s">
        <v>2341</v>
      </c>
    </row>
    <row r="54" spans="1:17" ht="14.25" thickBot="1">
      <c r="A54" s="1" t="s">
        <v>83</v>
      </c>
      <c r="B54" s="3">
        <v>1</v>
      </c>
      <c r="C54" s="1" t="s">
        <v>2132</v>
      </c>
      <c r="D54" s="1" t="s">
        <v>16</v>
      </c>
      <c r="E54" s="1">
        <f>INDEX([1]游戏类型定义!$C$20:$C$29,MATCH(D54,[1]!装备部位,0))</f>
        <v>9</v>
      </c>
      <c r="F54" s="1">
        <v>1</v>
      </c>
      <c r="G54" s="1">
        <v>10</v>
      </c>
      <c r="H54" s="10">
        <v>0</v>
      </c>
      <c r="I54" s="1">
        <v>1000</v>
      </c>
      <c r="J54" s="1">
        <v>5</v>
      </c>
      <c r="K54" s="1">
        <v>0</v>
      </c>
      <c r="L54" s="1">
        <v>0</v>
      </c>
      <c r="M54" s="1" t="s">
        <v>1833</v>
      </c>
      <c r="N54" s="1" t="s">
        <v>698</v>
      </c>
      <c r="O54" s="1">
        <v>0</v>
      </c>
      <c r="P54" s="1" t="s">
        <v>2072</v>
      </c>
      <c r="Q54" s="7" t="s">
        <v>2342</v>
      </c>
    </row>
    <row r="55" spans="1:17" ht="14.25" thickBot="1">
      <c r="A55" s="1" t="s">
        <v>84</v>
      </c>
      <c r="B55" s="2">
        <v>0</v>
      </c>
      <c r="C55" s="1" t="s">
        <v>2034</v>
      </c>
      <c r="D55" s="1" t="s">
        <v>17</v>
      </c>
      <c r="E55" s="1">
        <f>INDEX([1]游戏类型定义!$C$20:$C$29,MATCH(D55,[1]!装备部位,0))</f>
        <v>10</v>
      </c>
      <c r="F55" s="1">
        <v>1</v>
      </c>
      <c r="G55" s="1">
        <v>10</v>
      </c>
      <c r="H55" s="10">
        <v>0</v>
      </c>
      <c r="I55" s="1">
        <v>1000</v>
      </c>
      <c r="J55" s="1">
        <v>5</v>
      </c>
      <c r="K55" s="1">
        <v>0</v>
      </c>
      <c r="L55" s="1">
        <v>0</v>
      </c>
      <c r="M55" s="1" t="s">
        <v>1818</v>
      </c>
      <c r="N55" s="1" t="s">
        <v>698</v>
      </c>
      <c r="O55" s="1">
        <v>0</v>
      </c>
      <c r="P55" s="1" t="s">
        <v>2072</v>
      </c>
      <c r="Q55" s="7" t="s">
        <v>2056</v>
      </c>
    </row>
    <row r="56" spans="1:17" ht="14.25" thickBot="1">
      <c r="A56" s="1" t="s">
        <v>85</v>
      </c>
      <c r="B56" s="3">
        <v>1</v>
      </c>
      <c r="C56" s="9" t="s">
        <v>2207</v>
      </c>
      <c r="D56" s="1" t="s">
        <v>12</v>
      </c>
      <c r="E56" s="1">
        <f>INDEX([1]游戏类型定义!$C$20:$C$29,MATCH(D56,[1]!装备部位,0))</f>
        <v>5</v>
      </c>
      <c r="F56" s="1">
        <v>1</v>
      </c>
      <c r="G56" s="1">
        <v>10</v>
      </c>
      <c r="H56" s="10" t="s">
        <v>2320</v>
      </c>
      <c r="I56" s="1">
        <v>1000</v>
      </c>
      <c r="J56" s="1">
        <v>5</v>
      </c>
      <c r="K56" s="1">
        <v>0</v>
      </c>
      <c r="L56" s="1">
        <v>0</v>
      </c>
      <c r="M56" s="1" t="s">
        <v>1834</v>
      </c>
      <c r="N56" s="1" t="s">
        <v>698</v>
      </c>
      <c r="O56" s="1">
        <v>0</v>
      </c>
      <c r="P56" s="1" t="s">
        <v>2072</v>
      </c>
      <c r="Q56" s="7" t="s">
        <v>2343</v>
      </c>
    </row>
    <row r="57" spans="1:17" ht="14.25" thickBot="1">
      <c r="A57" s="1" t="s">
        <v>86</v>
      </c>
      <c r="B57" s="3">
        <v>1</v>
      </c>
      <c r="C57" s="9" t="s">
        <v>2208</v>
      </c>
      <c r="D57" s="1" t="s">
        <v>12</v>
      </c>
      <c r="E57" s="1">
        <f>INDEX([1]游戏类型定义!$C$20:$C$29,MATCH(D57,[1]!装备部位,0))</f>
        <v>5</v>
      </c>
      <c r="F57" s="1">
        <v>1</v>
      </c>
      <c r="G57" s="1">
        <v>10</v>
      </c>
      <c r="H57" s="10" t="s">
        <v>2320</v>
      </c>
      <c r="I57" s="1">
        <v>1300</v>
      </c>
      <c r="J57" s="1">
        <v>5</v>
      </c>
      <c r="K57" s="1">
        <v>0</v>
      </c>
      <c r="L57" s="1">
        <v>0</v>
      </c>
      <c r="M57" s="1" t="s">
        <v>1835</v>
      </c>
      <c r="N57" s="1" t="s">
        <v>698</v>
      </c>
      <c r="O57" s="1">
        <v>0</v>
      </c>
      <c r="P57" s="1" t="s">
        <v>2072</v>
      </c>
      <c r="Q57" s="7" t="s">
        <v>2344</v>
      </c>
    </row>
    <row r="58" spans="1:17" ht="14.25" thickBot="1">
      <c r="A58" s="1" t="s">
        <v>87</v>
      </c>
      <c r="B58" s="3">
        <v>1</v>
      </c>
      <c r="C58" s="9" t="s">
        <v>2199</v>
      </c>
      <c r="D58" s="1" t="s">
        <v>13</v>
      </c>
      <c r="E58" s="1">
        <f>INDEX([1]游戏类型定义!$C$20:$C$29,MATCH(D58,[1]!装备部位,0))</f>
        <v>6</v>
      </c>
      <c r="F58" s="1">
        <v>1</v>
      </c>
      <c r="G58" s="1">
        <v>10</v>
      </c>
      <c r="H58" s="10" t="s">
        <v>2320</v>
      </c>
      <c r="I58" s="1">
        <v>1000</v>
      </c>
      <c r="J58" s="1">
        <v>5</v>
      </c>
      <c r="K58" s="1">
        <v>0</v>
      </c>
      <c r="L58" s="1">
        <v>0</v>
      </c>
      <c r="M58" s="1" t="s">
        <v>1836</v>
      </c>
      <c r="N58" s="1" t="s">
        <v>698</v>
      </c>
      <c r="O58" s="1">
        <v>0</v>
      </c>
      <c r="P58" s="1" t="s">
        <v>2072</v>
      </c>
      <c r="Q58" s="7" t="s">
        <v>2345</v>
      </c>
    </row>
    <row r="59" spans="1:17" ht="14.25" thickBot="1">
      <c r="A59" s="1" t="s">
        <v>88</v>
      </c>
      <c r="B59" s="2">
        <v>0</v>
      </c>
      <c r="C59" s="9" t="s">
        <v>2044</v>
      </c>
      <c r="D59" s="1" t="s">
        <v>13</v>
      </c>
      <c r="E59" s="1">
        <f>INDEX([1]游戏类型定义!$C$20:$C$29,MATCH(D59,[1]!装备部位,0))</f>
        <v>6</v>
      </c>
      <c r="F59" s="1">
        <v>1</v>
      </c>
      <c r="G59" s="1">
        <v>10</v>
      </c>
      <c r="H59" s="10" t="s">
        <v>2320</v>
      </c>
      <c r="I59" s="1">
        <v>1300</v>
      </c>
      <c r="J59" s="1">
        <v>5</v>
      </c>
      <c r="K59" s="1">
        <v>0</v>
      </c>
      <c r="L59" s="1">
        <v>0</v>
      </c>
      <c r="M59" s="1" t="s">
        <v>1837</v>
      </c>
      <c r="N59" s="1" t="s">
        <v>698</v>
      </c>
      <c r="O59" s="1">
        <v>0</v>
      </c>
      <c r="P59" s="1" t="s">
        <v>2072</v>
      </c>
      <c r="Q59" s="7" t="s">
        <v>2058</v>
      </c>
    </row>
    <row r="60" spans="1:17" ht="14.25" thickBot="1">
      <c r="A60" s="1" t="s">
        <v>89</v>
      </c>
      <c r="B60" s="3">
        <v>1</v>
      </c>
      <c r="C60" s="1" t="s">
        <v>2209</v>
      </c>
      <c r="D60" s="1" t="s">
        <v>12</v>
      </c>
      <c r="E60" s="1">
        <f>INDEX([1]游戏类型定义!$C$20:$C$29,MATCH(D60,[1]!装备部位,0))</f>
        <v>5</v>
      </c>
      <c r="F60" s="1">
        <v>1</v>
      </c>
      <c r="G60" s="1">
        <v>10</v>
      </c>
      <c r="H60" s="10" t="s">
        <v>2321</v>
      </c>
      <c r="I60" s="1">
        <v>1000</v>
      </c>
      <c r="J60" s="1">
        <v>5</v>
      </c>
      <c r="K60" s="1">
        <v>0</v>
      </c>
      <c r="L60" s="1">
        <v>0</v>
      </c>
      <c r="M60" s="1" t="s">
        <v>1834</v>
      </c>
      <c r="N60" s="1" t="s">
        <v>698</v>
      </c>
      <c r="O60" s="1">
        <v>0</v>
      </c>
      <c r="P60" s="1" t="s">
        <v>2072</v>
      </c>
      <c r="Q60" s="7" t="s">
        <v>2346</v>
      </c>
    </row>
    <row r="61" spans="1:17" ht="14.25" thickBot="1">
      <c r="A61" s="1" t="s">
        <v>90</v>
      </c>
      <c r="B61" s="3">
        <v>1</v>
      </c>
      <c r="C61" s="1" t="s">
        <v>2210</v>
      </c>
      <c r="D61" s="1" t="s">
        <v>12</v>
      </c>
      <c r="E61" s="1">
        <f>INDEX([1]游戏类型定义!$C$20:$C$29,MATCH(D61,[1]!装备部位,0))</f>
        <v>5</v>
      </c>
      <c r="F61" s="1">
        <v>1</v>
      </c>
      <c r="G61" s="1">
        <v>10</v>
      </c>
      <c r="H61" s="10" t="s">
        <v>2321</v>
      </c>
      <c r="I61" s="1">
        <v>1300</v>
      </c>
      <c r="J61" s="1">
        <v>5</v>
      </c>
      <c r="K61" s="1">
        <v>0</v>
      </c>
      <c r="L61" s="1">
        <v>0</v>
      </c>
      <c r="M61" s="1" t="s">
        <v>1835</v>
      </c>
      <c r="N61" s="1" t="s">
        <v>698</v>
      </c>
      <c r="O61" s="1">
        <v>0</v>
      </c>
      <c r="P61" s="1" t="s">
        <v>2072</v>
      </c>
      <c r="Q61" s="7" t="s">
        <v>2347</v>
      </c>
    </row>
    <row r="62" spans="1:17" ht="14.25" thickBot="1">
      <c r="A62" s="1" t="s">
        <v>91</v>
      </c>
      <c r="B62" s="3">
        <v>1</v>
      </c>
      <c r="C62" s="9" t="s">
        <v>2211</v>
      </c>
      <c r="D62" s="1" t="s">
        <v>13</v>
      </c>
      <c r="E62" s="1">
        <f>INDEX([1]游戏类型定义!$C$20:$C$29,MATCH(D62,[1]!装备部位,0))</f>
        <v>6</v>
      </c>
      <c r="F62" s="1">
        <v>1</v>
      </c>
      <c r="G62" s="1">
        <v>10</v>
      </c>
      <c r="H62" s="10" t="s">
        <v>2321</v>
      </c>
      <c r="I62" s="1">
        <v>1000</v>
      </c>
      <c r="J62" s="1">
        <v>5</v>
      </c>
      <c r="K62" s="1">
        <v>0</v>
      </c>
      <c r="L62" s="1">
        <v>0</v>
      </c>
      <c r="M62" s="1" t="s">
        <v>1838</v>
      </c>
      <c r="N62" s="1" t="s">
        <v>698</v>
      </c>
      <c r="O62" s="1">
        <v>0</v>
      </c>
      <c r="P62" s="1" t="s">
        <v>2072</v>
      </c>
      <c r="Q62" s="7" t="s">
        <v>2348</v>
      </c>
    </row>
    <row r="63" spans="1:17" ht="14.25" thickBot="1">
      <c r="A63" s="1" t="s">
        <v>92</v>
      </c>
      <c r="B63" s="2">
        <v>0</v>
      </c>
      <c r="C63" s="9" t="s">
        <v>2042</v>
      </c>
      <c r="D63" s="1" t="s">
        <v>13</v>
      </c>
      <c r="E63" s="1">
        <f>INDEX([1]游戏类型定义!$C$20:$C$29,MATCH(D63,[1]!装备部位,0))</f>
        <v>6</v>
      </c>
      <c r="F63" s="1">
        <v>1</v>
      </c>
      <c r="G63" s="1">
        <v>10</v>
      </c>
      <c r="H63" s="10" t="s">
        <v>2321</v>
      </c>
      <c r="I63" s="1">
        <v>1300</v>
      </c>
      <c r="J63" s="1">
        <v>5</v>
      </c>
      <c r="K63" s="1">
        <v>0</v>
      </c>
      <c r="L63" s="1">
        <v>0</v>
      </c>
      <c r="M63" s="1" t="s">
        <v>1839</v>
      </c>
      <c r="N63" s="1" t="s">
        <v>698</v>
      </c>
      <c r="O63" s="1">
        <v>0</v>
      </c>
      <c r="P63" s="1" t="s">
        <v>2072</v>
      </c>
      <c r="Q63" s="7" t="s">
        <v>2060</v>
      </c>
    </row>
    <row r="64" spans="1:17" ht="14.25" thickBot="1">
      <c r="A64" s="1" t="s">
        <v>93</v>
      </c>
      <c r="B64" s="3">
        <v>1</v>
      </c>
      <c r="C64" s="9" t="s">
        <v>2213</v>
      </c>
      <c r="D64" s="1" t="s">
        <v>12</v>
      </c>
      <c r="E64" s="1">
        <f>INDEX([1]游戏类型定义!$C$20:$C$29,MATCH(D64,[1]!装备部位,0))</f>
        <v>5</v>
      </c>
      <c r="F64" s="1">
        <v>1</v>
      </c>
      <c r="G64" s="1">
        <v>10</v>
      </c>
      <c r="H64" s="10" t="s">
        <v>2322</v>
      </c>
      <c r="I64" s="1">
        <v>1000</v>
      </c>
      <c r="J64" s="1">
        <v>5</v>
      </c>
      <c r="K64" s="1">
        <v>0</v>
      </c>
      <c r="L64" s="1">
        <v>0</v>
      </c>
      <c r="M64" s="1" t="s">
        <v>1834</v>
      </c>
      <c r="N64" s="1" t="s">
        <v>698</v>
      </c>
      <c r="O64" s="1">
        <v>0</v>
      </c>
      <c r="P64" s="1" t="s">
        <v>2072</v>
      </c>
      <c r="Q64" s="7" t="s">
        <v>2349</v>
      </c>
    </row>
    <row r="65" spans="1:17" ht="14.25" thickBot="1">
      <c r="A65" s="1" t="s">
        <v>94</v>
      </c>
      <c r="B65" s="3">
        <v>1</v>
      </c>
      <c r="C65" s="9" t="s">
        <v>2212</v>
      </c>
      <c r="D65" s="1" t="s">
        <v>12</v>
      </c>
      <c r="E65" s="1">
        <f>INDEX([1]游戏类型定义!$C$20:$C$29,MATCH(D65,[1]!装备部位,0))</f>
        <v>5</v>
      </c>
      <c r="F65" s="1">
        <v>1</v>
      </c>
      <c r="G65" s="1">
        <v>10</v>
      </c>
      <c r="H65" s="10" t="s">
        <v>2322</v>
      </c>
      <c r="I65" s="1">
        <v>1300</v>
      </c>
      <c r="J65" s="1">
        <v>5</v>
      </c>
      <c r="K65" s="1">
        <v>0</v>
      </c>
      <c r="L65" s="1">
        <v>0</v>
      </c>
      <c r="M65" s="1" t="s">
        <v>1835</v>
      </c>
      <c r="N65" s="1" t="s">
        <v>698</v>
      </c>
      <c r="O65" s="1">
        <v>0</v>
      </c>
      <c r="P65" s="1" t="s">
        <v>2072</v>
      </c>
      <c r="Q65" s="7" t="s">
        <v>2350</v>
      </c>
    </row>
    <row r="66" spans="1:17" ht="14.25" thickBot="1">
      <c r="A66" s="1" t="s">
        <v>95</v>
      </c>
      <c r="B66" s="3">
        <v>1</v>
      </c>
      <c r="C66" s="9" t="s">
        <v>2214</v>
      </c>
      <c r="D66" s="1" t="s">
        <v>13</v>
      </c>
      <c r="E66" s="1">
        <f>INDEX([1]游戏类型定义!$C$20:$C$29,MATCH(D66,[1]!装备部位,0))</f>
        <v>6</v>
      </c>
      <c r="F66" s="1">
        <v>1</v>
      </c>
      <c r="G66" s="1">
        <v>10</v>
      </c>
      <c r="H66" s="10" t="s">
        <v>2322</v>
      </c>
      <c r="I66" s="1">
        <v>1000</v>
      </c>
      <c r="J66" s="1">
        <v>5</v>
      </c>
      <c r="K66" s="1">
        <v>0</v>
      </c>
      <c r="L66" s="1">
        <v>0</v>
      </c>
      <c r="M66" s="1" t="s">
        <v>1840</v>
      </c>
      <c r="N66" s="1" t="s">
        <v>698</v>
      </c>
      <c r="O66" s="1">
        <v>0</v>
      </c>
      <c r="P66" s="1" t="s">
        <v>2072</v>
      </c>
      <c r="Q66" s="7" t="s">
        <v>2351</v>
      </c>
    </row>
    <row r="67" spans="1:17" ht="14.25" thickBot="1">
      <c r="A67" s="1" t="s">
        <v>96</v>
      </c>
      <c r="B67" s="2">
        <v>0</v>
      </c>
      <c r="C67" s="9" t="s">
        <v>2050</v>
      </c>
      <c r="D67" s="1" t="s">
        <v>13</v>
      </c>
      <c r="E67" s="1">
        <f>INDEX([1]游戏类型定义!$C$20:$C$29,MATCH(D67,[1]!装备部位,0))</f>
        <v>6</v>
      </c>
      <c r="F67" s="1">
        <v>1</v>
      </c>
      <c r="G67" s="1">
        <v>10</v>
      </c>
      <c r="H67" s="10" t="s">
        <v>2322</v>
      </c>
      <c r="I67" s="1">
        <v>1300</v>
      </c>
      <c r="J67" s="1">
        <v>5</v>
      </c>
      <c r="K67" s="1">
        <v>0</v>
      </c>
      <c r="L67" s="1">
        <v>0</v>
      </c>
      <c r="M67" s="1" t="s">
        <v>1841</v>
      </c>
      <c r="N67" s="1" t="s">
        <v>698</v>
      </c>
      <c r="O67" s="1">
        <v>0</v>
      </c>
      <c r="P67" s="1" t="s">
        <v>2072</v>
      </c>
      <c r="Q67" s="7" t="s">
        <v>2062</v>
      </c>
    </row>
    <row r="68" spans="1:17" ht="14.25" thickBot="1">
      <c r="A68" s="1" t="s">
        <v>97</v>
      </c>
      <c r="B68" s="3">
        <v>1</v>
      </c>
      <c r="C68" s="1" t="s">
        <v>2159</v>
      </c>
      <c r="D68" s="1" t="s">
        <v>11</v>
      </c>
      <c r="E68" s="1">
        <f>INDEX([1]游戏类型定义!$C$20:$C$29,MATCH(D68,[1]!装备部位,0))</f>
        <v>4</v>
      </c>
      <c r="F68" s="1">
        <v>1</v>
      </c>
      <c r="G68" s="1">
        <v>10</v>
      </c>
      <c r="H68" s="10">
        <v>0</v>
      </c>
      <c r="I68" s="1">
        <v>1000</v>
      </c>
      <c r="J68" s="1">
        <v>5</v>
      </c>
      <c r="K68" s="1">
        <v>0</v>
      </c>
      <c r="L68" s="1">
        <v>0</v>
      </c>
      <c r="M68" s="1" t="s">
        <v>1842</v>
      </c>
      <c r="N68" s="1" t="s">
        <v>698</v>
      </c>
      <c r="O68" s="1">
        <v>0</v>
      </c>
      <c r="P68" s="1" t="s">
        <v>2072</v>
      </c>
      <c r="Q68" s="7" t="s">
        <v>2336</v>
      </c>
    </row>
    <row r="69" spans="1:17" ht="14.25" thickBot="1">
      <c r="A69" s="1" t="s">
        <v>98</v>
      </c>
      <c r="B69" s="2">
        <v>0</v>
      </c>
      <c r="C69" s="1" t="s">
        <v>2030</v>
      </c>
      <c r="D69" s="1" t="s">
        <v>11</v>
      </c>
      <c r="E69" s="1">
        <f>INDEX([1]游戏类型定义!$C$20:$C$29,MATCH(D69,[1]!装备部位,0))</f>
        <v>4</v>
      </c>
      <c r="F69" s="1">
        <v>1</v>
      </c>
      <c r="G69" s="1">
        <v>10</v>
      </c>
      <c r="H69" s="10">
        <v>0</v>
      </c>
      <c r="I69" s="1">
        <v>1300</v>
      </c>
      <c r="J69" s="1">
        <v>5</v>
      </c>
      <c r="K69" s="1">
        <v>0</v>
      </c>
      <c r="L69" s="1">
        <v>0</v>
      </c>
      <c r="M69" s="1" t="s">
        <v>1843</v>
      </c>
      <c r="N69" s="1" t="s">
        <v>698</v>
      </c>
      <c r="O69" s="1">
        <v>0</v>
      </c>
      <c r="P69" s="1" t="s">
        <v>2072</v>
      </c>
      <c r="Q69" s="7" t="s">
        <v>2063</v>
      </c>
    </row>
    <row r="70" spans="1:17" ht="14.25" thickBot="1">
      <c r="A70" s="1" t="s">
        <v>99</v>
      </c>
      <c r="B70" s="3">
        <v>1</v>
      </c>
      <c r="C70" s="1" t="s">
        <v>2177</v>
      </c>
      <c r="D70" s="1" t="s">
        <v>14</v>
      </c>
      <c r="E70" s="1">
        <f>INDEX([1]游戏类型定义!$C$20:$C$29,MATCH(D70,[1]!装备部位,0))</f>
        <v>7</v>
      </c>
      <c r="F70" s="1">
        <v>1</v>
      </c>
      <c r="G70" s="1">
        <v>10</v>
      </c>
      <c r="H70" s="10">
        <v>0</v>
      </c>
      <c r="I70" s="1">
        <v>1000</v>
      </c>
      <c r="J70" s="1">
        <v>5</v>
      </c>
      <c r="K70" s="1">
        <v>0</v>
      </c>
      <c r="L70" s="1">
        <v>0</v>
      </c>
      <c r="M70" s="1" t="s">
        <v>1842</v>
      </c>
      <c r="N70" s="1" t="s">
        <v>698</v>
      </c>
      <c r="O70" s="1">
        <v>0</v>
      </c>
      <c r="P70" s="1" t="s">
        <v>2072</v>
      </c>
      <c r="Q70" s="7" t="s">
        <v>2352</v>
      </c>
    </row>
    <row r="71" spans="1:17" ht="14.25" thickBot="1">
      <c r="A71" s="1" t="s">
        <v>100</v>
      </c>
      <c r="B71" s="2">
        <v>0</v>
      </c>
      <c r="C71" s="1" t="s">
        <v>2038</v>
      </c>
      <c r="D71" s="1" t="s">
        <v>14</v>
      </c>
      <c r="E71" s="1">
        <f>INDEX([1]游戏类型定义!$C$20:$C$29,MATCH(D71,[1]!装备部位,0))</f>
        <v>7</v>
      </c>
      <c r="F71" s="1">
        <v>1</v>
      </c>
      <c r="G71" s="1">
        <v>10</v>
      </c>
      <c r="H71" s="10">
        <v>0</v>
      </c>
      <c r="I71" s="1">
        <v>1300</v>
      </c>
      <c r="J71" s="1">
        <v>5</v>
      </c>
      <c r="K71" s="1">
        <v>0</v>
      </c>
      <c r="L71" s="1">
        <v>0</v>
      </c>
      <c r="M71" s="1" t="s">
        <v>1843</v>
      </c>
      <c r="N71" s="1" t="s">
        <v>698</v>
      </c>
      <c r="O71" s="1">
        <v>0</v>
      </c>
      <c r="P71" s="1" t="s">
        <v>2072</v>
      </c>
      <c r="Q71" s="7" t="s">
        <v>2064</v>
      </c>
    </row>
    <row r="72" spans="1:17" ht="14.25" thickBot="1">
      <c r="A72" s="1" t="s">
        <v>101</v>
      </c>
      <c r="B72" s="2">
        <v>0</v>
      </c>
      <c r="C72" s="1" t="s">
        <v>2031</v>
      </c>
      <c r="D72" s="1" t="s">
        <v>8</v>
      </c>
      <c r="E72" s="1">
        <f>INDEX([1]游戏类型定义!$C$20:$C$29,MATCH(D72,[1]!装备部位,0))</f>
        <v>1</v>
      </c>
      <c r="F72" s="1">
        <v>1</v>
      </c>
      <c r="G72" s="1">
        <v>15</v>
      </c>
      <c r="H72" s="10">
        <v>0</v>
      </c>
      <c r="I72" s="1">
        <v>1500</v>
      </c>
      <c r="J72" s="1">
        <v>5</v>
      </c>
      <c r="K72" s="1">
        <v>0</v>
      </c>
      <c r="L72" s="1">
        <v>0</v>
      </c>
      <c r="M72" s="1" t="s">
        <v>1829</v>
      </c>
      <c r="N72" s="1" t="s">
        <v>698</v>
      </c>
      <c r="O72" s="1">
        <v>0</v>
      </c>
      <c r="P72" s="1" t="s">
        <v>2073</v>
      </c>
      <c r="Q72" s="7" t="s">
        <v>2051</v>
      </c>
    </row>
    <row r="73" spans="1:17" ht="14.25" thickBot="1">
      <c r="A73" s="1" t="s">
        <v>102</v>
      </c>
      <c r="B73" s="2">
        <v>0</v>
      </c>
      <c r="C73" s="1" t="s">
        <v>2032</v>
      </c>
      <c r="D73" s="1" t="s">
        <v>9</v>
      </c>
      <c r="E73" s="1">
        <f>INDEX([1]游戏类型定义!$C$20:$C$29,MATCH(D73,[1]!装备部位,0))</f>
        <v>2</v>
      </c>
      <c r="F73" s="1">
        <v>1</v>
      </c>
      <c r="G73" s="1">
        <v>15</v>
      </c>
      <c r="H73" s="10">
        <v>0</v>
      </c>
      <c r="I73" s="1">
        <v>1500</v>
      </c>
      <c r="J73" s="1">
        <v>5</v>
      </c>
      <c r="K73" s="1">
        <v>0</v>
      </c>
      <c r="L73" s="1">
        <v>0</v>
      </c>
      <c r="M73" s="1" t="s">
        <v>1844</v>
      </c>
      <c r="N73" s="1" t="s">
        <v>698</v>
      </c>
      <c r="O73" s="1">
        <v>0</v>
      </c>
      <c r="P73" s="1" t="s">
        <v>2073</v>
      </c>
      <c r="Q73" s="7" t="s">
        <v>2052</v>
      </c>
    </row>
    <row r="74" spans="1:17" ht="14.25" thickBot="1">
      <c r="A74" s="1" t="s">
        <v>103</v>
      </c>
      <c r="B74" s="3">
        <v>1</v>
      </c>
      <c r="C74" s="1" t="s">
        <v>2088</v>
      </c>
      <c r="D74" s="1" t="s">
        <v>10</v>
      </c>
      <c r="E74" s="1">
        <f>INDEX([1]游戏类型定义!$C$20:$C$29,MATCH(D74,[1]!装备部位,0))</f>
        <v>3</v>
      </c>
      <c r="F74" s="1">
        <v>1</v>
      </c>
      <c r="G74" s="1">
        <v>15</v>
      </c>
      <c r="H74" s="10">
        <v>0</v>
      </c>
      <c r="I74" s="1">
        <v>1500</v>
      </c>
      <c r="J74" s="1">
        <v>5</v>
      </c>
      <c r="K74" s="1">
        <v>0</v>
      </c>
      <c r="L74" s="1">
        <v>0</v>
      </c>
      <c r="M74" s="1" t="s">
        <v>1845</v>
      </c>
      <c r="N74" s="1" t="s">
        <v>698</v>
      </c>
      <c r="O74" s="1">
        <v>0</v>
      </c>
      <c r="P74" s="1" t="s">
        <v>2073</v>
      </c>
      <c r="Q74" s="7" t="s">
        <v>2353</v>
      </c>
    </row>
    <row r="75" spans="1:17" ht="14.25" thickBot="1">
      <c r="A75" s="1" t="s">
        <v>104</v>
      </c>
      <c r="B75" s="3">
        <v>1</v>
      </c>
      <c r="C75" s="1" t="s">
        <v>2121</v>
      </c>
      <c r="D75" s="1" t="s">
        <v>15</v>
      </c>
      <c r="E75" s="1">
        <f>INDEX([1]游戏类型定义!$C$20:$C$29,MATCH(D75,[1]!装备部位,0))</f>
        <v>8</v>
      </c>
      <c r="F75" s="1">
        <v>1</v>
      </c>
      <c r="G75" s="1">
        <v>15</v>
      </c>
      <c r="H75" s="10">
        <v>0</v>
      </c>
      <c r="I75" s="1">
        <v>1500</v>
      </c>
      <c r="J75" s="1">
        <v>5</v>
      </c>
      <c r="K75" s="1">
        <v>0</v>
      </c>
      <c r="L75" s="1">
        <v>0</v>
      </c>
      <c r="M75" s="1" t="s">
        <v>1846</v>
      </c>
      <c r="N75" s="1" t="s">
        <v>698</v>
      </c>
      <c r="O75" s="1">
        <v>0</v>
      </c>
      <c r="P75" s="1" t="s">
        <v>2073</v>
      </c>
      <c r="Q75" s="7" t="s">
        <v>2354</v>
      </c>
    </row>
    <row r="76" spans="1:17" ht="14.25" thickBot="1">
      <c r="A76" s="1" t="s">
        <v>105</v>
      </c>
      <c r="B76" s="3">
        <v>1</v>
      </c>
      <c r="C76" s="1" t="s">
        <v>2133</v>
      </c>
      <c r="D76" s="1" t="s">
        <v>16</v>
      </c>
      <c r="E76" s="1">
        <f>INDEX([1]游戏类型定义!$C$20:$C$29,MATCH(D76,[1]!装备部位,0))</f>
        <v>9</v>
      </c>
      <c r="F76" s="1">
        <v>1</v>
      </c>
      <c r="G76" s="1">
        <v>15</v>
      </c>
      <c r="H76" s="10">
        <v>0</v>
      </c>
      <c r="I76" s="1">
        <v>1500</v>
      </c>
      <c r="J76" s="1">
        <v>5</v>
      </c>
      <c r="K76" s="1">
        <v>0</v>
      </c>
      <c r="L76" s="1">
        <v>0</v>
      </c>
      <c r="M76" s="1" t="s">
        <v>1847</v>
      </c>
      <c r="N76" s="1" t="s">
        <v>698</v>
      </c>
      <c r="O76" s="1">
        <v>0</v>
      </c>
      <c r="P76" s="1" t="s">
        <v>2073</v>
      </c>
      <c r="Q76" s="7" t="s">
        <v>2355</v>
      </c>
    </row>
    <row r="77" spans="1:17" ht="14.25" thickBot="1">
      <c r="A77" s="1" t="s">
        <v>106</v>
      </c>
      <c r="B77" s="3">
        <v>1</v>
      </c>
      <c r="C77" s="1" t="s">
        <v>2146</v>
      </c>
      <c r="D77" s="1" t="s">
        <v>17</v>
      </c>
      <c r="E77" s="1">
        <f>INDEX([1]游戏类型定义!$C$20:$C$29,MATCH(D77,[1]!装备部位,0))</f>
        <v>10</v>
      </c>
      <c r="F77" s="1">
        <v>1</v>
      </c>
      <c r="G77" s="1">
        <v>15</v>
      </c>
      <c r="H77" s="10">
        <v>0</v>
      </c>
      <c r="I77" s="1">
        <v>1500</v>
      </c>
      <c r="J77" s="1">
        <v>5</v>
      </c>
      <c r="K77" s="1">
        <v>0</v>
      </c>
      <c r="L77" s="1">
        <v>0</v>
      </c>
      <c r="M77" s="1" t="s">
        <v>1848</v>
      </c>
      <c r="N77" s="1" t="s">
        <v>698</v>
      </c>
      <c r="O77" s="1">
        <v>0</v>
      </c>
      <c r="P77" s="1" t="s">
        <v>2073</v>
      </c>
      <c r="Q77" s="7" t="s">
        <v>2356</v>
      </c>
    </row>
    <row r="78" spans="1:17" ht="14.25" thickBot="1">
      <c r="A78" s="1" t="s">
        <v>107</v>
      </c>
      <c r="B78" s="3">
        <v>1</v>
      </c>
      <c r="C78" s="9" t="s">
        <v>2196</v>
      </c>
      <c r="D78" s="1" t="s">
        <v>12</v>
      </c>
      <c r="E78" s="1">
        <f>INDEX([1]游戏类型定义!$C$20:$C$29,MATCH(D78,[1]!装备部位,0))</f>
        <v>5</v>
      </c>
      <c r="F78" s="1">
        <v>1</v>
      </c>
      <c r="G78" s="1">
        <v>15</v>
      </c>
      <c r="H78" s="10" t="s">
        <v>2320</v>
      </c>
      <c r="I78" s="1">
        <v>1500</v>
      </c>
      <c r="J78" s="1">
        <v>5</v>
      </c>
      <c r="K78" s="1">
        <v>0</v>
      </c>
      <c r="L78" s="1">
        <v>0</v>
      </c>
      <c r="M78" s="1" t="s">
        <v>1849</v>
      </c>
      <c r="N78" s="1" t="s">
        <v>698</v>
      </c>
      <c r="O78" s="1">
        <v>0</v>
      </c>
      <c r="P78" s="1" t="s">
        <v>2073</v>
      </c>
      <c r="Q78" s="7" t="s">
        <v>2357</v>
      </c>
    </row>
    <row r="79" spans="1:17" ht="14.25" thickBot="1">
      <c r="A79" s="1" t="s">
        <v>108</v>
      </c>
      <c r="B79" s="3">
        <v>1</v>
      </c>
      <c r="C79" s="9" t="s">
        <v>2215</v>
      </c>
      <c r="D79" s="1" t="s">
        <v>12</v>
      </c>
      <c r="E79" s="1">
        <f>INDEX([1]游戏类型定义!$C$20:$C$29,MATCH(D79,[1]!装备部位,0))</f>
        <v>5</v>
      </c>
      <c r="F79" s="1">
        <v>1</v>
      </c>
      <c r="G79" s="1">
        <v>15</v>
      </c>
      <c r="H79" s="10" t="s">
        <v>2320</v>
      </c>
      <c r="I79" s="1">
        <v>1800</v>
      </c>
      <c r="J79" s="1">
        <v>5</v>
      </c>
      <c r="K79" s="1">
        <v>0</v>
      </c>
      <c r="L79" s="1">
        <v>0</v>
      </c>
      <c r="M79" s="1" t="s">
        <v>2017</v>
      </c>
      <c r="N79" s="1" t="s">
        <v>698</v>
      </c>
      <c r="O79" s="1">
        <v>0</v>
      </c>
      <c r="P79" s="1" t="s">
        <v>2073</v>
      </c>
      <c r="Q79" s="7" t="s">
        <v>2358</v>
      </c>
    </row>
    <row r="80" spans="1:17" ht="14.25" thickBot="1">
      <c r="A80" s="1" t="s">
        <v>109</v>
      </c>
      <c r="B80" s="3">
        <v>1</v>
      </c>
      <c r="C80" s="9" t="s">
        <v>2198</v>
      </c>
      <c r="D80" s="1" t="s">
        <v>13</v>
      </c>
      <c r="E80" s="1">
        <f>INDEX([1]游戏类型定义!$C$20:$C$29,MATCH(D80,[1]!装备部位,0))</f>
        <v>6</v>
      </c>
      <c r="F80" s="1">
        <v>1</v>
      </c>
      <c r="G80" s="1">
        <v>15</v>
      </c>
      <c r="H80" s="10" t="s">
        <v>2320</v>
      </c>
      <c r="I80" s="1">
        <v>1500</v>
      </c>
      <c r="J80" s="1">
        <v>5</v>
      </c>
      <c r="K80" s="1">
        <v>0</v>
      </c>
      <c r="L80" s="1">
        <v>0</v>
      </c>
      <c r="M80" s="1" t="s">
        <v>1850</v>
      </c>
      <c r="N80" s="1" t="s">
        <v>698</v>
      </c>
      <c r="O80" s="1">
        <v>0</v>
      </c>
      <c r="P80" s="1" t="s">
        <v>2073</v>
      </c>
      <c r="Q80" s="7" t="s">
        <v>2359</v>
      </c>
    </row>
    <row r="81" spans="1:17" ht="14.25" thickBot="1">
      <c r="A81" s="1" t="s">
        <v>110</v>
      </c>
      <c r="B81" s="2">
        <v>0</v>
      </c>
      <c r="C81" s="9" t="s">
        <v>2044</v>
      </c>
      <c r="D81" s="1" t="s">
        <v>13</v>
      </c>
      <c r="E81" s="1">
        <f>INDEX([1]游戏类型定义!$C$20:$C$29,MATCH(D81,[1]!装备部位,0))</f>
        <v>6</v>
      </c>
      <c r="F81" s="1">
        <v>1</v>
      </c>
      <c r="G81" s="1">
        <v>15</v>
      </c>
      <c r="H81" s="10" t="s">
        <v>2320</v>
      </c>
      <c r="I81" s="1">
        <v>1800</v>
      </c>
      <c r="J81" s="1">
        <v>5</v>
      </c>
      <c r="K81" s="1">
        <v>0</v>
      </c>
      <c r="L81" s="1">
        <v>0</v>
      </c>
      <c r="M81" s="1" t="s">
        <v>1851</v>
      </c>
      <c r="N81" s="1" t="s">
        <v>698</v>
      </c>
      <c r="O81" s="1">
        <v>0</v>
      </c>
      <c r="P81" s="1" t="s">
        <v>2073</v>
      </c>
      <c r="Q81" s="7" t="s">
        <v>2058</v>
      </c>
    </row>
    <row r="82" spans="1:17" ht="14.25" thickBot="1">
      <c r="A82" s="1" t="s">
        <v>111</v>
      </c>
      <c r="B82" s="3">
        <v>1</v>
      </c>
      <c r="C82" s="1" t="s">
        <v>2217</v>
      </c>
      <c r="D82" s="1" t="s">
        <v>12</v>
      </c>
      <c r="E82" s="1">
        <f>INDEX([1]游戏类型定义!$C$20:$C$29,MATCH(D82,[1]!装备部位,0))</f>
        <v>5</v>
      </c>
      <c r="F82" s="1">
        <v>1</v>
      </c>
      <c r="G82" s="1">
        <v>15</v>
      </c>
      <c r="H82" s="10" t="s">
        <v>2321</v>
      </c>
      <c r="I82" s="1">
        <v>1500</v>
      </c>
      <c r="J82" s="1">
        <v>5</v>
      </c>
      <c r="K82" s="1">
        <v>0</v>
      </c>
      <c r="L82" s="1">
        <v>0</v>
      </c>
      <c r="M82" s="1" t="s">
        <v>1849</v>
      </c>
      <c r="N82" s="1" t="s">
        <v>698</v>
      </c>
      <c r="O82" s="1">
        <v>0</v>
      </c>
      <c r="P82" s="1" t="s">
        <v>2073</v>
      </c>
      <c r="Q82" s="7" t="s">
        <v>2360</v>
      </c>
    </row>
    <row r="83" spans="1:17" ht="14.25" thickBot="1">
      <c r="A83" s="1" t="s">
        <v>112</v>
      </c>
      <c r="B83" s="3">
        <v>1</v>
      </c>
      <c r="C83" s="1" t="s">
        <v>2216</v>
      </c>
      <c r="D83" s="1" t="s">
        <v>12</v>
      </c>
      <c r="E83" s="1">
        <f>INDEX([1]游戏类型定义!$C$20:$C$29,MATCH(D83,[1]!装备部位,0))</f>
        <v>5</v>
      </c>
      <c r="F83" s="1">
        <v>1</v>
      </c>
      <c r="G83" s="1">
        <v>15</v>
      </c>
      <c r="H83" s="10" t="s">
        <v>2321</v>
      </c>
      <c r="I83" s="1">
        <v>1800</v>
      </c>
      <c r="J83" s="1">
        <v>5</v>
      </c>
      <c r="K83" s="1">
        <v>0</v>
      </c>
      <c r="L83" s="1">
        <v>0</v>
      </c>
      <c r="M83" s="1" t="s">
        <v>2017</v>
      </c>
      <c r="N83" s="1" t="s">
        <v>698</v>
      </c>
      <c r="O83" s="1">
        <v>0</v>
      </c>
      <c r="P83" s="1" t="s">
        <v>2073</v>
      </c>
      <c r="Q83" s="7" t="s">
        <v>2361</v>
      </c>
    </row>
    <row r="84" spans="1:17" ht="14.25" thickBot="1">
      <c r="A84" s="1" t="s">
        <v>113</v>
      </c>
      <c r="B84" s="3">
        <v>1</v>
      </c>
      <c r="C84" s="9" t="s">
        <v>2218</v>
      </c>
      <c r="D84" s="1" t="s">
        <v>13</v>
      </c>
      <c r="E84" s="1">
        <f>INDEX([1]游戏类型定义!$C$20:$C$29,MATCH(D84,[1]!装备部位,0))</f>
        <v>6</v>
      </c>
      <c r="F84" s="1">
        <v>1</v>
      </c>
      <c r="G84" s="1">
        <v>15</v>
      </c>
      <c r="H84" s="10" t="s">
        <v>2321</v>
      </c>
      <c r="I84" s="1">
        <v>1500</v>
      </c>
      <c r="J84" s="1">
        <v>5</v>
      </c>
      <c r="K84" s="1">
        <v>0</v>
      </c>
      <c r="L84" s="1">
        <v>0</v>
      </c>
      <c r="M84" s="1" t="s">
        <v>1852</v>
      </c>
      <c r="N84" s="1" t="s">
        <v>698</v>
      </c>
      <c r="O84" s="1">
        <v>0</v>
      </c>
      <c r="P84" s="1" t="s">
        <v>2073</v>
      </c>
      <c r="Q84" s="7" t="s">
        <v>2362</v>
      </c>
    </row>
    <row r="85" spans="1:17" ht="14.25" thickBot="1">
      <c r="A85" s="1" t="s">
        <v>114</v>
      </c>
      <c r="B85" s="2">
        <v>0</v>
      </c>
      <c r="C85" s="9" t="s">
        <v>2042</v>
      </c>
      <c r="D85" s="1" t="s">
        <v>13</v>
      </c>
      <c r="E85" s="1">
        <f>INDEX([1]游戏类型定义!$C$20:$C$29,MATCH(D85,[1]!装备部位,0))</f>
        <v>6</v>
      </c>
      <c r="F85" s="1">
        <v>1</v>
      </c>
      <c r="G85" s="1">
        <v>15</v>
      </c>
      <c r="H85" s="10" t="s">
        <v>2321</v>
      </c>
      <c r="I85" s="1">
        <v>1800</v>
      </c>
      <c r="J85" s="1">
        <v>5</v>
      </c>
      <c r="K85" s="1">
        <v>0</v>
      </c>
      <c r="L85" s="1">
        <v>0</v>
      </c>
      <c r="M85" s="1" t="s">
        <v>1853</v>
      </c>
      <c r="N85" s="1" t="s">
        <v>698</v>
      </c>
      <c r="O85" s="1">
        <v>0</v>
      </c>
      <c r="P85" s="1" t="s">
        <v>2073</v>
      </c>
      <c r="Q85" s="7" t="s">
        <v>2060</v>
      </c>
    </row>
    <row r="86" spans="1:17" ht="14.25" thickBot="1">
      <c r="A86" s="1" t="s">
        <v>115</v>
      </c>
      <c r="B86" s="3">
        <v>1</v>
      </c>
      <c r="C86" s="9" t="s">
        <v>2219</v>
      </c>
      <c r="D86" s="1" t="s">
        <v>12</v>
      </c>
      <c r="E86" s="1">
        <f>INDEX([1]游戏类型定义!$C$20:$C$29,MATCH(D86,[1]!装备部位,0))</f>
        <v>5</v>
      </c>
      <c r="F86" s="1">
        <v>1</v>
      </c>
      <c r="G86" s="1">
        <v>15</v>
      </c>
      <c r="H86" s="10" t="s">
        <v>2322</v>
      </c>
      <c r="I86" s="1">
        <v>1500</v>
      </c>
      <c r="J86" s="1">
        <v>5</v>
      </c>
      <c r="K86" s="1">
        <v>0</v>
      </c>
      <c r="L86" s="1">
        <v>0</v>
      </c>
      <c r="M86" s="1" t="s">
        <v>1849</v>
      </c>
      <c r="N86" s="1" t="s">
        <v>698</v>
      </c>
      <c r="O86" s="1">
        <v>0</v>
      </c>
      <c r="P86" s="1" t="s">
        <v>2073</v>
      </c>
      <c r="Q86" s="7" t="s">
        <v>2363</v>
      </c>
    </row>
    <row r="87" spans="1:17" ht="14.25" thickBot="1">
      <c r="A87" s="1" t="s">
        <v>116</v>
      </c>
      <c r="B87" s="3">
        <v>1</v>
      </c>
      <c r="C87" s="9" t="s">
        <v>2220</v>
      </c>
      <c r="D87" s="1" t="s">
        <v>12</v>
      </c>
      <c r="E87" s="1">
        <f>INDEX([1]游戏类型定义!$C$20:$C$29,MATCH(D87,[1]!装备部位,0))</f>
        <v>5</v>
      </c>
      <c r="F87" s="1">
        <v>1</v>
      </c>
      <c r="G87" s="1">
        <v>15</v>
      </c>
      <c r="H87" s="10" t="s">
        <v>2322</v>
      </c>
      <c r="I87" s="1">
        <v>1800</v>
      </c>
      <c r="J87" s="1">
        <v>5</v>
      </c>
      <c r="K87" s="1">
        <v>0</v>
      </c>
      <c r="L87" s="1">
        <v>0</v>
      </c>
      <c r="M87" s="1" t="s">
        <v>2017</v>
      </c>
      <c r="N87" s="1" t="s">
        <v>698</v>
      </c>
      <c r="O87" s="1">
        <v>0</v>
      </c>
      <c r="P87" s="1" t="s">
        <v>2073</v>
      </c>
      <c r="Q87" s="7" t="s">
        <v>2364</v>
      </c>
    </row>
    <row r="88" spans="1:17" ht="14.25" thickBot="1">
      <c r="A88" s="1" t="s">
        <v>117</v>
      </c>
      <c r="B88" s="3">
        <v>1</v>
      </c>
      <c r="C88" s="9" t="s">
        <v>2221</v>
      </c>
      <c r="D88" s="1" t="s">
        <v>13</v>
      </c>
      <c r="E88" s="1">
        <f>INDEX([1]游戏类型定义!$C$20:$C$29,MATCH(D88,[1]!装备部位,0))</f>
        <v>6</v>
      </c>
      <c r="F88" s="1">
        <v>1</v>
      </c>
      <c r="G88" s="1">
        <v>15</v>
      </c>
      <c r="H88" s="10" t="s">
        <v>2322</v>
      </c>
      <c r="I88" s="1">
        <v>1500</v>
      </c>
      <c r="J88" s="1">
        <v>5</v>
      </c>
      <c r="K88" s="1">
        <v>0</v>
      </c>
      <c r="L88" s="1">
        <v>0</v>
      </c>
      <c r="M88" s="1" t="s">
        <v>1854</v>
      </c>
      <c r="N88" s="1" t="s">
        <v>698</v>
      </c>
      <c r="O88" s="1">
        <v>0</v>
      </c>
      <c r="P88" s="1" t="s">
        <v>2073</v>
      </c>
      <c r="Q88" s="7" t="s">
        <v>2365</v>
      </c>
    </row>
    <row r="89" spans="1:17" ht="14.25" thickBot="1">
      <c r="A89" s="1" t="s">
        <v>118</v>
      </c>
      <c r="B89" s="2">
        <v>0</v>
      </c>
      <c r="C89" s="9" t="s">
        <v>2050</v>
      </c>
      <c r="D89" s="1" t="s">
        <v>13</v>
      </c>
      <c r="E89" s="1">
        <f>INDEX([1]游戏类型定义!$C$20:$C$29,MATCH(D89,[1]!装备部位,0))</f>
        <v>6</v>
      </c>
      <c r="F89" s="1">
        <v>1</v>
      </c>
      <c r="G89" s="1">
        <v>15</v>
      </c>
      <c r="H89" s="10" t="s">
        <v>2322</v>
      </c>
      <c r="I89" s="1">
        <v>1800</v>
      </c>
      <c r="J89" s="1">
        <v>5</v>
      </c>
      <c r="K89" s="1">
        <v>0</v>
      </c>
      <c r="L89" s="1">
        <v>0</v>
      </c>
      <c r="M89" s="1" t="s">
        <v>1855</v>
      </c>
      <c r="N89" s="1" t="s">
        <v>698</v>
      </c>
      <c r="O89" s="1">
        <v>0</v>
      </c>
      <c r="P89" s="1" t="s">
        <v>2073</v>
      </c>
      <c r="Q89" s="7" t="s">
        <v>2062</v>
      </c>
    </row>
    <row r="90" spans="1:17" ht="14.25" thickBot="1">
      <c r="A90" s="1" t="s">
        <v>119</v>
      </c>
      <c r="B90" s="3">
        <v>1</v>
      </c>
      <c r="C90" s="1" t="s">
        <v>2160</v>
      </c>
      <c r="D90" s="1" t="s">
        <v>11</v>
      </c>
      <c r="E90" s="1">
        <f>INDEX([1]游戏类型定义!$C$20:$C$29,MATCH(D90,[1]!装备部位,0))</f>
        <v>4</v>
      </c>
      <c r="F90" s="1">
        <v>1</v>
      </c>
      <c r="G90" s="1">
        <v>15</v>
      </c>
      <c r="H90" s="10">
        <v>0</v>
      </c>
      <c r="I90" s="1">
        <v>1500</v>
      </c>
      <c r="J90" s="1">
        <v>5</v>
      </c>
      <c r="K90" s="1">
        <v>0</v>
      </c>
      <c r="L90" s="1">
        <v>0</v>
      </c>
      <c r="M90" s="1" t="s">
        <v>1856</v>
      </c>
      <c r="N90" s="1" t="s">
        <v>698</v>
      </c>
      <c r="O90" s="1">
        <v>0</v>
      </c>
      <c r="P90" s="1" t="s">
        <v>2073</v>
      </c>
      <c r="Q90" s="7" t="s">
        <v>2366</v>
      </c>
    </row>
    <row r="91" spans="1:17" ht="14.25" thickBot="1">
      <c r="A91" s="1" t="s">
        <v>120</v>
      </c>
      <c r="B91" s="2">
        <v>0</v>
      </c>
      <c r="C91" s="1" t="s">
        <v>2030</v>
      </c>
      <c r="D91" s="1" t="s">
        <v>11</v>
      </c>
      <c r="E91" s="1">
        <f>INDEX([1]游戏类型定义!$C$20:$C$29,MATCH(D91,[1]!装备部位,0))</f>
        <v>4</v>
      </c>
      <c r="F91" s="1">
        <v>1</v>
      </c>
      <c r="G91" s="1">
        <v>15</v>
      </c>
      <c r="H91" s="10">
        <v>0</v>
      </c>
      <c r="I91" s="1">
        <v>1800</v>
      </c>
      <c r="J91" s="1">
        <v>5</v>
      </c>
      <c r="K91" s="1">
        <v>0</v>
      </c>
      <c r="L91" s="1">
        <v>0</v>
      </c>
      <c r="M91" s="1" t="s">
        <v>1857</v>
      </c>
      <c r="N91" s="1" t="s">
        <v>698</v>
      </c>
      <c r="O91" s="1">
        <v>0</v>
      </c>
      <c r="P91" s="1" t="s">
        <v>2073</v>
      </c>
      <c r="Q91" s="7" t="s">
        <v>2063</v>
      </c>
    </row>
    <row r="92" spans="1:17" ht="14.25" thickBot="1">
      <c r="A92" s="1" t="s">
        <v>121</v>
      </c>
      <c r="B92" s="3">
        <v>1</v>
      </c>
      <c r="C92" s="1" t="s">
        <v>2178</v>
      </c>
      <c r="D92" s="1" t="s">
        <v>14</v>
      </c>
      <c r="E92" s="1">
        <f>INDEX([1]游戏类型定义!$C$20:$C$29,MATCH(D92,[1]!装备部位,0))</f>
        <v>7</v>
      </c>
      <c r="F92" s="1">
        <v>1</v>
      </c>
      <c r="G92" s="1">
        <v>15</v>
      </c>
      <c r="H92" s="10">
        <v>0</v>
      </c>
      <c r="I92" s="1">
        <v>1500</v>
      </c>
      <c r="J92" s="1">
        <v>5</v>
      </c>
      <c r="K92" s="1">
        <v>0</v>
      </c>
      <c r="L92" s="1">
        <v>0</v>
      </c>
      <c r="M92" s="1" t="s">
        <v>1856</v>
      </c>
      <c r="N92" s="1" t="s">
        <v>698</v>
      </c>
      <c r="O92" s="1">
        <v>0</v>
      </c>
      <c r="P92" s="1" t="s">
        <v>2073</v>
      </c>
      <c r="Q92" s="7" t="s">
        <v>2352</v>
      </c>
    </row>
    <row r="93" spans="1:17" ht="14.25" thickBot="1">
      <c r="A93" s="1" t="s">
        <v>122</v>
      </c>
      <c r="B93" s="2">
        <v>0</v>
      </c>
      <c r="C93" s="1" t="s">
        <v>2038</v>
      </c>
      <c r="D93" s="1" t="s">
        <v>14</v>
      </c>
      <c r="E93" s="1">
        <f>INDEX([1]游戏类型定义!$C$20:$C$29,MATCH(D93,[1]!装备部位,0))</f>
        <v>7</v>
      </c>
      <c r="F93" s="1">
        <v>1</v>
      </c>
      <c r="G93" s="1">
        <v>15</v>
      </c>
      <c r="H93" s="10">
        <v>0</v>
      </c>
      <c r="I93" s="1">
        <v>1800</v>
      </c>
      <c r="J93" s="1">
        <v>5</v>
      </c>
      <c r="K93" s="1">
        <v>0</v>
      </c>
      <c r="L93" s="1">
        <v>0</v>
      </c>
      <c r="M93" s="1" t="s">
        <v>1858</v>
      </c>
      <c r="N93" s="1" t="s">
        <v>698</v>
      </c>
      <c r="O93" s="1">
        <v>0</v>
      </c>
      <c r="P93" s="1" t="s">
        <v>2073</v>
      </c>
      <c r="Q93" s="7" t="s">
        <v>2064</v>
      </c>
    </row>
    <row r="94" spans="1:17" ht="14.25" thickBot="1">
      <c r="A94" s="1" t="s">
        <v>123</v>
      </c>
      <c r="B94" s="3">
        <v>1</v>
      </c>
      <c r="C94" s="1" t="s">
        <v>2103</v>
      </c>
      <c r="D94" s="1" t="s">
        <v>8</v>
      </c>
      <c r="E94" s="1">
        <f>INDEX([1]游戏类型定义!$C$20:$C$29,MATCH(D94,[1]!装备部位,0))</f>
        <v>1</v>
      </c>
      <c r="F94" s="1">
        <v>1</v>
      </c>
      <c r="G94" s="1">
        <v>20</v>
      </c>
      <c r="H94" s="10">
        <v>0</v>
      </c>
      <c r="I94" s="1">
        <v>2000</v>
      </c>
      <c r="J94" s="1">
        <v>5</v>
      </c>
      <c r="K94" s="1">
        <v>0</v>
      </c>
      <c r="L94" s="1">
        <v>0</v>
      </c>
      <c r="M94" s="1" t="s">
        <v>1859</v>
      </c>
      <c r="N94" s="1" t="s">
        <v>698</v>
      </c>
      <c r="O94" s="1">
        <v>0</v>
      </c>
      <c r="P94" s="1" t="s">
        <v>2074</v>
      </c>
      <c r="Q94" s="7" t="s">
        <v>2367</v>
      </c>
    </row>
    <row r="95" spans="1:17" ht="14.25" thickBot="1">
      <c r="A95" s="1" t="s">
        <v>124</v>
      </c>
      <c r="B95" s="3">
        <v>1</v>
      </c>
      <c r="C95" s="1" t="s">
        <v>2109</v>
      </c>
      <c r="D95" s="1" t="s">
        <v>9</v>
      </c>
      <c r="E95" s="1">
        <f>INDEX([1]游戏类型定义!$C$20:$C$29,MATCH(D95,[1]!装备部位,0))</f>
        <v>2</v>
      </c>
      <c r="F95" s="1">
        <v>1</v>
      </c>
      <c r="G95" s="1">
        <v>20</v>
      </c>
      <c r="H95" s="10">
        <v>0</v>
      </c>
      <c r="I95" s="1">
        <v>2000</v>
      </c>
      <c r="J95" s="1">
        <v>5</v>
      </c>
      <c r="K95" s="1">
        <v>0</v>
      </c>
      <c r="L95" s="1">
        <v>0</v>
      </c>
      <c r="M95" s="1" t="s">
        <v>1840</v>
      </c>
      <c r="N95" s="1" t="s">
        <v>698</v>
      </c>
      <c r="O95" s="1">
        <v>0</v>
      </c>
      <c r="P95" s="1" t="s">
        <v>2074</v>
      </c>
      <c r="Q95" s="7" t="s">
        <v>2368</v>
      </c>
    </row>
    <row r="96" spans="1:17" ht="14.25" thickBot="1">
      <c r="A96" s="1" t="s">
        <v>125</v>
      </c>
      <c r="B96" s="3">
        <v>1</v>
      </c>
      <c r="C96" s="1" t="s">
        <v>2089</v>
      </c>
      <c r="D96" s="1" t="s">
        <v>10</v>
      </c>
      <c r="E96" s="1">
        <f>INDEX([1]游戏类型定义!$C$20:$C$29,MATCH(D96,[1]!装备部位,0))</f>
        <v>3</v>
      </c>
      <c r="F96" s="1">
        <v>1</v>
      </c>
      <c r="G96" s="1">
        <v>20</v>
      </c>
      <c r="H96" s="10">
        <v>0</v>
      </c>
      <c r="I96" s="1">
        <v>2000</v>
      </c>
      <c r="J96" s="1">
        <v>5</v>
      </c>
      <c r="K96" s="1">
        <v>0</v>
      </c>
      <c r="L96" s="1">
        <v>0</v>
      </c>
      <c r="M96" s="1" t="s">
        <v>1860</v>
      </c>
      <c r="N96" s="1" t="s">
        <v>698</v>
      </c>
      <c r="O96" s="1">
        <v>0</v>
      </c>
      <c r="P96" s="1" t="s">
        <v>2074</v>
      </c>
      <c r="Q96" s="7" t="s">
        <v>2369</v>
      </c>
    </row>
    <row r="97" spans="1:17" ht="14.25" thickBot="1">
      <c r="A97" s="1" t="s">
        <v>126</v>
      </c>
      <c r="B97" s="2">
        <v>0</v>
      </c>
      <c r="C97" s="1" t="s">
        <v>2036</v>
      </c>
      <c r="D97" s="1" t="s">
        <v>15</v>
      </c>
      <c r="E97" s="1">
        <f>INDEX([1]游戏类型定义!$C$20:$C$29,MATCH(D97,[1]!装备部位,0))</f>
        <v>8</v>
      </c>
      <c r="F97" s="1">
        <v>1</v>
      </c>
      <c r="G97" s="1">
        <v>20</v>
      </c>
      <c r="H97" s="10">
        <v>0</v>
      </c>
      <c r="I97" s="1">
        <v>2000</v>
      </c>
      <c r="J97" s="1">
        <v>5</v>
      </c>
      <c r="K97" s="1">
        <v>0</v>
      </c>
      <c r="L97" s="1">
        <v>0</v>
      </c>
      <c r="M97" s="1" t="s">
        <v>1861</v>
      </c>
      <c r="N97" s="1" t="s">
        <v>698</v>
      </c>
      <c r="O97" s="1">
        <v>0</v>
      </c>
      <c r="P97" s="1" t="s">
        <v>2074</v>
      </c>
      <c r="Q97" s="7" t="s">
        <v>2054</v>
      </c>
    </row>
    <row r="98" spans="1:17" ht="14.25" thickBot="1">
      <c r="A98" s="1" t="s">
        <v>127</v>
      </c>
      <c r="B98" s="3">
        <v>1</v>
      </c>
      <c r="C98" s="1" t="s">
        <v>2134</v>
      </c>
      <c r="D98" s="1" t="s">
        <v>16</v>
      </c>
      <c r="E98" s="1">
        <f>INDEX([1]游戏类型定义!$C$20:$C$29,MATCH(D98,[1]!装备部位,0))</f>
        <v>9</v>
      </c>
      <c r="F98" s="1">
        <v>1</v>
      </c>
      <c r="G98" s="1">
        <v>20</v>
      </c>
      <c r="H98" s="10">
        <v>0</v>
      </c>
      <c r="I98" s="1">
        <v>2000</v>
      </c>
      <c r="J98" s="1">
        <v>5</v>
      </c>
      <c r="K98" s="1">
        <v>0</v>
      </c>
      <c r="L98" s="1">
        <v>0</v>
      </c>
      <c r="M98" s="1" t="s">
        <v>1862</v>
      </c>
      <c r="N98" s="1" t="s">
        <v>698</v>
      </c>
      <c r="O98" s="1">
        <v>0</v>
      </c>
      <c r="P98" s="1" t="s">
        <v>2074</v>
      </c>
      <c r="Q98" s="7" t="s">
        <v>2370</v>
      </c>
    </row>
    <row r="99" spans="1:17" ht="14.25" thickBot="1">
      <c r="A99" s="1" t="s">
        <v>128</v>
      </c>
      <c r="B99" s="3">
        <v>1</v>
      </c>
      <c r="C99" s="1" t="s">
        <v>2147</v>
      </c>
      <c r="D99" s="1" t="s">
        <v>17</v>
      </c>
      <c r="E99" s="1">
        <f>INDEX([1]游戏类型定义!$C$20:$C$29,MATCH(D99,[1]!装备部位,0))</f>
        <v>10</v>
      </c>
      <c r="F99" s="1">
        <v>1</v>
      </c>
      <c r="G99" s="1">
        <v>20</v>
      </c>
      <c r="H99" s="10">
        <v>0</v>
      </c>
      <c r="I99" s="1">
        <v>2000</v>
      </c>
      <c r="J99" s="1">
        <v>5</v>
      </c>
      <c r="K99" s="1">
        <v>0</v>
      </c>
      <c r="L99" s="1">
        <v>0</v>
      </c>
      <c r="M99" s="1" t="s">
        <v>1863</v>
      </c>
      <c r="N99" s="1" t="s">
        <v>698</v>
      </c>
      <c r="O99" s="1">
        <v>0</v>
      </c>
      <c r="P99" s="1" t="s">
        <v>2074</v>
      </c>
      <c r="Q99" s="7" t="s">
        <v>2371</v>
      </c>
    </row>
    <row r="100" spans="1:17" ht="14.25" thickBot="1">
      <c r="A100" s="1" t="s">
        <v>129</v>
      </c>
      <c r="B100" s="3">
        <v>1</v>
      </c>
      <c r="C100" s="9" t="s">
        <v>2222</v>
      </c>
      <c r="D100" s="1" t="s">
        <v>12</v>
      </c>
      <c r="E100" s="1">
        <f>INDEX([1]游戏类型定义!$C$20:$C$29,MATCH(D100,[1]!装备部位,0))</f>
        <v>5</v>
      </c>
      <c r="F100" s="1">
        <v>1</v>
      </c>
      <c r="G100" s="1">
        <v>20</v>
      </c>
      <c r="H100" s="10" t="s">
        <v>2320</v>
      </c>
      <c r="I100" s="1">
        <v>2000</v>
      </c>
      <c r="J100" s="1">
        <v>5</v>
      </c>
      <c r="K100" s="1">
        <v>0</v>
      </c>
      <c r="L100" s="1">
        <v>0</v>
      </c>
      <c r="M100" s="1" t="s">
        <v>2018</v>
      </c>
      <c r="N100" s="1" t="s">
        <v>698</v>
      </c>
      <c r="O100" s="1">
        <v>0</v>
      </c>
      <c r="P100" s="1" t="s">
        <v>2074</v>
      </c>
      <c r="Q100" s="7" t="s">
        <v>2372</v>
      </c>
    </row>
    <row r="101" spans="1:17" ht="14.25" thickBot="1">
      <c r="A101" s="1" t="s">
        <v>130</v>
      </c>
      <c r="B101" s="2">
        <v>0</v>
      </c>
      <c r="C101" s="9" t="s">
        <v>2046</v>
      </c>
      <c r="D101" s="1" t="s">
        <v>12</v>
      </c>
      <c r="E101" s="1">
        <f>INDEX([1]游戏类型定义!$C$20:$C$29,MATCH(D101,[1]!装备部位,0))</f>
        <v>5</v>
      </c>
      <c r="F101" s="1">
        <v>1</v>
      </c>
      <c r="G101" s="1">
        <v>20</v>
      </c>
      <c r="H101" s="10" t="s">
        <v>2320</v>
      </c>
      <c r="I101" s="1">
        <v>2300</v>
      </c>
      <c r="J101" s="1">
        <v>5</v>
      </c>
      <c r="K101" s="1">
        <v>0</v>
      </c>
      <c r="L101" s="1">
        <v>0</v>
      </c>
      <c r="M101" s="1" t="s">
        <v>2019</v>
      </c>
      <c r="N101" s="1" t="s">
        <v>698</v>
      </c>
      <c r="O101" s="1">
        <v>0</v>
      </c>
      <c r="P101" s="1" t="s">
        <v>2074</v>
      </c>
      <c r="Q101" s="7" t="s">
        <v>2057</v>
      </c>
    </row>
    <row r="102" spans="1:17" ht="14.25" thickBot="1">
      <c r="A102" s="1" t="s">
        <v>131</v>
      </c>
      <c r="B102" s="3">
        <v>1</v>
      </c>
      <c r="C102" s="9" t="s">
        <v>2200</v>
      </c>
      <c r="D102" s="1" t="s">
        <v>13</v>
      </c>
      <c r="E102" s="1">
        <f>INDEX([1]游戏类型定义!$C$20:$C$29,MATCH(D102,[1]!装备部位,0))</f>
        <v>6</v>
      </c>
      <c r="F102" s="1">
        <v>1</v>
      </c>
      <c r="G102" s="1">
        <v>20</v>
      </c>
      <c r="H102" s="10" t="s">
        <v>2320</v>
      </c>
      <c r="I102" s="1">
        <v>2000</v>
      </c>
      <c r="J102" s="1">
        <v>5</v>
      </c>
      <c r="K102" s="1">
        <v>0</v>
      </c>
      <c r="L102" s="1">
        <v>0</v>
      </c>
      <c r="M102" s="1" t="s">
        <v>1864</v>
      </c>
      <c r="N102" s="1" t="s">
        <v>698</v>
      </c>
      <c r="O102" s="1">
        <v>0</v>
      </c>
      <c r="P102" s="1" t="s">
        <v>2074</v>
      </c>
      <c r="Q102" s="7" t="s">
        <v>2373</v>
      </c>
    </row>
    <row r="103" spans="1:17" ht="14.25" thickBot="1">
      <c r="A103" s="1" t="s">
        <v>132</v>
      </c>
      <c r="B103" s="2">
        <v>0</v>
      </c>
      <c r="C103" s="9" t="s">
        <v>2044</v>
      </c>
      <c r="D103" s="1" t="s">
        <v>13</v>
      </c>
      <c r="E103" s="1">
        <f>INDEX([1]游戏类型定义!$C$20:$C$29,MATCH(D103,[1]!装备部位,0))</f>
        <v>6</v>
      </c>
      <c r="F103" s="1">
        <v>1</v>
      </c>
      <c r="G103" s="1">
        <v>20</v>
      </c>
      <c r="H103" s="10" t="s">
        <v>2320</v>
      </c>
      <c r="I103" s="1">
        <v>2300</v>
      </c>
      <c r="J103" s="1">
        <v>5</v>
      </c>
      <c r="K103" s="1">
        <v>0</v>
      </c>
      <c r="L103" s="1">
        <v>0</v>
      </c>
      <c r="M103" s="1" t="s">
        <v>1865</v>
      </c>
      <c r="N103" s="1" t="s">
        <v>698</v>
      </c>
      <c r="O103" s="1">
        <v>0</v>
      </c>
      <c r="P103" s="1" t="s">
        <v>2074</v>
      </c>
      <c r="Q103" s="7" t="s">
        <v>2058</v>
      </c>
    </row>
    <row r="104" spans="1:17" ht="14.25" thickBot="1">
      <c r="A104" s="1" t="s">
        <v>133</v>
      </c>
      <c r="B104" s="3">
        <v>1</v>
      </c>
      <c r="C104" s="1" t="s">
        <v>2223</v>
      </c>
      <c r="D104" s="1" t="s">
        <v>12</v>
      </c>
      <c r="E104" s="1">
        <f>INDEX([1]游戏类型定义!$C$20:$C$29,MATCH(D104,[1]!装备部位,0))</f>
        <v>5</v>
      </c>
      <c r="F104" s="1">
        <v>1</v>
      </c>
      <c r="G104" s="1">
        <v>20</v>
      </c>
      <c r="H104" s="10" t="s">
        <v>2321</v>
      </c>
      <c r="I104" s="1">
        <v>2000</v>
      </c>
      <c r="J104" s="1">
        <v>5</v>
      </c>
      <c r="K104" s="1">
        <v>0</v>
      </c>
      <c r="L104" s="1">
        <v>0</v>
      </c>
      <c r="M104" s="1" t="s">
        <v>2018</v>
      </c>
      <c r="N104" s="1" t="s">
        <v>698</v>
      </c>
      <c r="O104" s="1">
        <v>0</v>
      </c>
      <c r="P104" s="1" t="s">
        <v>2074</v>
      </c>
      <c r="Q104" s="7" t="s">
        <v>2374</v>
      </c>
    </row>
    <row r="105" spans="1:17" ht="14.25" thickBot="1">
      <c r="A105" s="1" t="s">
        <v>134</v>
      </c>
      <c r="B105" s="2">
        <v>0</v>
      </c>
      <c r="C105" s="1" t="s">
        <v>2040</v>
      </c>
      <c r="D105" s="1" t="s">
        <v>12</v>
      </c>
      <c r="E105" s="1">
        <f>INDEX([1]游戏类型定义!$C$20:$C$29,MATCH(D105,[1]!装备部位,0))</f>
        <v>5</v>
      </c>
      <c r="F105" s="1">
        <v>1</v>
      </c>
      <c r="G105" s="1">
        <v>20</v>
      </c>
      <c r="H105" s="10" t="s">
        <v>2321</v>
      </c>
      <c r="I105" s="1">
        <v>2300</v>
      </c>
      <c r="J105" s="1">
        <v>5</v>
      </c>
      <c r="K105" s="1">
        <v>0</v>
      </c>
      <c r="L105" s="1">
        <v>0</v>
      </c>
      <c r="M105" s="1" t="s">
        <v>2019</v>
      </c>
      <c r="N105" s="1" t="s">
        <v>698</v>
      </c>
      <c r="O105" s="1">
        <v>0</v>
      </c>
      <c r="P105" s="1" t="s">
        <v>2074</v>
      </c>
      <c r="Q105" s="7" t="s">
        <v>2059</v>
      </c>
    </row>
    <row r="106" spans="1:17" ht="14.25" thickBot="1">
      <c r="A106" s="1" t="s">
        <v>135</v>
      </c>
      <c r="B106" s="3">
        <v>1</v>
      </c>
      <c r="C106" s="9" t="s">
        <v>2224</v>
      </c>
      <c r="D106" s="1" t="s">
        <v>13</v>
      </c>
      <c r="E106" s="1">
        <f>INDEX([1]游戏类型定义!$C$20:$C$29,MATCH(D106,[1]!装备部位,0))</f>
        <v>6</v>
      </c>
      <c r="F106" s="1">
        <v>1</v>
      </c>
      <c r="G106" s="1">
        <v>20</v>
      </c>
      <c r="H106" s="10" t="s">
        <v>2321</v>
      </c>
      <c r="I106" s="1">
        <v>2000</v>
      </c>
      <c r="J106" s="1">
        <v>5</v>
      </c>
      <c r="K106" s="1">
        <v>0</v>
      </c>
      <c r="L106" s="1">
        <v>0</v>
      </c>
      <c r="M106" s="1" t="s">
        <v>1866</v>
      </c>
      <c r="N106" s="1" t="s">
        <v>698</v>
      </c>
      <c r="O106" s="1">
        <v>0</v>
      </c>
      <c r="P106" s="1" t="s">
        <v>2074</v>
      </c>
      <c r="Q106" s="7" t="s">
        <v>2375</v>
      </c>
    </row>
    <row r="107" spans="1:17" ht="14.25" thickBot="1">
      <c r="A107" s="1" t="s">
        <v>136</v>
      </c>
      <c r="B107" s="2">
        <v>0</v>
      </c>
      <c r="C107" s="9" t="s">
        <v>2042</v>
      </c>
      <c r="D107" s="1" t="s">
        <v>13</v>
      </c>
      <c r="E107" s="1">
        <f>INDEX([1]游戏类型定义!$C$20:$C$29,MATCH(D107,[1]!装备部位,0))</f>
        <v>6</v>
      </c>
      <c r="F107" s="1">
        <v>1</v>
      </c>
      <c r="G107" s="1">
        <v>20</v>
      </c>
      <c r="H107" s="10" t="s">
        <v>2321</v>
      </c>
      <c r="I107" s="1">
        <v>2300</v>
      </c>
      <c r="J107" s="1">
        <v>5</v>
      </c>
      <c r="K107" s="1">
        <v>0</v>
      </c>
      <c r="L107" s="1">
        <v>0</v>
      </c>
      <c r="M107" s="1" t="s">
        <v>1867</v>
      </c>
      <c r="N107" s="1" t="s">
        <v>698</v>
      </c>
      <c r="O107" s="1">
        <v>0</v>
      </c>
      <c r="P107" s="1" t="s">
        <v>2074</v>
      </c>
      <c r="Q107" s="7" t="s">
        <v>2060</v>
      </c>
    </row>
    <row r="108" spans="1:17" ht="14.25" thickBot="1">
      <c r="A108" s="1" t="s">
        <v>137</v>
      </c>
      <c r="B108" s="3">
        <v>1</v>
      </c>
      <c r="C108" s="9" t="s">
        <v>2225</v>
      </c>
      <c r="D108" s="1" t="s">
        <v>12</v>
      </c>
      <c r="E108" s="1">
        <f>INDEX([1]游戏类型定义!$C$20:$C$29,MATCH(D108,[1]!装备部位,0))</f>
        <v>5</v>
      </c>
      <c r="F108" s="1">
        <v>1</v>
      </c>
      <c r="G108" s="1">
        <v>20</v>
      </c>
      <c r="H108" s="10" t="s">
        <v>2322</v>
      </c>
      <c r="I108" s="1">
        <v>2000</v>
      </c>
      <c r="J108" s="1">
        <v>5</v>
      </c>
      <c r="K108" s="1">
        <v>0</v>
      </c>
      <c r="L108" s="1">
        <v>0</v>
      </c>
      <c r="M108" s="1" t="s">
        <v>2018</v>
      </c>
      <c r="N108" s="1" t="s">
        <v>698</v>
      </c>
      <c r="O108" s="1">
        <v>0</v>
      </c>
      <c r="P108" s="1" t="s">
        <v>2074</v>
      </c>
      <c r="Q108" s="7" t="s">
        <v>2376</v>
      </c>
    </row>
    <row r="109" spans="1:17" ht="14.25" thickBot="1">
      <c r="A109" s="1" t="s">
        <v>138</v>
      </c>
      <c r="B109" s="3">
        <v>1</v>
      </c>
      <c r="C109" s="9" t="s">
        <v>2226</v>
      </c>
      <c r="D109" s="1" t="s">
        <v>12</v>
      </c>
      <c r="E109" s="1">
        <f>INDEX([1]游戏类型定义!$C$20:$C$29,MATCH(D109,[1]!装备部位,0))</f>
        <v>5</v>
      </c>
      <c r="F109" s="1">
        <v>1</v>
      </c>
      <c r="G109" s="1">
        <v>20</v>
      </c>
      <c r="H109" s="10" t="s">
        <v>2322</v>
      </c>
      <c r="I109" s="1">
        <v>2300</v>
      </c>
      <c r="J109" s="1">
        <v>5</v>
      </c>
      <c r="K109" s="1">
        <v>0</v>
      </c>
      <c r="L109" s="1">
        <v>0</v>
      </c>
      <c r="M109" s="1" t="s">
        <v>2019</v>
      </c>
      <c r="N109" s="1" t="s">
        <v>698</v>
      </c>
      <c r="O109" s="1">
        <v>0</v>
      </c>
      <c r="P109" s="1" t="s">
        <v>2074</v>
      </c>
      <c r="Q109" s="7" t="s">
        <v>2377</v>
      </c>
    </row>
    <row r="110" spans="1:17" ht="14.25" thickBot="1">
      <c r="A110" s="1" t="s">
        <v>139</v>
      </c>
      <c r="B110" s="3">
        <v>1</v>
      </c>
      <c r="C110" s="9" t="s">
        <v>2227</v>
      </c>
      <c r="D110" s="1" t="s">
        <v>13</v>
      </c>
      <c r="E110" s="1">
        <f>INDEX([1]游戏类型定义!$C$20:$C$29,MATCH(D110,[1]!装备部位,0))</f>
        <v>6</v>
      </c>
      <c r="F110" s="1">
        <v>1</v>
      </c>
      <c r="G110" s="1">
        <v>20</v>
      </c>
      <c r="H110" s="10" t="s">
        <v>2322</v>
      </c>
      <c r="I110" s="1">
        <v>2000</v>
      </c>
      <c r="J110" s="1">
        <v>5</v>
      </c>
      <c r="K110" s="1">
        <v>0</v>
      </c>
      <c r="L110" s="1">
        <v>0</v>
      </c>
      <c r="M110" s="1" t="s">
        <v>1868</v>
      </c>
      <c r="N110" s="1" t="s">
        <v>698</v>
      </c>
      <c r="O110" s="1">
        <v>0</v>
      </c>
      <c r="P110" s="1" t="s">
        <v>2074</v>
      </c>
      <c r="Q110" s="7" t="s">
        <v>2378</v>
      </c>
    </row>
    <row r="111" spans="1:17" ht="14.25" thickBot="1">
      <c r="A111" s="1" t="s">
        <v>140</v>
      </c>
      <c r="B111" s="2">
        <v>0</v>
      </c>
      <c r="C111" s="9" t="s">
        <v>2050</v>
      </c>
      <c r="D111" s="1" t="s">
        <v>13</v>
      </c>
      <c r="E111" s="1">
        <f>INDEX([1]游戏类型定义!$C$20:$C$29,MATCH(D111,[1]!装备部位,0))</f>
        <v>6</v>
      </c>
      <c r="F111" s="1">
        <v>1</v>
      </c>
      <c r="G111" s="1">
        <v>20</v>
      </c>
      <c r="H111" s="10" t="s">
        <v>2322</v>
      </c>
      <c r="I111" s="1">
        <v>2300</v>
      </c>
      <c r="J111" s="1">
        <v>5</v>
      </c>
      <c r="K111" s="1">
        <v>0</v>
      </c>
      <c r="L111" s="1">
        <v>0</v>
      </c>
      <c r="M111" s="1" t="s">
        <v>1869</v>
      </c>
      <c r="N111" s="1" t="s">
        <v>698</v>
      </c>
      <c r="O111" s="1">
        <v>0</v>
      </c>
      <c r="P111" s="1" t="s">
        <v>2074</v>
      </c>
      <c r="Q111" s="7" t="s">
        <v>2062</v>
      </c>
    </row>
    <row r="112" spans="1:17" ht="14.25" thickBot="1">
      <c r="A112" s="1" t="s">
        <v>141</v>
      </c>
      <c r="B112" s="3">
        <v>1</v>
      </c>
      <c r="C112" s="1" t="s">
        <v>2161</v>
      </c>
      <c r="D112" s="1" t="s">
        <v>11</v>
      </c>
      <c r="E112" s="1">
        <f>INDEX([1]游戏类型定义!$C$20:$C$29,MATCH(D112,[1]!装备部位,0))</f>
        <v>4</v>
      </c>
      <c r="F112" s="1">
        <v>1</v>
      </c>
      <c r="G112" s="1">
        <v>20</v>
      </c>
      <c r="H112" s="10">
        <v>0</v>
      </c>
      <c r="I112" s="1">
        <v>2000</v>
      </c>
      <c r="J112" s="1">
        <v>5</v>
      </c>
      <c r="K112" s="1">
        <v>0</v>
      </c>
      <c r="L112" s="1">
        <v>0</v>
      </c>
      <c r="M112" s="1" t="s">
        <v>1870</v>
      </c>
      <c r="N112" s="1" t="s">
        <v>698</v>
      </c>
      <c r="O112" s="1">
        <v>0</v>
      </c>
      <c r="P112" s="1" t="s">
        <v>2074</v>
      </c>
      <c r="Q112" s="7" t="s">
        <v>2379</v>
      </c>
    </row>
    <row r="113" spans="1:17" ht="14.25" thickBot="1">
      <c r="A113" s="1" t="s">
        <v>142</v>
      </c>
      <c r="B113" s="3">
        <v>1</v>
      </c>
      <c r="C113" s="1" t="s">
        <v>2162</v>
      </c>
      <c r="D113" s="1" t="s">
        <v>11</v>
      </c>
      <c r="E113" s="1">
        <f>INDEX([1]游戏类型定义!$C$20:$C$29,MATCH(D113,[1]!装备部位,0))</f>
        <v>4</v>
      </c>
      <c r="F113" s="1">
        <v>1</v>
      </c>
      <c r="G113" s="1">
        <v>20</v>
      </c>
      <c r="H113" s="10">
        <v>0</v>
      </c>
      <c r="I113" s="1">
        <v>2300</v>
      </c>
      <c r="J113" s="1">
        <v>5</v>
      </c>
      <c r="K113" s="1">
        <v>0</v>
      </c>
      <c r="L113" s="1">
        <v>0</v>
      </c>
      <c r="M113" s="1" t="s">
        <v>1871</v>
      </c>
      <c r="N113" s="1" t="s">
        <v>698</v>
      </c>
      <c r="O113" s="1">
        <v>0</v>
      </c>
      <c r="P113" s="1" t="s">
        <v>2074</v>
      </c>
      <c r="Q113" s="7" t="s">
        <v>2380</v>
      </c>
    </row>
    <row r="114" spans="1:17" ht="14.25" thickBot="1">
      <c r="A114" s="1" t="s">
        <v>143</v>
      </c>
      <c r="B114" s="3">
        <v>1</v>
      </c>
      <c r="C114" s="1" t="s">
        <v>2179</v>
      </c>
      <c r="D114" s="1" t="s">
        <v>14</v>
      </c>
      <c r="E114" s="1">
        <f>INDEX([1]游戏类型定义!$C$20:$C$29,MATCH(D114,[1]!装备部位,0))</f>
        <v>7</v>
      </c>
      <c r="F114" s="1">
        <v>1</v>
      </c>
      <c r="G114" s="1">
        <v>20</v>
      </c>
      <c r="H114" s="10">
        <v>0</v>
      </c>
      <c r="I114" s="1">
        <v>2000</v>
      </c>
      <c r="J114" s="1">
        <v>5</v>
      </c>
      <c r="K114" s="1">
        <v>0</v>
      </c>
      <c r="L114" s="1">
        <v>0</v>
      </c>
      <c r="M114" s="1" t="s">
        <v>1872</v>
      </c>
      <c r="N114" s="1" t="s">
        <v>698</v>
      </c>
      <c r="O114" s="1">
        <v>0</v>
      </c>
      <c r="P114" s="1" t="s">
        <v>2074</v>
      </c>
      <c r="Q114" s="7" t="s">
        <v>2381</v>
      </c>
    </row>
    <row r="115" spans="1:17" ht="14.25" thickBot="1">
      <c r="A115" s="1" t="s">
        <v>144</v>
      </c>
      <c r="B115" s="3">
        <v>1</v>
      </c>
      <c r="C115" s="1" t="s">
        <v>2180</v>
      </c>
      <c r="D115" s="1" t="s">
        <v>14</v>
      </c>
      <c r="E115" s="1">
        <f>INDEX([1]游戏类型定义!$C$20:$C$29,MATCH(D115,[1]!装备部位,0))</f>
        <v>7</v>
      </c>
      <c r="F115" s="1">
        <v>1</v>
      </c>
      <c r="G115" s="1">
        <v>20</v>
      </c>
      <c r="H115" s="10">
        <v>0</v>
      </c>
      <c r="I115" s="1">
        <v>2300</v>
      </c>
      <c r="J115" s="1">
        <v>5</v>
      </c>
      <c r="K115" s="1">
        <v>0</v>
      </c>
      <c r="L115" s="1">
        <v>0</v>
      </c>
      <c r="M115" s="1" t="s">
        <v>1873</v>
      </c>
      <c r="N115" s="1" t="s">
        <v>698</v>
      </c>
      <c r="O115" s="1">
        <v>0</v>
      </c>
      <c r="P115" s="1" t="s">
        <v>2074</v>
      </c>
      <c r="Q115" s="7" t="s">
        <v>2382</v>
      </c>
    </row>
    <row r="116" spans="1:17" ht="14.25" thickBot="1">
      <c r="A116" s="1" t="s">
        <v>145</v>
      </c>
      <c r="B116" s="3">
        <v>1</v>
      </c>
      <c r="C116" s="1" t="s">
        <v>2098</v>
      </c>
      <c r="D116" s="1" t="s">
        <v>8</v>
      </c>
      <c r="E116" s="1">
        <f>INDEX([1]游戏类型定义!$C$20:$C$29,MATCH(D116,[1]!装备部位,0))</f>
        <v>1</v>
      </c>
      <c r="F116" s="1">
        <v>1</v>
      </c>
      <c r="G116" s="1">
        <v>25</v>
      </c>
      <c r="H116" s="10">
        <v>0</v>
      </c>
      <c r="I116" s="1">
        <v>2500</v>
      </c>
      <c r="J116" s="1">
        <v>5</v>
      </c>
      <c r="K116" s="1">
        <v>0</v>
      </c>
      <c r="L116" s="1">
        <v>0</v>
      </c>
      <c r="M116" s="1" t="s">
        <v>1874</v>
      </c>
      <c r="N116" s="1" t="s">
        <v>698</v>
      </c>
      <c r="O116" s="1">
        <v>0</v>
      </c>
      <c r="P116" s="1" t="s">
        <v>2075</v>
      </c>
      <c r="Q116" s="7" t="s">
        <v>2383</v>
      </c>
    </row>
    <row r="117" spans="1:17" ht="14.25" thickBot="1">
      <c r="A117" s="1" t="s">
        <v>146</v>
      </c>
      <c r="B117" s="3">
        <v>1</v>
      </c>
      <c r="C117" s="1" t="s">
        <v>2112</v>
      </c>
      <c r="D117" s="1" t="s">
        <v>9</v>
      </c>
      <c r="E117" s="1">
        <f>INDEX([1]游戏类型定义!$C$20:$C$29,MATCH(D117,[1]!装备部位,0))</f>
        <v>2</v>
      </c>
      <c r="F117" s="1">
        <v>1</v>
      </c>
      <c r="G117" s="1">
        <v>25</v>
      </c>
      <c r="H117" s="10">
        <v>0</v>
      </c>
      <c r="I117" s="1">
        <v>2500</v>
      </c>
      <c r="J117" s="1">
        <v>5</v>
      </c>
      <c r="K117" s="1">
        <v>0</v>
      </c>
      <c r="L117" s="1">
        <v>0</v>
      </c>
      <c r="M117" s="1" t="s">
        <v>1875</v>
      </c>
      <c r="N117" s="1" t="s">
        <v>698</v>
      </c>
      <c r="O117" s="1">
        <v>0</v>
      </c>
      <c r="P117" s="1" t="s">
        <v>2075</v>
      </c>
      <c r="Q117" s="7" t="s">
        <v>2384</v>
      </c>
    </row>
    <row r="118" spans="1:17" ht="14.25" thickBot="1">
      <c r="A118" s="1" t="s">
        <v>147</v>
      </c>
      <c r="B118" s="3">
        <v>1</v>
      </c>
      <c r="C118" s="1" t="s">
        <v>2090</v>
      </c>
      <c r="D118" s="1" t="s">
        <v>10</v>
      </c>
      <c r="E118" s="1">
        <f>INDEX([1]游戏类型定义!$C$20:$C$29,MATCH(D118,[1]!装备部位,0))</f>
        <v>3</v>
      </c>
      <c r="F118" s="1">
        <v>1</v>
      </c>
      <c r="G118" s="1">
        <v>25</v>
      </c>
      <c r="H118" s="10">
        <v>0</v>
      </c>
      <c r="I118" s="1">
        <v>2500</v>
      </c>
      <c r="J118" s="1">
        <v>5</v>
      </c>
      <c r="K118" s="1">
        <v>0</v>
      </c>
      <c r="L118" s="1">
        <v>0</v>
      </c>
      <c r="M118" s="1" t="s">
        <v>1876</v>
      </c>
      <c r="N118" s="1" t="s">
        <v>698</v>
      </c>
      <c r="O118" s="1">
        <v>0</v>
      </c>
      <c r="P118" s="1" t="s">
        <v>2075</v>
      </c>
      <c r="Q118" s="7" t="s">
        <v>2385</v>
      </c>
    </row>
    <row r="119" spans="1:17" ht="14.25" thickBot="1">
      <c r="A119" s="1" t="s">
        <v>148</v>
      </c>
      <c r="B119" s="3">
        <v>1</v>
      </c>
      <c r="C119" s="1" t="s">
        <v>2122</v>
      </c>
      <c r="D119" s="1" t="s">
        <v>15</v>
      </c>
      <c r="E119" s="1">
        <f>INDEX([1]游戏类型定义!$C$20:$C$29,MATCH(D119,[1]!装备部位,0))</f>
        <v>8</v>
      </c>
      <c r="F119" s="1">
        <v>1</v>
      </c>
      <c r="G119" s="1">
        <v>25</v>
      </c>
      <c r="H119" s="10">
        <v>0</v>
      </c>
      <c r="I119" s="1">
        <v>2500</v>
      </c>
      <c r="J119" s="1">
        <v>5</v>
      </c>
      <c r="K119" s="1">
        <v>0</v>
      </c>
      <c r="L119" s="1">
        <v>0</v>
      </c>
      <c r="M119" s="1" t="s">
        <v>1861</v>
      </c>
      <c r="N119" s="1" t="s">
        <v>698</v>
      </c>
      <c r="O119" s="1">
        <v>0</v>
      </c>
      <c r="P119" s="1" t="s">
        <v>2075</v>
      </c>
      <c r="Q119" s="7" t="s">
        <v>2386</v>
      </c>
    </row>
    <row r="120" spans="1:17" ht="14.25" thickBot="1">
      <c r="A120" s="1" t="s">
        <v>149</v>
      </c>
      <c r="B120" s="2">
        <v>0</v>
      </c>
      <c r="C120" s="1" t="s">
        <v>2035</v>
      </c>
      <c r="D120" s="1" t="s">
        <v>16</v>
      </c>
      <c r="E120" s="1">
        <f>INDEX([1]游戏类型定义!$C$20:$C$29,MATCH(D120,[1]!装备部位,0))</f>
        <v>9</v>
      </c>
      <c r="F120" s="1">
        <v>1</v>
      </c>
      <c r="G120" s="1">
        <v>25</v>
      </c>
      <c r="H120" s="10">
        <v>0</v>
      </c>
      <c r="I120" s="1">
        <v>2500</v>
      </c>
      <c r="J120" s="1">
        <v>5</v>
      </c>
      <c r="K120" s="1">
        <v>0</v>
      </c>
      <c r="L120" s="1">
        <v>0</v>
      </c>
      <c r="M120" s="1" t="s">
        <v>1877</v>
      </c>
      <c r="N120" s="1" t="s">
        <v>698</v>
      </c>
      <c r="O120" s="1">
        <v>0</v>
      </c>
      <c r="P120" s="1" t="s">
        <v>2075</v>
      </c>
      <c r="Q120" s="7" t="s">
        <v>2055</v>
      </c>
    </row>
    <row r="121" spans="1:17" ht="14.25" thickBot="1">
      <c r="A121" s="1" t="s">
        <v>150</v>
      </c>
      <c r="B121" s="3">
        <v>1</v>
      </c>
      <c r="C121" s="1" t="s">
        <v>2148</v>
      </c>
      <c r="D121" s="1" t="s">
        <v>17</v>
      </c>
      <c r="E121" s="1">
        <f>INDEX([1]游戏类型定义!$C$20:$C$29,MATCH(D121,[1]!装备部位,0))</f>
        <v>10</v>
      </c>
      <c r="F121" s="1">
        <v>1</v>
      </c>
      <c r="G121" s="1">
        <v>25</v>
      </c>
      <c r="H121" s="10">
        <v>0</v>
      </c>
      <c r="I121" s="1">
        <v>2500</v>
      </c>
      <c r="J121" s="1">
        <v>5</v>
      </c>
      <c r="K121" s="1">
        <v>0</v>
      </c>
      <c r="L121" s="1">
        <v>0</v>
      </c>
      <c r="M121" s="1" t="s">
        <v>1878</v>
      </c>
      <c r="N121" s="1" t="s">
        <v>698</v>
      </c>
      <c r="O121" s="1">
        <v>0</v>
      </c>
      <c r="P121" s="1" t="s">
        <v>2075</v>
      </c>
      <c r="Q121" s="7" t="s">
        <v>2387</v>
      </c>
    </row>
    <row r="122" spans="1:17" ht="14.25" thickBot="1">
      <c r="A122" s="1" t="s">
        <v>151</v>
      </c>
      <c r="B122" s="3">
        <v>1</v>
      </c>
      <c r="C122" s="9" t="s">
        <v>2312</v>
      </c>
      <c r="D122" s="1" t="s">
        <v>12</v>
      </c>
      <c r="E122" s="1">
        <f>INDEX([1]游戏类型定义!$C$20:$C$29,MATCH(D122,[1]!装备部位,0))</f>
        <v>5</v>
      </c>
      <c r="F122" s="1">
        <v>1</v>
      </c>
      <c r="G122" s="1">
        <v>25</v>
      </c>
      <c r="H122" s="10" t="s">
        <v>2320</v>
      </c>
      <c r="I122" s="1">
        <v>2500</v>
      </c>
      <c r="J122" s="1">
        <v>5</v>
      </c>
      <c r="K122" s="1">
        <v>0</v>
      </c>
      <c r="L122" s="1">
        <v>0</v>
      </c>
      <c r="M122" s="1" t="s">
        <v>1879</v>
      </c>
      <c r="N122" s="1" t="s">
        <v>698</v>
      </c>
      <c r="O122" s="1">
        <v>0</v>
      </c>
      <c r="P122" s="1" t="s">
        <v>2075</v>
      </c>
      <c r="Q122" s="7" t="s">
        <v>2388</v>
      </c>
    </row>
    <row r="123" spans="1:17" ht="14.25" thickBot="1">
      <c r="A123" s="1" t="s">
        <v>152</v>
      </c>
      <c r="B123" s="3">
        <v>1</v>
      </c>
      <c r="C123" s="9" t="s">
        <v>2228</v>
      </c>
      <c r="D123" s="1" t="s">
        <v>12</v>
      </c>
      <c r="E123" s="1">
        <f>INDEX([1]游戏类型定义!$C$20:$C$29,MATCH(D123,[1]!装备部位,0))</f>
        <v>5</v>
      </c>
      <c r="F123" s="1">
        <v>1</v>
      </c>
      <c r="G123" s="1">
        <v>25</v>
      </c>
      <c r="H123" s="10" t="s">
        <v>2320</v>
      </c>
      <c r="I123" s="1">
        <v>2800</v>
      </c>
      <c r="J123" s="1">
        <v>5</v>
      </c>
      <c r="K123" s="1">
        <v>0</v>
      </c>
      <c r="L123" s="1">
        <v>0</v>
      </c>
      <c r="M123" s="1" t="s">
        <v>2020</v>
      </c>
      <c r="N123" s="1" t="s">
        <v>698</v>
      </c>
      <c r="O123" s="1">
        <v>0</v>
      </c>
      <c r="P123" s="1" t="s">
        <v>2075</v>
      </c>
      <c r="Q123" s="7" t="s">
        <v>2389</v>
      </c>
    </row>
    <row r="124" spans="1:17" ht="14.25" thickBot="1">
      <c r="A124" s="1" t="s">
        <v>153</v>
      </c>
      <c r="B124" s="3">
        <v>1</v>
      </c>
      <c r="C124" s="9" t="s">
        <v>2229</v>
      </c>
      <c r="D124" s="1" t="s">
        <v>13</v>
      </c>
      <c r="E124" s="1">
        <f>INDEX([1]游戏类型定义!$C$20:$C$29,MATCH(D124,[1]!装备部位,0))</f>
        <v>6</v>
      </c>
      <c r="F124" s="1">
        <v>1</v>
      </c>
      <c r="G124" s="1">
        <v>25</v>
      </c>
      <c r="H124" s="10" t="s">
        <v>2320</v>
      </c>
      <c r="I124" s="1">
        <v>2500</v>
      </c>
      <c r="J124" s="1">
        <v>5</v>
      </c>
      <c r="K124" s="1">
        <v>0</v>
      </c>
      <c r="L124" s="1">
        <v>0</v>
      </c>
      <c r="M124" s="1" t="s">
        <v>1880</v>
      </c>
      <c r="N124" s="1" t="s">
        <v>698</v>
      </c>
      <c r="O124" s="1">
        <v>0</v>
      </c>
      <c r="P124" s="1" t="s">
        <v>2075</v>
      </c>
      <c r="Q124" s="7" t="s">
        <v>2390</v>
      </c>
    </row>
    <row r="125" spans="1:17" ht="14.25" thickBot="1">
      <c r="A125" s="1" t="s">
        <v>154</v>
      </c>
      <c r="B125" s="2">
        <v>0</v>
      </c>
      <c r="C125" s="9" t="s">
        <v>2044</v>
      </c>
      <c r="D125" s="1" t="s">
        <v>13</v>
      </c>
      <c r="E125" s="1">
        <f>INDEX([1]游戏类型定义!$C$20:$C$29,MATCH(D125,[1]!装备部位,0))</f>
        <v>6</v>
      </c>
      <c r="F125" s="1">
        <v>1</v>
      </c>
      <c r="G125" s="1">
        <v>25</v>
      </c>
      <c r="H125" s="10" t="s">
        <v>2320</v>
      </c>
      <c r="I125" s="1">
        <v>2800</v>
      </c>
      <c r="J125" s="1">
        <v>5</v>
      </c>
      <c r="K125" s="1">
        <v>0</v>
      </c>
      <c r="L125" s="1">
        <v>0</v>
      </c>
      <c r="M125" s="1" t="s">
        <v>1881</v>
      </c>
      <c r="N125" s="1" t="s">
        <v>698</v>
      </c>
      <c r="O125" s="1">
        <v>0</v>
      </c>
      <c r="P125" s="1" t="s">
        <v>2075</v>
      </c>
      <c r="Q125" s="7" t="s">
        <v>2058</v>
      </c>
    </row>
    <row r="126" spans="1:17" ht="14.25" thickBot="1">
      <c r="A126" s="1" t="s">
        <v>155</v>
      </c>
      <c r="B126" s="3">
        <v>1</v>
      </c>
      <c r="C126" s="1" t="s">
        <v>2230</v>
      </c>
      <c r="D126" s="1" t="s">
        <v>12</v>
      </c>
      <c r="E126" s="1">
        <f>INDEX([1]游戏类型定义!$C$20:$C$29,MATCH(D126,[1]!装备部位,0))</f>
        <v>5</v>
      </c>
      <c r="F126" s="1">
        <v>1</v>
      </c>
      <c r="G126" s="1">
        <v>25</v>
      </c>
      <c r="H126" s="10" t="s">
        <v>2321</v>
      </c>
      <c r="I126" s="1">
        <v>2500</v>
      </c>
      <c r="J126" s="1">
        <v>5</v>
      </c>
      <c r="K126" s="1">
        <v>0</v>
      </c>
      <c r="L126" s="1">
        <v>0</v>
      </c>
      <c r="M126" s="1" t="s">
        <v>1879</v>
      </c>
      <c r="N126" s="1" t="s">
        <v>698</v>
      </c>
      <c r="O126" s="1">
        <v>0</v>
      </c>
      <c r="P126" s="1" t="s">
        <v>2075</v>
      </c>
      <c r="Q126" s="7" t="s">
        <v>2391</v>
      </c>
    </row>
    <row r="127" spans="1:17" ht="14.25" thickBot="1">
      <c r="A127" s="1" t="s">
        <v>156</v>
      </c>
      <c r="B127" s="3">
        <v>1</v>
      </c>
      <c r="C127" s="1" t="s">
        <v>2311</v>
      </c>
      <c r="D127" s="1" t="s">
        <v>12</v>
      </c>
      <c r="E127" s="1">
        <f>INDEX([1]游戏类型定义!$C$20:$C$29,MATCH(D127,[1]!装备部位,0))</f>
        <v>5</v>
      </c>
      <c r="F127" s="1">
        <v>1</v>
      </c>
      <c r="G127" s="1">
        <v>25</v>
      </c>
      <c r="H127" s="10" t="s">
        <v>2321</v>
      </c>
      <c r="I127" s="1">
        <v>2800</v>
      </c>
      <c r="J127" s="1">
        <v>5</v>
      </c>
      <c r="K127" s="1">
        <v>0</v>
      </c>
      <c r="L127" s="1">
        <v>0</v>
      </c>
      <c r="M127" s="1" t="s">
        <v>2020</v>
      </c>
      <c r="N127" s="1" t="s">
        <v>698</v>
      </c>
      <c r="O127" s="1">
        <v>0</v>
      </c>
      <c r="P127" s="1" t="s">
        <v>2075</v>
      </c>
      <c r="Q127" s="7" t="s">
        <v>2392</v>
      </c>
    </row>
    <row r="128" spans="1:17" ht="14.25" thickBot="1">
      <c r="A128" s="1" t="s">
        <v>157</v>
      </c>
      <c r="B128" s="3">
        <v>1</v>
      </c>
      <c r="C128" s="9" t="s">
        <v>2231</v>
      </c>
      <c r="D128" s="1" t="s">
        <v>13</v>
      </c>
      <c r="E128" s="1">
        <f>INDEX([1]游戏类型定义!$C$20:$C$29,MATCH(D128,[1]!装备部位,0))</f>
        <v>6</v>
      </c>
      <c r="F128" s="1">
        <v>1</v>
      </c>
      <c r="G128" s="1">
        <v>25</v>
      </c>
      <c r="H128" s="10" t="s">
        <v>2321</v>
      </c>
      <c r="I128" s="1">
        <v>2500</v>
      </c>
      <c r="J128" s="1">
        <v>5</v>
      </c>
      <c r="K128" s="1">
        <v>0</v>
      </c>
      <c r="L128" s="1">
        <v>0</v>
      </c>
      <c r="M128" s="1" t="s">
        <v>1882</v>
      </c>
      <c r="N128" s="1" t="s">
        <v>698</v>
      </c>
      <c r="O128" s="1">
        <v>0</v>
      </c>
      <c r="P128" s="1" t="s">
        <v>2075</v>
      </c>
      <c r="Q128" s="7" t="s">
        <v>2393</v>
      </c>
    </row>
    <row r="129" spans="1:17" ht="14.25" thickBot="1">
      <c r="A129" s="1" t="s">
        <v>158</v>
      </c>
      <c r="B129" s="2">
        <v>0</v>
      </c>
      <c r="C129" s="9" t="s">
        <v>2042</v>
      </c>
      <c r="D129" s="1" t="s">
        <v>13</v>
      </c>
      <c r="E129" s="1">
        <f>INDEX([1]游戏类型定义!$C$20:$C$29,MATCH(D129,[1]!装备部位,0))</f>
        <v>6</v>
      </c>
      <c r="F129" s="1">
        <v>1</v>
      </c>
      <c r="G129" s="1">
        <v>25</v>
      </c>
      <c r="H129" s="10" t="s">
        <v>2321</v>
      </c>
      <c r="I129" s="1">
        <v>2800</v>
      </c>
      <c r="J129" s="1">
        <v>5</v>
      </c>
      <c r="K129" s="1">
        <v>0</v>
      </c>
      <c r="L129" s="1">
        <v>0</v>
      </c>
      <c r="M129" s="1" t="s">
        <v>1883</v>
      </c>
      <c r="N129" s="1" t="s">
        <v>698</v>
      </c>
      <c r="O129" s="1">
        <v>0</v>
      </c>
      <c r="P129" s="1" t="s">
        <v>2075</v>
      </c>
      <c r="Q129" s="7" t="s">
        <v>2060</v>
      </c>
    </row>
    <row r="130" spans="1:17" ht="14.25" thickBot="1">
      <c r="A130" s="1" t="s">
        <v>159</v>
      </c>
      <c r="B130" s="3">
        <v>1</v>
      </c>
      <c r="C130" s="9" t="s">
        <v>2233</v>
      </c>
      <c r="D130" s="1" t="s">
        <v>12</v>
      </c>
      <c r="E130" s="1">
        <f>INDEX([1]游戏类型定义!$C$20:$C$29,MATCH(D130,[1]!装备部位,0))</f>
        <v>5</v>
      </c>
      <c r="F130" s="1">
        <v>1</v>
      </c>
      <c r="G130" s="1">
        <v>25</v>
      </c>
      <c r="H130" s="10" t="s">
        <v>2322</v>
      </c>
      <c r="I130" s="1">
        <v>2500</v>
      </c>
      <c r="J130" s="1">
        <v>5</v>
      </c>
      <c r="K130" s="1">
        <v>0</v>
      </c>
      <c r="L130" s="1">
        <v>0</v>
      </c>
      <c r="M130" s="1" t="s">
        <v>1879</v>
      </c>
      <c r="N130" s="1" t="s">
        <v>698</v>
      </c>
      <c r="O130" s="1">
        <v>0</v>
      </c>
      <c r="P130" s="1" t="s">
        <v>2075</v>
      </c>
      <c r="Q130" s="7" t="s">
        <v>2394</v>
      </c>
    </row>
    <row r="131" spans="1:17" ht="14.25" thickBot="1">
      <c r="A131" s="1" t="s">
        <v>160</v>
      </c>
      <c r="B131" s="2">
        <v>0</v>
      </c>
      <c r="C131" s="9" t="s">
        <v>2232</v>
      </c>
      <c r="D131" s="1" t="s">
        <v>12</v>
      </c>
      <c r="E131" s="1">
        <f>INDEX([1]游戏类型定义!$C$20:$C$29,MATCH(D131,[1]!装备部位,0))</f>
        <v>5</v>
      </c>
      <c r="F131" s="1">
        <v>1</v>
      </c>
      <c r="G131" s="1">
        <v>25</v>
      </c>
      <c r="H131" s="10" t="s">
        <v>2322</v>
      </c>
      <c r="I131" s="1">
        <v>2800</v>
      </c>
      <c r="J131" s="1">
        <v>5</v>
      </c>
      <c r="K131" s="1">
        <v>0</v>
      </c>
      <c r="L131" s="1">
        <v>0</v>
      </c>
      <c r="M131" s="1" t="s">
        <v>2020</v>
      </c>
      <c r="N131" s="1" t="s">
        <v>698</v>
      </c>
      <c r="O131" s="1">
        <v>0</v>
      </c>
      <c r="P131" s="1" t="s">
        <v>2075</v>
      </c>
      <c r="Q131" s="7" t="s">
        <v>2395</v>
      </c>
    </row>
    <row r="132" spans="1:17" ht="14.25" thickBot="1">
      <c r="A132" s="1" t="s">
        <v>161</v>
      </c>
      <c r="B132" s="3">
        <v>1</v>
      </c>
      <c r="C132" s="9" t="s">
        <v>2234</v>
      </c>
      <c r="D132" s="1" t="s">
        <v>13</v>
      </c>
      <c r="E132" s="1">
        <f>INDEX([1]游戏类型定义!$C$20:$C$29,MATCH(D132,[1]!装备部位,0))</f>
        <v>6</v>
      </c>
      <c r="F132" s="1">
        <v>1</v>
      </c>
      <c r="G132" s="1">
        <v>25</v>
      </c>
      <c r="H132" s="10" t="s">
        <v>2322</v>
      </c>
      <c r="I132" s="1">
        <v>2500</v>
      </c>
      <c r="J132" s="1">
        <v>5</v>
      </c>
      <c r="K132" s="1">
        <v>0</v>
      </c>
      <c r="L132" s="1">
        <v>0</v>
      </c>
      <c r="M132" s="1" t="s">
        <v>1884</v>
      </c>
      <c r="N132" s="1" t="s">
        <v>698</v>
      </c>
      <c r="O132" s="1">
        <v>0</v>
      </c>
      <c r="P132" s="1" t="s">
        <v>2075</v>
      </c>
      <c r="Q132" s="7" t="s">
        <v>2396</v>
      </c>
    </row>
    <row r="133" spans="1:17" ht="14.25" thickBot="1">
      <c r="A133" s="1" t="s">
        <v>162</v>
      </c>
      <c r="B133" s="2">
        <v>0</v>
      </c>
      <c r="C133" s="9" t="s">
        <v>2050</v>
      </c>
      <c r="D133" s="1" t="s">
        <v>13</v>
      </c>
      <c r="E133" s="1">
        <f>INDEX([1]游戏类型定义!$C$20:$C$29,MATCH(D133,[1]!装备部位,0))</f>
        <v>6</v>
      </c>
      <c r="F133" s="1">
        <v>1</v>
      </c>
      <c r="G133" s="1">
        <v>25</v>
      </c>
      <c r="H133" s="10" t="s">
        <v>2322</v>
      </c>
      <c r="I133" s="1">
        <v>2800</v>
      </c>
      <c r="J133" s="1">
        <v>5</v>
      </c>
      <c r="K133" s="1">
        <v>0</v>
      </c>
      <c r="L133" s="1">
        <v>0</v>
      </c>
      <c r="M133" s="1" t="s">
        <v>1885</v>
      </c>
      <c r="N133" s="1" t="s">
        <v>698</v>
      </c>
      <c r="O133" s="1">
        <v>0</v>
      </c>
      <c r="P133" s="1" t="s">
        <v>2075</v>
      </c>
      <c r="Q133" s="7" t="s">
        <v>2062</v>
      </c>
    </row>
    <row r="134" spans="1:17" ht="14.25" thickBot="1">
      <c r="A134" s="1" t="s">
        <v>163</v>
      </c>
      <c r="B134" s="3">
        <v>1</v>
      </c>
      <c r="C134" s="1" t="s">
        <v>2163</v>
      </c>
      <c r="D134" s="1" t="s">
        <v>11</v>
      </c>
      <c r="E134" s="1">
        <f>INDEX([1]游戏类型定义!$C$20:$C$29,MATCH(D134,[1]!装备部位,0))</f>
        <v>4</v>
      </c>
      <c r="F134" s="1">
        <v>1</v>
      </c>
      <c r="G134" s="1">
        <v>25</v>
      </c>
      <c r="H134" s="10">
        <v>0</v>
      </c>
      <c r="I134" s="1">
        <v>2500</v>
      </c>
      <c r="J134" s="1">
        <v>5</v>
      </c>
      <c r="K134" s="1">
        <v>0</v>
      </c>
      <c r="L134" s="1">
        <v>0</v>
      </c>
      <c r="M134" s="1" t="s">
        <v>1886</v>
      </c>
      <c r="N134" s="1" t="s">
        <v>698</v>
      </c>
      <c r="O134" s="1">
        <v>0</v>
      </c>
      <c r="P134" s="1" t="s">
        <v>2075</v>
      </c>
      <c r="Q134" s="7" t="s">
        <v>2397</v>
      </c>
    </row>
    <row r="135" spans="1:17" ht="14.25" thickBot="1">
      <c r="A135" s="1" t="s">
        <v>164</v>
      </c>
      <c r="B135" s="2">
        <v>0</v>
      </c>
      <c r="C135" s="1" t="s">
        <v>2030</v>
      </c>
      <c r="D135" s="1" t="s">
        <v>11</v>
      </c>
      <c r="E135" s="1">
        <f>INDEX([1]游戏类型定义!$C$20:$C$29,MATCH(D135,[1]!装备部位,0))</f>
        <v>4</v>
      </c>
      <c r="F135" s="1">
        <v>1</v>
      </c>
      <c r="G135" s="1">
        <v>25</v>
      </c>
      <c r="H135" s="10">
        <v>0</v>
      </c>
      <c r="I135" s="1">
        <v>2800</v>
      </c>
      <c r="J135" s="1">
        <v>5</v>
      </c>
      <c r="K135" s="1">
        <v>0</v>
      </c>
      <c r="L135" s="1">
        <v>0</v>
      </c>
      <c r="M135" s="1" t="s">
        <v>1887</v>
      </c>
      <c r="N135" s="1" t="s">
        <v>698</v>
      </c>
      <c r="O135" s="1">
        <v>0</v>
      </c>
      <c r="P135" s="1" t="s">
        <v>2075</v>
      </c>
      <c r="Q135" s="7" t="s">
        <v>2063</v>
      </c>
    </row>
    <row r="136" spans="1:17" ht="14.25" thickBot="1">
      <c r="A136" s="1" t="s">
        <v>165</v>
      </c>
      <c r="B136" s="3">
        <v>1</v>
      </c>
      <c r="C136" s="1" t="s">
        <v>2181</v>
      </c>
      <c r="D136" s="1" t="s">
        <v>14</v>
      </c>
      <c r="E136" s="1">
        <f>INDEX([1]游戏类型定义!$C$20:$C$29,MATCH(D136,[1]!装备部位,0))</f>
        <v>7</v>
      </c>
      <c r="F136" s="1">
        <v>1</v>
      </c>
      <c r="G136" s="1">
        <v>25</v>
      </c>
      <c r="H136" s="10">
        <v>0</v>
      </c>
      <c r="I136" s="1">
        <v>2500</v>
      </c>
      <c r="J136" s="1">
        <v>5</v>
      </c>
      <c r="K136" s="1">
        <v>0</v>
      </c>
      <c r="L136" s="1">
        <v>0</v>
      </c>
      <c r="M136" s="1" t="s">
        <v>1888</v>
      </c>
      <c r="N136" s="1" t="s">
        <v>698</v>
      </c>
      <c r="O136" s="1">
        <v>0</v>
      </c>
      <c r="P136" s="1" t="s">
        <v>2075</v>
      </c>
      <c r="Q136" s="7" t="s">
        <v>2398</v>
      </c>
    </row>
    <row r="137" spans="1:17" ht="14.25" thickBot="1">
      <c r="A137" s="1" t="s">
        <v>166</v>
      </c>
      <c r="B137" s="2">
        <v>0</v>
      </c>
      <c r="C137" s="1" t="s">
        <v>2038</v>
      </c>
      <c r="D137" s="1" t="s">
        <v>14</v>
      </c>
      <c r="E137" s="1">
        <f>INDEX([1]游戏类型定义!$C$20:$C$29,MATCH(D137,[1]!装备部位,0))</f>
        <v>7</v>
      </c>
      <c r="F137" s="1">
        <v>1</v>
      </c>
      <c r="G137" s="1">
        <v>25</v>
      </c>
      <c r="H137" s="10">
        <v>0</v>
      </c>
      <c r="I137" s="1">
        <v>2800</v>
      </c>
      <c r="J137" s="1">
        <v>5</v>
      </c>
      <c r="K137" s="1">
        <v>0</v>
      </c>
      <c r="L137" s="1">
        <v>0</v>
      </c>
      <c r="M137" s="1" t="s">
        <v>1889</v>
      </c>
      <c r="N137" s="1" t="s">
        <v>698</v>
      </c>
      <c r="O137" s="1">
        <v>0</v>
      </c>
      <c r="P137" s="1" t="s">
        <v>2075</v>
      </c>
      <c r="Q137" s="7" t="s">
        <v>2064</v>
      </c>
    </row>
    <row r="138" spans="1:17" ht="14.25" thickBot="1">
      <c r="A138" s="1" t="s">
        <v>167</v>
      </c>
      <c r="B138" s="3">
        <v>1</v>
      </c>
      <c r="C138" s="1" t="s">
        <v>2099</v>
      </c>
      <c r="D138" s="1" t="s">
        <v>8</v>
      </c>
      <c r="E138" s="1">
        <f>INDEX([1]游戏类型定义!$C$20:$C$29,MATCH(D138,[1]!装备部位,0))</f>
        <v>1</v>
      </c>
      <c r="F138" s="1">
        <v>1</v>
      </c>
      <c r="G138" s="1">
        <v>30</v>
      </c>
      <c r="H138" s="10">
        <v>0</v>
      </c>
      <c r="I138" s="1">
        <v>3000</v>
      </c>
      <c r="J138" s="1">
        <v>5</v>
      </c>
      <c r="K138" s="1">
        <v>0</v>
      </c>
      <c r="L138" s="1">
        <v>0</v>
      </c>
      <c r="M138" s="1" t="s">
        <v>1890</v>
      </c>
      <c r="N138" s="1" t="s">
        <v>698</v>
      </c>
      <c r="O138" s="1">
        <v>0</v>
      </c>
      <c r="P138" s="1" t="s">
        <v>2076</v>
      </c>
      <c r="Q138" s="7" t="s">
        <v>2399</v>
      </c>
    </row>
    <row r="139" spans="1:17" ht="14.25" thickBot="1">
      <c r="A139" s="1" t="s">
        <v>168</v>
      </c>
      <c r="B139" s="3">
        <v>1</v>
      </c>
      <c r="C139" s="1" t="s">
        <v>2111</v>
      </c>
      <c r="D139" s="1" t="s">
        <v>9</v>
      </c>
      <c r="E139" s="1">
        <f>INDEX([1]游戏类型定义!$C$20:$C$29,MATCH(D139,[1]!装备部位,0))</f>
        <v>2</v>
      </c>
      <c r="F139" s="1">
        <v>1</v>
      </c>
      <c r="G139" s="1">
        <v>30</v>
      </c>
      <c r="H139" s="10">
        <v>0</v>
      </c>
      <c r="I139" s="1">
        <v>3000</v>
      </c>
      <c r="J139" s="1">
        <v>5</v>
      </c>
      <c r="K139" s="1">
        <v>0</v>
      </c>
      <c r="L139" s="1">
        <v>0</v>
      </c>
      <c r="M139" s="1" t="s">
        <v>1891</v>
      </c>
      <c r="N139" s="1" t="s">
        <v>698</v>
      </c>
      <c r="O139" s="1">
        <v>0</v>
      </c>
      <c r="P139" s="1" t="s">
        <v>2076</v>
      </c>
      <c r="Q139" s="7" t="s">
        <v>2400</v>
      </c>
    </row>
    <row r="140" spans="1:17" ht="14.25" thickBot="1">
      <c r="A140" s="1" t="s">
        <v>169</v>
      </c>
      <c r="B140" s="2">
        <v>0</v>
      </c>
      <c r="C140" s="1" t="s">
        <v>2094</v>
      </c>
      <c r="D140" s="1" t="s">
        <v>10</v>
      </c>
      <c r="E140" s="1">
        <f>INDEX([1]游戏类型定义!$C$20:$C$29,MATCH(D140,[1]!装备部位,0))</f>
        <v>3</v>
      </c>
      <c r="F140" s="1">
        <v>1</v>
      </c>
      <c r="G140" s="1">
        <v>30</v>
      </c>
      <c r="H140" s="10">
        <v>0</v>
      </c>
      <c r="I140" s="1">
        <v>3000</v>
      </c>
      <c r="J140" s="1">
        <v>5</v>
      </c>
      <c r="K140" s="1">
        <v>0</v>
      </c>
      <c r="L140" s="1">
        <v>0</v>
      </c>
      <c r="M140" s="1" t="s">
        <v>1876</v>
      </c>
      <c r="N140" s="1" t="s">
        <v>698</v>
      </c>
      <c r="O140" s="1">
        <v>0</v>
      </c>
      <c r="P140" s="1" t="s">
        <v>2076</v>
      </c>
      <c r="Q140" s="7" t="s">
        <v>2053</v>
      </c>
    </row>
    <row r="141" spans="1:17" ht="14.25" thickBot="1">
      <c r="A141" s="1" t="s">
        <v>170</v>
      </c>
      <c r="B141" s="3">
        <v>1</v>
      </c>
      <c r="C141" s="1" t="s">
        <v>2123</v>
      </c>
      <c r="D141" s="1" t="s">
        <v>15</v>
      </c>
      <c r="E141" s="1">
        <f>INDEX([1]游戏类型定义!$C$20:$C$29,MATCH(D141,[1]!装备部位,0))</f>
        <v>8</v>
      </c>
      <c r="F141" s="1">
        <v>1</v>
      </c>
      <c r="G141" s="1">
        <v>30</v>
      </c>
      <c r="H141" s="10">
        <v>0</v>
      </c>
      <c r="I141" s="1">
        <v>3000</v>
      </c>
      <c r="J141" s="1">
        <v>5</v>
      </c>
      <c r="K141" s="1">
        <v>0</v>
      </c>
      <c r="L141" s="1">
        <v>0</v>
      </c>
      <c r="M141" s="1" t="s">
        <v>1892</v>
      </c>
      <c r="N141" s="1" t="s">
        <v>698</v>
      </c>
      <c r="O141" s="1">
        <v>0</v>
      </c>
      <c r="P141" s="1" t="s">
        <v>2076</v>
      </c>
      <c r="Q141" s="7" t="s">
        <v>2401</v>
      </c>
    </row>
    <row r="142" spans="1:17" ht="14.25" thickBot="1">
      <c r="A142" s="1" t="s">
        <v>171</v>
      </c>
      <c r="B142" s="3">
        <v>1</v>
      </c>
      <c r="C142" s="1" t="s">
        <v>2135</v>
      </c>
      <c r="D142" s="1" t="s">
        <v>16</v>
      </c>
      <c r="E142" s="1">
        <f>INDEX([1]游戏类型定义!$C$20:$C$29,MATCH(D142,[1]!装备部位,0))</f>
        <v>9</v>
      </c>
      <c r="F142" s="1">
        <v>1</v>
      </c>
      <c r="G142" s="1">
        <v>30</v>
      </c>
      <c r="H142" s="10">
        <v>0</v>
      </c>
      <c r="I142" s="1">
        <v>3000</v>
      </c>
      <c r="J142" s="1">
        <v>5</v>
      </c>
      <c r="K142" s="1">
        <v>0</v>
      </c>
      <c r="L142" s="1">
        <v>0</v>
      </c>
      <c r="M142" s="1" t="s">
        <v>1893</v>
      </c>
      <c r="N142" s="1" t="s">
        <v>698</v>
      </c>
      <c r="O142" s="1">
        <v>0</v>
      </c>
      <c r="P142" s="1" t="s">
        <v>2076</v>
      </c>
      <c r="Q142" s="7" t="s">
        <v>2402</v>
      </c>
    </row>
    <row r="143" spans="1:17" ht="14.25" thickBot="1">
      <c r="A143" s="1" t="s">
        <v>172</v>
      </c>
      <c r="B143" s="3">
        <v>1</v>
      </c>
      <c r="C143" s="1" t="s">
        <v>2149</v>
      </c>
      <c r="D143" s="1" t="s">
        <v>17</v>
      </c>
      <c r="E143" s="1">
        <f>INDEX([1]游戏类型定义!$C$20:$C$29,MATCH(D143,[1]!装备部位,0))</f>
        <v>10</v>
      </c>
      <c r="F143" s="1">
        <v>1</v>
      </c>
      <c r="G143" s="1">
        <v>30</v>
      </c>
      <c r="H143" s="10">
        <v>0</v>
      </c>
      <c r="I143" s="1">
        <v>3000</v>
      </c>
      <c r="J143" s="1">
        <v>5</v>
      </c>
      <c r="K143" s="1">
        <v>0</v>
      </c>
      <c r="L143" s="1">
        <v>0</v>
      </c>
      <c r="M143" s="1" t="s">
        <v>1894</v>
      </c>
      <c r="N143" s="1" t="s">
        <v>698</v>
      </c>
      <c r="O143" s="1">
        <v>0</v>
      </c>
      <c r="P143" s="1" t="s">
        <v>2076</v>
      </c>
      <c r="Q143" s="7" t="s">
        <v>2403</v>
      </c>
    </row>
    <row r="144" spans="1:17" ht="14.25" thickBot="1">
      <c r="A144" s="1" t="s">
        <v>173</v>
      </c>
      <c r="B144" s="3">
        <v>1</v>
      </c>
      <c r="C144" s="9" t="s">
        <v>2313</v>
      </c>
      <c r="D144" s="1" t="s">
        <v>12</v>
      </c>
      <c r="E144" s="1">
        <f>INDEX([1]游戏类型定义!$C$20:$C$29,MATCH(D144,[1]!装备部位,0))</f>
        <v>5</v>
      </c>
      <c r="F144" s="1">
        <v>1</v>
      </c>
      <c r="G144" s="1">
        <v>30</v>
      </c>
      <c r="H144" s="10" t="s">
        <v>2320</v>
      </c>
      <c r="I144" s="1">
        <v>3000</v>
      </c>
      <c r="J144" s="1">
        <v>5</v>
      </c>
      <c r="K144" s="1">
        <v>0</v>
      </c>
      <c r="L144" s="1">
        <v>0</v>
      </c>
      <c r="M144" s="1" t="s">
        <v>1895</v>
      </c>
      <c r="N144" s="1" t="s">
        <v>698</v>
      </c>
      <c r="O144" s="1">
        <v>0</v>
      </c>
      <c r="P144" s="1" t="s">
        <v>2076</v>
      </c>
      <c r="Q144" s="7" t="s">
        <v>2404</v>
      </c>
    </row>
    <row r="145" spans="1:17" ht="14.25" thickBot="1">
      <c r="A145" s="1" t="s">
        <v>174</v>
      </c>
      <c r="B145" s="3">
        <v>1</v>
      </c>
      <c r="C145" s="9" t="s">
        <v>2235</v>
      </c>
      <c r="D145" s="1" t="s">
        <v>12</v>
      </c>
      <c r="E145" s="1">
        <f>INDEX([1]游戏类型定义!$C$20:$C$29,MATCH(D145,[1]!装备部位,0))</f>
        <v>5</v>
      </c>
      <c r="F145" s="1">
        <v>1</v>
      </c>
      <c r="G145" s="1">
        <v>30</v>
      </c>
      <c r="H145" s="10" t="s">
        <v>2320</v>
      </c>
      <c r="I145" s="1">
        <v>3300</v>
      </c>
      <c r="J145" s="1">
        <v>5</v>
      </c>
      <c r="K145" s="1">
        <v>0</v>
      </c>
      <c r="L145" s="1">
        <v>0</v>
      </c>
      <c r="M145" s="1" t="s">
        <v>2021</v>
      </c>
      <c r="N145" s="1" t="s">
        <v>698</v>
      </c>
      <c r="O145" s="1">
        <v>0</v>
      </c>
      <c r="P145" s="1" t="s">
        <v>2076</v>
      </c>
      <c r="Q145" s="7" t="s">
        <v>2405</v>
      </c>
    </row>
    <row r="146" spans="1:17" ht="14.25" thickBot="1">
      <c r="A146" s="1" t="s">
        <v>175</v>
      </c>
      <c r="B146" s="3">
        <v>1</v>
      </c>
      <c r="C146" s="9" t="s">
        <v>2236</v>
      </c>
      <c r="D146" s="1" t="s">
        <v>13</v>
      </c>
      <c r="E146" s="1">
        <f>INDEX([1]游戏类型定义!$C$20:$C$29,MATCH(D146,[1]!装备部位,0))</f>
        <v>6</v>
      </c>
      <c r="F146" s="1">
        <v>1</v>
      </c>
      <c r="G146" s="1">
        <v>30</v>
      </c>
      <c r="H146" s="10" t="s">
        <v>2320</v>
      </c>
      <c r="I146" s="1">
        <v>3000</v>
      </c>
      <c r="J146" s="1">
        <v>5</v>
      </c>
      <c r="K146" s="1">
        <v>0</v>
      </c>
      <c r="L146" s="1">
        <v>0</v>
      </c>
      <c r="M146" s="1" t="s">
        <v>1896</v>
      </c>
      <c r="N146" s="1" t="s">
        <v>698</v>
      </c>
      <c r="O146" s="1">
        <v>0</v>
      </c>
      <c r="P146" s="1" t="s">
        <v>2076</v>
      </c>
      <c r="Q146" s="7" t="s">
        <v>2406</v>
      </c>
    </row>
    <row r="147" spans="1:17" ht="14.25" thickBot="1">
      <c r="A147" s="1" t="s">
        <v>176</v>
      </c>
      <c r="B147" s="2">
        <v>0</v>
      </c>
      <c r="C147" s="9" t="s">
        <v>2237</v>
      </c>
      <c r="D147" s="1" t="s">
        <v>13</v>
      </c>
      <c r="E147" s="1">
        <f>INDEX([1]游戏类型定义!$C$20:$C$29,MATCH(D147,[1]!装备部位,0))</f>
        <v>6</v>
      </c>
      <c r="F147" s="1">
        <v>1</v>
      </c>
      <c r="G147" s="1">
        <v>30</v>
      </c>
      <c r="H147" s="10" t="s">
        <v>2320</v>
      </c>
      <c r="I147" s="1">
        <v>3300</v>
      </c>
      <c r="J147" s="1">
        <v>5</v>
      </c>
      <c r="K147" s="1">
        <v>0</v>
      </c>
      <c r="L147" s="1">
        <v>0</v>
      </c>
      <c r="M147" s="1" t="s">
        <v>1897</v>
      </c>
      <c r="N147" s="1" t="s">
        <v>698</v>
      </c>
      <c r="O147" s="1">
        <v>0</v>
      </c>
      <c r="P147" s="1" t="s">
        <v>2076</v>
      </c>
      <c r="Q147" s="7" t="s">
        <v>2407</v>
      </c>
    </row>
    <row r="148" spans="1:17" ht="14.25" thickBot="1">
      <c r="A148" s="1" t="s">
        <v>177</v>
      </c>
      <c r="B148" s="3">
        <v>1</v>
      </c>
      <c r="C148" s="1" t="s">
        <v>2239</v>
      </c>
      <c r="D148" s="1" t="s">
        <v>12</v>
      </c>
      <c r="E148" s="1">
        <f>INDEX([1]游戏类型定义!$C$20:$C$29,MATCH(D148,[1]!装备部位,0))</f>
        <v>5</v>
      </c>
      <c r="F148" s="1">
        <v>1</v>
      </c>
      <c r="G148" s="1">
        <v>30</v>
      </c>
      <c r="H148" s="10" t="s">
        <v>2321</v>
      </c>
      <c r="I148" s="1">
        <v>3000</v>
      </c>
      <c r="J148" s="1">
        <v>5</v>
      </c>
      <c r="K148" s="1">
        <v>0</v>
      </c>
      <c r="L148" s="1">
        <v>0</v>
      </c>
      <c r="M148" s="1" t="s">
        <v>1895</v>
      </c>
      <c r="N148" s="1" t="s">
        <v>698</v>
      </c>
      <c r="O148" s="1">
        <v>0</v>
      </c>
      <c r="P148" s="1" t="s">
        <v>2076</v>
      </c>
      <c r="Q148" s="7" t="s">
        <v>2408</v>
      </c>
    </row>
    <row r="149" spans="1:17" ht="14.25" thickBot="1">
      <c r="A149" s="1" t="s">
        <v>178</v>
      </c>
      <c r="B149" s="3">
        <v>1</v>
      </c>
      <c r="C149" s="1" t="s">
        <v>2238</v>
      </c>
      <c r="D149" s="1" t="s">
        <v>12</v>
      </c>
      <c r="E149" s="1">
        <f>INDEX([1]游戏类型定义!$C$20:$C$29,MATCH(D149,[1]!装备部位,0))</f>
        <v>5</v>
      </c>
      <c r="F149" s="1">
        <v>1</v>
      </c>
      <c r="G149" s="1">
        <v>30</v>
      </c>
      <c r="H149" s="10" t="s">
        <v>2321</v>
      </c>
      <c r="I149" s="1">
        <v>3300</v>
      </c>
      <c r="J149" s="1">
        <v>5</v>
      </c>
      <c r="K149" s="1">
        <v>0</v>
      </c>
      <c r="L149" s="1">
        <v>0</v>
      </c>
      <c r="M149" s="1" t="s">
        <v>2021</v>
      </c>
      <c r="N149" s="1" t="s">
        <v>698</v>
      </c>
      <c r="O149" s="1">
        <v>0</v>
      </c>
      <c r="P149" s="1" t="s">
        <v>2076</v>
      </c>
      <c r="Q149" s="7" t="s">
        <v>2409</v>
      </c>
    </row>
    <row r="150" spans="1:17" ht="14.25" thickBot="1">
      <c r="A150" s="1" t="s">
        <v>179</v>
      </c>
      <c r="B150" s="3">
        <v>1</v>
      </c>
      <c r="C150" s="9" t="s">
        <v>2240</v>
      </c>
      <c r="D150" s="1" t="s">
        <v>13</v>
      </c>
      <c r="E150" s="1">
        <f>INDEX([1]游戏类型定义!$C$20:$C$29,MATCH(D150,[1]!装备部位,0))</f>
        <v>6</v>
      </c>
      <c r="F150" s="1">
        <v>1</v>
      </c>
      <c r="G150" s="1">
        <v>30</v>
      </c>
      <c r="H150" s="10" t="s">
        <v>2321</v>
      </c>
      <c r="I150" s="1">
        <v>3000</v>
      </c>
      <c r="J150" s="1">
        <v>5</v>
      </c>
      <c r="K150" s="1">
        <v>0</v>
      </c>
      <c r="L150" s="1">
        <v>0</v>
      </c>
      <c r="M150" s="1" t="s">
        <v>1898</v>
      </c>
      <c r="N150" s="1" t="s">
        <v>698</v>
      </c>
      <c r="O150" s="1">
        <v>0</v>
      </c>
      <c r="P150" s="1" t="s">
        <v>2076</v>
      </c>
      <c r="Q150" s="7" t="s">
        <v>2410</v>
      </c>
    </row>
    <row r="151" spans="1:17" ht="14.25" thickBot="1">
      <c r="A151" s="1" t="s">
        <v>180</v>
      </c>
      <c r="B151" s="2">
        <v>0</v>
      </c>
      <c r="C151" s="9" t="s">
        <v>2241</v>
      </c>
      <c r="D151" s="1" t="s">
        <v>13</v>
      </c>
      <c r="E151" s="1">
        <f>INDEX([1]游戏类型定义!$C$20:$C$29,MATCH(D151,[1]!装备部位,0))</f>
        <v>6</v>
      </c>
      <c r="F151" s="1">
        <v>1</v>
      </c>
      <c r="G151" s="1">
        <v>30</v>
      </c>
      <c r="H151" s="10" t="s">
        <v>2321</v>
      </c>
      <c r="I151" s="1">
        <v>3300</v>
      </c>
      <c r="J151" s="1">
        <v>5</v>
      </c>
      <c r="K151" s="1">
        <v>0</v>
      </c>
      <c r="L151" s="1">
        <v>0</v>
      </c>
      <c r="M151" s="1" t="s">
        <v>1899</v>
      </c>
      <c r="N151" s="1" t="s">
        <v>698</v>
      </c>
      <c r="O151" s="1">
        <v>0</v>
      </c>
      <c r="P151" s="1" t="s">
        <v>2076</v>
      </c>
      <c r="Q151" s="7" t="s">
        <v>2411</v>
      </c>
    </row>
    <row r="152" spans="1:17" ht="14.25" thickBot="1">
      <c r="A152" s="1" t="s">
        <v>181</v>
      </c>
      <c r="B152" s="3">
        <v>1</v>
      </c>
      <c r="C152" s="9" t="s">
        <v>2232</v>
      </c>
      <c r="D152" s="1" t="s">
        <v>12</v>
      </c>
      <c r="E152" s="1">
        <f>INDEX([1]游戏类型定义!$C$20:$C$29,MATCH(D152,[1]!装备部位,0))</f>
        <v>5</v>
      </c>
      <c r="F152" s="1">
        <v>1</v>
      </c>
      <c r="G152" s="1">
        <v>30</v>
      </c>
      <c r="H152" s="10" t="s">
        <v>2322</v>
      </c>
      <c r="I152" s="1">
        <v>3000</v>
      </c>
      <c r="J152" s="1">
        <v>5</v>
      </c>
      <c r="K152" s="1">
        <v>0</v>
      </c>
      <c r="L152" s="1">
        <v>0</v>
      </c>
      <c r="M152" s="1" t="s">
        <v>1895</v>
      </c>
      <c r="N152" s="1" t="s">
        <v>698</v>
      </c>
      <c r="O152" s="1">
        <v>0</v>
      </c>
      <c r="P152" s="1" t="s">
        <v>2076</v>
      </c>
      <c r="Q152" s="7" t="s">
        <v>2395</v>
      </c>
    </row>
    <row r="153" spans="1:17" ht="14.25" thickBot="1">
      <c r="A153" s="1" t="s">
        <v>182</v>
      </c>
      <c r="B153" s="3">
        <v>1</v>
      </c>
      <c r="C153" s="9" t="s">
        <v>2251</v>
      </c>
      <c r="D153" s="1" t="s">
        <v>12</v>
      </c>
      <c r="E153" s="1">
        <f>INDEX([1]游戏类型定义!$C$20:$C$29,MATCH(D153,[1]!装备部位,0))</f>
        <v>5</v>
      </c>
      <c r="F153" s="1">
        <v>1</v>
      </c>
      <c r="G153" s="1">
        <v>30</v>
      </c>
      <c r="H153" s="10" t="s">
        <v>2322</v>
      </c>
      <c r="I153" s="1">
        <v>3300</v>
      </c>
      <c r="J153" s="1">
        <v>5</v>
      </c>
      <c r="K153" s="1">
        <v>0</v>
      </c>
      <c r="L153" s="1">
        <v>0</v>
      </c>
      <c r="M153" s="1" t="s">
        <v>2021</v>
      </c>
      <c r="N153" s="1" t="s">
        <v>698</v>
      </c>
      <c r="O153" s="1">
        <v>0</v>
      </c>
      <c r="P153" s="1" t="s">
        <v>2076</v>
      </c>
      <c r="Q153" s="7" t="s">
        <v>2412</v>
      </c>
    </row>
    <row r="154" spans="1:17" ht="14.25" thickBot="1">
      <c r="A154" s="1" t="s">
        <v>183</v>
      </c>
      <c r="B154" s="3">
        <v>1</v>
      </c>
      <c r="C154" s="9" t="s">
        <v>2243</v>
      </c>
      <c r="D154" s="1" t="s">
        <v>13</v>
      </c>
      <c r="E154" s="1">
        <f>INDEX([1]游戏类型定义!$C$20:$C$29,MATCH(D154,[1]!装备部位,0))</f>
        <v>6</v>
      </c>
      <c r="F154" s="1">
        <v>1</v>
      </c>
      <c r="G154" s="1">
        <v>30</v>
      </c>
      <c r="H154" s="10" t="s">
        <v>2322</v>
      </c>
      <c r="I154" s="1">
        <v>3000</v>
      </c>
      <c r="J154" s="1">
        <v>5</v>
      </c>
      <c r="K154" s="1">
        <v>0</v>
      </c>
      <c r="L154" s="1">
        <v>0</v>
      </c>
      <c r="M154" s="1" t="s">
        <v>1900</v>
      </c>
      <c r="N154" s="1" t="s">
        <v>698</v>
      </c>
      <c r="O154" s="1">
        <v>0</v>
      </c>
      <c r="P154" s="1" t="s">
        <v>2076</v>
      </c>
      <c r="Q154" s="7" t="s">
        <v>2413</v>
      </c>
    </row>
    <row r="155" spans="1:17" ht="14.25" thickBot="1">
      <c r="A155" s="1" t="s">
        <v>184</v>
      </c>
      <c r="B155" s="2">
        <v>0</v>
      </c>
      <c r="C155" s="9" t="s">
        <v>2244</v>
      </c>
      <c r="D155" s="1" t="s">
        <v>13</v>
      </c>
      <c r="E155" s="1">
        <f>INDEX([1]游戏类型定义!$C$20:$C$29,MATCH(D155,[1]!装备部位,0))</f>
        <v>6</v>
      </c>
      <c r="F155" s="1">
        <v>1</v>
      </c>
      <c r="G155" s="1">
        <v>30</v>
      </c>
      <c r="H155" s="10" t="s">
        <v>2322</v>
      </c>
      <c r="I155" s="1">
        <v>3300</v>
      </c>
      <c r="J155" s="1">
        <v>5</v>
      </c>
      <c r="K155" s="1">
        <v>0</v>
      </c>
      <c r="L155" s="1">
        <v>0</v>
      </c>
      <c r="M155" s="1" t="s">
        <v>1901</v>
      </c>
      <c r="N155" s="1" t="s">
        <v>698</v>
      </c>
      <c r="O155" s="1">
        <v>0</v>
      </c>
      <c r="P155" s="1" t="s">
        <v>2076</v>
      </c>
      <c r="Q155" s="7" t="s">
        <v>2414</v>
      </c>
    </row>
    <row r="156" spans="1:17" ht="14.25" thickBot="1">
      <c r="A156" s="1" t="s">
        <v>185</v>
      </c>
      <c r="B156" s="3">
        <v>1</v>
      </c>
      <c r="C156" s="1" t="s">
        <v>2164</v>
      </c>
      <c r="D156" s="1" t="s">
        <v>11</v>
      </c>
      <c r="E156" s="1">
        <f>INDEX([1]游戏类型定义!$C$20:$C$29,MATCH(D156,[1]!装备部位,0))</f>
        <v>4</v>
      </c>
      <c r="F156" s="1">
        <v>1</v>
      </c>
      <c r="G156" s="1">
        <v>30</v>
      </c>
      <c r="H156" s="10">
        <v>0</v>
      </c>
      <c r="I156" s="1">
        <v>3000</v>
      </c>
      <c r="J156" s="1">
        <v>5</v>
      </c>
      <c r="K156" s="1">
        <v>0</v>
      </c>
      <c r="L156" s="1">
        <v>0</v>
      </c>
      <c r="M156" s="1" t="s">
        <v>1902</v>
      </c>
      <c r="N156" s="1" t="s">
        <v>698</v>
      </c>
      <c r="O156" s="1">
        <v>0</v>
      </c>
      <c r="P156" s="1" t="s">
        <v>2076</v>
      </c>
      <c r="Q156" s="7" t="s">
        <v>2415</v>
      </c>
    </row>
    <row r="157" spans="1:17" ht="14.25" thickBot="1">
      <c r="A157" s="1" t="s">
        <v>186</v>
      </c>
      <c r="B157" s="3">
        <v>1</v>
      </c>
      <c r="C157" s="1" t="s">
        <v>2165</v>
      </c>
      <c r="D157" s="1" t="s">
        <v>11</v>
      </c>
      <c r="E157" s="1">
        <f>INDEX([1]游戏类型定义!$C$20:$C$29,MATCH(D157,[1]!装备部位,0))</f>
        <v>4</v>
      </c>
      <c r="F157" s="1">
        <v>1</v>
      </c>
      <c r="G157" s="1">
        <v>30</v>
      </c>
      <c r="H157" s="10">
        <v>0</v>
      </c>
      <c r="I157" s="1">
        <v>3300</v>
      </c>
      <c r="J157" s="1">
        <v>5</v>
      </c>
      <c r="K157" s="1">
        <v>0</v>
      </c>
      <c r="L157" s="1">
        <v>0</v>
      </c>
      <c r="M157" s="1" t="s">
        <v>1903</v>
      </c>
      <c r="N157" s="1" t="s">
        <v>698</v>
      </c>
      <c r="O157" s="1">
        <v>0</v>
      </c>
      <c r="P157" s="1" t="s">
        <v>2076</v>
      </c>
      <c r="Q157" s="7" t="s">
        <v>2416</v>
      </c>
    </row>
    <row r="158" spans="1:17" ht="14.25" thickBot="1">
      <c r="A158" s="1" t="s">
        <v>187</v>
      </c>
      <c r="B158" s="3">
        <v>1</v>
      </c>
      <c r="C158" s="1" t="s">
        <v>2182</v>
      </c>
      <c r="D158" s="1" t="s">
        <v>14</v>
      </c>
      <c r="E158" s="1">
        <f>INDEX([1]游戏类型定义!$C$20:$C$29,MATCH(D158,[1]!装备部位,0))</f>
        <v>7</v>
      </c>
      <c r="F158" s="1">
        <v>1</v>
      </c>
      <c r="G158" s="1">
        <v>30</v>
      </c>
      <c r="H158" s="10">
        <v>0</v>
      </c>
      <c r="I158" s="1">
        <v>3000</v>
      </c>
      <c r="J158" s="1">
        <v>5</v>
      </c>
      <c r="K158" s="1">
        <v>0</v>
      </c>
      <c r="L158" s="1">
        <v>0</v>
      </c>
      <c r="M158" s="1" t="s">
        <v>1902</v>
      </c>
      <c r="N158" s="1" t="s">
        <v>698</v>
      </c>
      <c r="O158" s="1">
        <v>0</v>
      </c>
      <c r="P158" s="1" t="s">
        <v>2076</v>
      </c>
      <c r="Q158" s="7" t="s">
        <v>2417</v>
      </c>
    </row>
    <row r="159" spans="1:17" ht="14.25" thickBot="1">
      <c r="A159" s="1" t="s">
        <v>188</v>
      </c>
      <c r="B159" s="3">
        <v>1</v>
      </c>
      <c r="C159" s="1" t="s">
        <v>2183</v>
      </c>
      <c r="D159" s="1" t="s">
        <v>14</v>
      </c>
      <c r="E159" s="1">
        <f>INDEX([1]游戏类型定义!$C$20:$C$29,MATCH(D159,[1]!装备部位,0))</f>
        <v>7</v>
      </c>
      <c r="F159" s="1">
        <v>1</v>
      </c>
      <c r="G159" s="1">
        <v>30</v>
      </c>
      <c r="H159" s="10">
        <v>0</v>
      </c>
      <c r="I159" s="1">
        <v>3300</v>
      </c>
      <c r="J159" s="1">
        <v>5</v>
      </c>
      <c r="K159" s="1">
        <v>0</v>
      </c>
      <c r="L159" s="1">
        <v>0</v>
      </c>
      <c r="M159" s="1" t="s">
        <v>1903</v>
      </c>
      <c r="N159" s="1" t="s">
        <v>698</v>
      </c>
      <c r="O159" s="1">
        <v>0</v>
      </c>
      <c r="P159" s="1" t="s">
        <v>2076</v>
      </c>
      <c r="Q159" s="7" t="s">
        <v>2418</v>
      </c>
    </row>
    <row r="160" spans="1:17" ht="14.25" thickBot="1">
      <c r="A160" s="1" t="s">
        <v>189</v>
      </c>
      <c r="B160" s="3">
        <v>1</v>
      </c>
      <c r="C160" s="1" t="s">
        <v>2100</v>
      </c>
      <c r="D160" s="1" t="s">
        <v>8</v>
      </c>
      <c r="E160" s="1">
        <f>INDEX([1]游戏类型定义!$C$20:$C$29,MATCH(D160,[1]!装备部位,0))</f>
        <v>1</v>
      </c>
      <c r="F160" s="1">
        <v>1</v>
      </c>
      <c r="G160" s="1">
        <v>35</v>
      </c>
      <c r="H160" s="10">
        <v>0</v>
      </c>
      <c r="I160" s="1">
        <v>3500</v>
      </c>
      <c r="J160" s="1">
        <v>5</v>
      </c>
      <c r="K160" s="1">
        <v>0</v>
      </c>
      <c r="L160" s="1">
        <v>0</v>
      </c>
      <c r="M160" s="1" t="s">
        <v>1904</v>
      </c>
      <c r="N160" s="1" t="s">
        <v>698</v>
      </c>
      <c r="O160" s="1">
        <v>0</v>
      </c>
      <c r="P160" s="1" t="s">
        <v>2077</v>
      </c>
      <c r="Q160" s="7" t="s">
        <v>2419</v>
      </c>
    </row>
    <row r="161" spans="1:17" ht="14.25" thickBot="1">
      <c r="A161" s="1" t="s">
        <v>190</v>
      </c>
      <c r="B161" s="3">
        <v>1</v>
      </c>
      <c r="C161" s="1" t="s">
        <v>2113</v>
      </c>
      <c r="D161" s="1" t="s">
        <v>9</v>
      </c>
      <c r="E161" s="1">
        <f>INDEX([1]游戏类型定义!$C$20:$C$29,MATCH(D161,[1]!装备部位,0))</f>
        <v>2</v>
      </c>
      <c r="F161" s="1">
        <v>1</v>
      </c>
      <c r="G161" s="1">
        <v>35</v>
      </c>
      <c r="H161" s="10">
        <v>0</v>
      </c>
      <c r="I161" s="1">
        <v>3500</v>
      </c>
      <c r="J161" s="1">
        <v>5</v>
      </c>
      <c r="K161" s="1">
        <v>0</v>
      </c>
      <c r="L161" s="1">
        <v>0</v>
      </c>
      <c r="M161" s="1" t="s">
        <v>1905</v>
      </c>
      <c r="N161" s="1" t="s">
        <v>698</v>
      </c>
      <c r="O161" s="1">
        <v>0</v>
      </c>
      <c r="P161" s="1" t="s">
        <v>2077</v>
      </c>
      <c r="Q161" s="7" t="s">
        <v>2420</v>
      </c>
    </row>
    <row r="162" spans="1:17" ht="14.25" thickBot="1">
      <c r="A162" s="1" t="s">
        <v>191</v>
      </c>
      <c r="B162" s="3">
        <v>1</v>
      </c>
      <c r="C162" s="1" t="s">
        <v>2091</v>
      </c>
      <c r="D162" s="1" t="s">
        <v>10</v>
      </c>
      <c r="E162" s="1">
        <f>INDEX([1]游戏类型定义!$C$20:$C$29,MATCH(D162,[1]!装备部位,0))</f>
        <v>3</v>
      </c>
      <c r="F162" s="1">
        <v>1</v>
      </c>
      <c r="G162" s="1">
        <v>35</v>
      </c>
      <c r="H162" s="10">
        <v>0</v>
      </c>
      <c r="I162" s="1">
        <v>3500</v>
      </c>
      <c r="J162" s="1">
        <v>5</v>
      </c>
      <c r="K162" s="1">
        <v>0</v>
      </c>
      <c r="L162" s="1">
        <v>0</v>
      </c>
      <c r="M162" s="1" t="s">
        <v>1906</v>
      </c>
      <c r="N162" s="1" t="s">
        <v>698</v>
      </c>
      <c r="O162" s="1">
        <v>0</v>
      </c>
      <c r="P162" s="1" t="s">
        <v>2077</v>
      </c>
      <c r="Q162" s="7" t="s">
        <v>2421</v>
      </c>
    </row>
    <row r="163" spans="1:17" ht="14.25" thickBot="1">
      <c r="A163" s="1" t="s">
        <v>192</v>
      </c>
      <c r="B163" s="3">
        <v>1</v>
      </c>
      <c r="C163" s="1" t="s">
        <v>2124</v>
      </c>
      <c r="D163" s="1" t="s">
        <v>15</v>
      </c>
      <c r="E163" s="1">
        <f>INDEX([1]游戏类型定义!$C$20:$C$29,MATCH(D163,[1]!装备部位,0))</f>
        <v>8</v>
      </c>
      <c r="F163" s="1">
        <v>1</v>
      </c>
      <c r="G163" s="1">
        <v>35</v>
      </c>
      <c r="H163" s="10">
        <v>0</v>
      </c>
      <c r="I163" s="1">
        <v>3500</v>
      </c>
      <c r="J163" s="1">
        <v>5</v>
      </c>
      <c r="K163" s="1">
        <v>0</v>
      </c>
      <c r="L163" s="1">
        <v>0</v>
      </c>
      <c r="M163" s="1" t="s">
        <v>1907</v>
      </c>
      <c r="N163" s="1" t="s">
        <v>698</v>
      </c>
      <c r="O163" s="1">
        <v>0</v>
      </c>
      <c r="P163" s="1" t="s">
        <v>2077</v>
      </c>
      <c r="Q163" s="7" t="s">
        <v>2422</v>
      </c>
    </row>
    <row r="164" spans="1:17" ht="14.25" thickBot="1">
      <c r="A164" s="1" t="s">
        <v>193</v>
      </c>
      <c r="B164" s="3">
        <v>1</v>
      </c>
      <c r="C164" s="1" t="s">
        <v>2136</v>
      </c>
      <c r="D164" s="1" t="s">
        <v>16</v>
      </c>
      <c r="E164" s="1">
        <f>INDEX([1]游戏类型定义!$C$20:$C$29,MATCH(D164,[1]!装备部位,0))</f>
        <v>9</v>
      </c>
      <c r="F164" s="1">
        <v>1</v>
      </c>
      <c r="G164" s="1">
        <v>35</v>
      </c>
      <c r="H164" s="10">
        <v>0</v>
      </c>
      <c r="I164" s="1">
        <v>3500</v>
      </c>
      <c r="J164" s="1">
        <v>5</v>
      </c>
      <c r="K164" s="1">
        <v>0</v>
      </c>
      <c r="L164" s="1">
        <v>0</v>
      </c>
      <c r="M164" s="1" t="s">
        <v>1908</v>
      </c>
      <c r="N164" s="1" t="s">
        <v>698</v>
      </c>
      <c r="O164" s="1">
        <v>0</v>
      </c>
      <c r="P164" s="1" t="s">
        <v>2077</v>
      </c>
      <c r="Q164" s="7" t="s">
        <v>2423</v>
      </c>
    </row>
    <row r="165" spans="1:17" ht="14.25" thickBot="1">
      <c r="A165" s="1" t="s">
        <v>194</v>
      </c>
      <c r="B165" s="3">
        <v>1</v>
      </c>
      <c r="C165" s="1" t="s">
        <v>2150</v>
      </c>
      <c r="D165" s="1" t="s">
        <v>17</v>
      </c>
      <c r="E165" s="1">
        <f>INDEX([1]游戏类型定义!$C$20:$C$29,MATCH(D165,[1]!装备部位,0))</f>
        <v>10</v>
      </c>
      <c r="F165" s="1">
        <v>1</v>
      </c>
      <c r="G165" s="1">
        <v>35</v>
      </c>
      <c r="H165" s="10">
        <v>0</v>
      </c>
      <c r="I165" s="1">
        <v>3500</v>
      </c>
      <c r="J165" s="1">
        <v>5</v>
      </c>
      <c r="K165" s="1">
        <v>0</v>
      </c>
      <c r="L165" s="1">
        <v>0</v>
      </c>
      <c r="M165" s="1" t="s">
        <v>1909</v>
      </c>
      <c r="N165" s="1" t="s">
        <v>698</v>
      </c>
      <c r="O165" s="1">
        <v>0</v>
      </c>
      <c r="P165" s="1" t="s">
        <v>2077</v>
      </c>
      <c r="Q165" s="7" t="s">
        <v>2424</v>
      </c>
    </row>
    <row r="166" spans="1:17" ht="14.25" thickBot="1">
      <c r="A166" s="1" t="s">
        <v>195</v>
      </c>
      <c r="B166" s="3">
        <v>1</v>
      </c>
      <c r="C166" s="9" t="s">
        <v>2245</v>
      </c>
      <c r="D166" s="1" t="s">
        <v>12</v>
      </c>
      <c r="E166" s="1">
        <f>INDEX([1]游戏类型定义!$C$20:$C$29,MATCH(D166,[1]!装备部位,0))</f>
        <v>5</v>
      </c>
      <c r="F166" s="1">
        <v>1</v>
      </c>
      <c r="G166" s="1">
        <v>35</v>
      </c>
      <c r="H166" s="10" t="s">
        <v>2320</v>
      </c>
      <c r="I166" s="1">
        <v>3500</v>
      </c>
      <c r="J166" s="1">
        <v>5</v>
      </c>
      <c r="K166" s="1">
        <v>0</v>
      </c>
      <c r="L166" s="1">
        <v>0</v>
      </c>
      <c r="M166" s="1" t="s">
        <v>1910</v>
      </c>
      <c r="N166" s="1" t="s">
        <v>698</v>
      </c>
      <c r="O166" s="1">
        <v>0</v>
      </c>
      <c r="P166" s="1" t="s">
        <v>2077</v>
      </c>
      <c r="Q166" s="7" t="s">
        <v>2425</v>
      </c>
    </row>
    <row r="167" spans="1:17" ht="14.25" thickBot="1">
      <c r="A167" s="1" t="s">
        <v>196</v>
      </c>
      <c r="B167" s="2">
        <v>0</v>
      </c>
      <c r="C167" s="9" t="s">
        <v>2046</v>
      </c>
      <c r="D167" s="1" t="s">
        <v>12</v>
      </c>
      <c r="E167" s="1">
        <f>INDEX([1]游戏类型定义!$C$20:$C$29,MATCH(D167,[1]!装备部位,0))</f>
        <v>5</v>
      </c>
      <c r="F167" s="1">
        <v>1</v>
      </c>
      <c r="G167" s="1">
        <v>35</v>
      </c>
      <c r="H167" s="10" t="s">
        <v>2320</v>
      </c>
      <c r="I167" s="1">
        <v>3800</v>
      </c>
      <c r="J167" s="1">
        <v>5</v>
      </c>
      <c r="K167" s="1">
        <v>0</v>
      </c>
      <c r="L167" s="1">
        <v>0</v>
      </c>
      <c r="M167" s="1" t="s">
        <v>2022</v>
      </c>
      <c r="N167" s="1" t="s">
        <v>698</v>
      </c>
      <c r="O167" s="1">
        <v>0</v>
      </c>
      <c r="P167" s="1" t="s">
        <v>2077</v>
      </c>
      <c r="Q167" s="7" t="s">
        <v>2057</v>
      </c>
    </row>
    <row r="168" spans="1:17" ht="14.25" thickBot="1">
      <c r="A168" s="1" t="s">
        <v>197</v>
      </c>
      <c r="B168" s="3">
        <v>1</v>
      </c>
      <c r="C168" s="9" t="s">
        <v>2246</v>
      </c>
      <c r="D168" s="1" t="s">
        <v>13</v>
      </c>
      <c r="E168" s="1">
        <f>INDEX([1]游戏类型定义!$C$20:$C$29,MATCH(D168,[1]!装备部位,0))</f>
        <v>6</v>
      </c>
      <c r="F168" s="1">
        <v>1</v>
      </c>
      <c r="G168" s="1">
        <v>35</v>
      </c>
      <c r="H168" s="10" t="s">
        <v>2320</v>
      </c>
      <c r="I168" s="1">
        <v>3500</v>
      </c>
      <c r="J168" s="1">
        <v>5</v>
      </c>
      <c r="K168" s="1">
        <v>0</v>
      </c>
      <c r="L168" s="1">
        <v>0</v>
      </c>
      <c r="M168" s="1" t="s">
        <v>1911</v>
      </c>
      <c r="N168" s="1" t="s">
        <v>698</v>
      </c>
      <c r="O168" s="1">
        <v>0</v>
      </c>
      <c r="P168" s="1" t="s">
        <v>2077</v>
      </c>
      <c r="Q168" s="7" t="s">
        <v>2407</v>
      </c>
    </row>
    <row r="169" spans="1:17" ht="14.25" thickBot="1">
      <c r="A169" s="1" t="s">
        <v>198</v>
      </c>
      <c r="B169" s="3">
        <v>1</v>
      </c>
      <c r="C169" s="9" t="s">
        <v>2317</v>
      </c>
      <c r="D169" s="1" t="s">
        <v>13</v>
      </c>
      <c r="E169" s="1">
        <f>INDEX([1]游戏类型定义!$C$20:$C$29,MATCH(D169,[1]!装备部位,0))</f>
        <v>6</v>
      </c>
      <c r="F169" s="1">
        <v>1</v>
      </c>
      <c r="G169" s="1">
        <v>35</v>
      </c>
      <c r="H169" s="10" t="s">
        <v>2320</v>
      </c>
      <c r="I169" s="1">
        <v>3800</v>
      </c>
      <c r="J169" s="1">
        <v>5</v>
      </c>
      <c r="K169" s="1">
        <v>0</v>
      </c>
      <c r="L169" s="1">
        <v>0</v>
      </c>
      <c r="M169" s="1" t="s">
        <v>1912</v>
      </c>
      <c r="N169" s="1" t="s">
        <v>698</v>
      </c>
      <c r="O169" s="1">
        <v>0</v>
      </c>
      <c r="P169" s="1" t="s">
        <v>2077</v>
      </c>
      <c r="Q169" s="7" t="s">
        <v>2426</v>
      </c>
    </row>
    <row r="170" spans="1:17" ht="14.25" thickBot="1">
      <c r="A170" s="1" t="s">
        <v>199</v>
      </c>
      <c r="B170" s="3">
        <v>1</v>
      </c>
      <c r="C170" s="1" t="s">
        <v>2247</v>
      </c>
      <c r="D170" s="1" t="s">
        <v>12</v>
      </c>
      <c r="E170" s="1">
        <f>INDEX([1]游戏类型定义!$C$20:$C$29,MATCH(D170,[1]!装备部位,0))</f>
        <v>5</v>
      </c>
      <c r="F170" s="1">
        <v>1</v>
      </c>
      <c r="G170" s="1">
        <v>35</v>
      </c>
      <c r="H170" s="10" t="s">
        <v>2321</v>
      </c>
      <c r="I170" s="1">
        <v>3500</v>
      </c>
      <c r="J170" s="1">
        <v>5</v>
      </c>
      <c r="K170" s="1">
        <v>0</v>
      </c>
      <c r="L170" s="1">
        <v>0</v>
      </c>
      <c r="M170" s="1" t="s">
        <v>1910</v>
      </c>
      <c r="N170" s="1" t="s">
        <v>698</v>
      </c>
      <c r="O170" s="1">
        <v>0</v>
      </c>
      <c r="P170" s="1" t="s">
        <v>2077</v>
      </c>
      <c r="Q170" s="7" t="s">
        <v>2427</v>
      </c>
    </row>
    <row r="171" spans="1:17" ht="14.25" thickBot="1">
      <c r="A171" s="1" t="s">
        <v>200</v>
      </c>
      <c r="B171" s="2">
        <v>0</v>
      </c>
      <c r="C171" s="1" t="s">
        <v>2040</v>
      </c>
      <c r="D171" s="1" t="s">
        <v>12</v>
      </c>
      <c r="E171" s="1">
        <f>INDEX([1]游戏类型定义!$C$20:$C$29,MATCH(D171,[1]!装备部位,0))</f>
        <v>5</v>
      </c>
      <c r="F171" s="1">
        <v>1</v>
      </c>
      <c r="G171" s="1">
        <v>35</v>
      </c>
      <c r="H171" s="10" t="s">
        <v>2321</v>
      </c>
      <c r="I171" s="1">
        <v>3800</v>
      </c>
      <c r="J171" s="1">
        <v>5</v>
      </c>
      <c r="K171" s="1">
        <v>0</v>
      </c>
      <c r="L171" s="1">
        <v>0</v>
      </c>
      <c r="M171" s="1" t="s">
        <v>2022</v>
      </c>
      <c r="N171" s="1" t="s">
        <v>698</v>
      </c>
      <c r="O171" s="1">
        <v>0</v>
      </c>
      <c r="P171" s="1" t="s">
        <v>2077</v>
      </c>
      <c r="Q171" s="7" t="s">
        <v>2059</v>
      </c>
    </row>
    <row r="172" spans="1:17" ht="14.25" thickBot="1">
      <c r="A172" s="1" t="s">
        <v>201</v>
      </c>
      <c r="B172" s="3">
        <v>1</v>
      </c>
      <c r="C172" s="9" t="s">
        <v>2248</v>
      </c>
      <c r="D172" s="1" t="s">
        <v>13</v>
      </c>
      <c r="E172" s="1">
        <f>INDEX([1]游戏类型定义!$C$20:$C$29,MATCH(D172,[1]!装备部位,0))</f>
        <v>6</v>
      </c>
      <c r="F172" s="1">
        <v>1</v>
      </c>
      <c r="G172" s="1">
        <v>35</v>
      </c>
      <c r="H172" s="10" t="s">
        <v>2321</v>
      </c>
      <c r="I172" s="1">
        <v>3500</v>
      </c>
      <c r="J172" s="1">
        <v>5</v>
      </c>
      <c r="K172" s="1">
        <v>0</v>
      </c>
      <c r="L172" s="1">
        <v>0</v>
      </c>
      <c r="M172" s="1" t="s">
        <v>1913</v>
      </c>
      <c r="N172" s="1" t="s">
        <v>698</v>
      </c>
      <c r="O172" s="1">
        <v>0</v>
      </c>
      <c r="P172" s="1" t="s">
        <v>2077</v>
      </c>
      <c r="Q172" s="7" t="s">
        <v>2411</v>
      </c>
    </row>
    <row r="173" spans="1:17" ht="14.25" thickBot="1">
      <c r="A173" s="1" t="s">
        <v>202</v>
      </c>
      <c r="B173" s="3">
        <v>1</v>
      </c>
      <c r="C173" s="9" t="s">
        <v>2249</v>
      </c>
      <c r="D173" s="1" t="s">
        <v>13</v>
      </c>
      <c r="E173" s="1">
        <f>INDEX([1]游戏类型定义!$C$20:$C$29,MATCH(D173,[1]!装备部位,0))</f>
        <v>6</v>
      </c>
      <c r="F173" s="1">
        <v>1</v>
      </c>
      <c r="G173" s="1">
        <v>35</v>
      </c>
      <c r="H173" s="10" t="s">
        <v>2321</v>
      </c>
      <c r="I173" s="1">
        <v>3800</v>
      </c>
      <c r="J173" s="1">
        <v>5</v>
      </c>
      <c r="K173" s="1">
        <v>0</v>
      </c>
      <c r="L173" s="1">
        <v>0</v>
      </c>
      <c r="M173" s="1" t="s">
        <v>1914</v>
      </c>
      <c r="N173" s="1" t="s">
        <v>698</v>
      </c>
      <c r="O173" s="1">
        <v>0</v>
      </c>
      <c r="P173" s="1" t="s">
        <v>2077</v>
      </c>
      <c r="Q173" s="7" t="s">
        <v>2060</v>
      </c>
    </row>
    <row r="174" spans="1:17" ht="14.25" thickBot="1">
      <c r="A174" s="1" t="s">
        <v>203</v>
      </c>
      <c r="B174" s="3">
        <v>1</v>
      </c>
      <c r="C174" s="9" t="s">
        <v>2242</v>
      </c>
      <c r="D174" s="1" t="s">
        <v>12</v>
      </c>
      <c r="E174" s="1">
        <f>INDEX([1]游戏类型定义!$C$20:$C$29,MATCH(D174,[1]!装备部位,0))</f>
        <v>5</v>
      </c>
      <c r="F174" s="1">
        <v>1</v>
      </c>
      <c r="G174" s="1">
        <v>35</v>
      </c>
      <c r="H174" s="10" t="s">
        <v>2322</v>
      </c>
      <c r="I174" s="1">
        <v>3500</v>
      </c>
      <c r="J174" s="1">
        <v>5</v>
      </c>
      <c r="K174" s="1">
        <v>0</v>
      </c>
      <c r="L174" s="1">
        <v>0</v>
      </c>
      <c r="M174" s="1" t="s">
        <v>1910</v>
      </c>
      <c r="N174" s="1" t="s">
        <v>698</v>
      </c>
      <c r="O174" s="1">
        <v>0</v>
      </c>
      <c r="P174" s="1" t="s">
        <v>2077</v>
      </c>
      <c r="Q174" s="7" t="s">
        <v>2428</v>
      </c>
    </row>
    <row r="175" spans="1:17" ht="14.25" thickBot="1">
      <c r="A175" s="1" t="s">
        <v>204</v>
      </c>
      <c r="B175" s="2">
        <v>0</v>
      </c>
      <c r="C175" s="9" t="s">
        <v>2048</v>
      </c>
      <c r="D175" s="1" t="s">
        <v>12</v>
      </c>
      <c r="E175" s="1">
        <f>INDEX([1]游戏类型定义!$C$20:$C$29,MATCH(D175,[1]!装备部位,0))</f>
        <v>5</v>
      </c>
      <c r="F175" s="1">
        <v>1</v>
      </c>
      <c r="G175" s="1">
        <v>35</v>
      </c>
      <c r="H175" s="10" t="s">
        <v>2322</v>
      </c>
      <c r="I175" s="1">
        <v>3800</v>
      </c>
      <c r="J175" s="1">
        <v>5</v>
      </c>
      <c r="K175" s="1">
        <v>0</v>
      </c>
      <c r="L175" s="1">
        <v>0</v>
      </c>
      <c r="M175" s="1" t="s">
        <v>2022</v>
      </c>
      <c r="N175" s="1" t="s">
        <v>698</v>
      </c>
      <c r="O175" s="1">
        <v>0</v>
      </c>
      <c r="P175" s="1" t="s">
        <v>2077</v>
      </c>
      <c r="Q175" s="7" t="s">
        <v>2061</v>
      </c>
    </row>
    <row r="176" spans="1:17" ht="14.25" thickBot="1">
      <c r="A176" s="1" t="s">
        <v>205</v>
      </c>
      <c r="B176" s="3">
        <v>1</v>
      </c>
      <c r="C176" s="9" t="s">
        <v>2314</v>
      </c>
      <c r="D176" s="1" t="s">
        <v>13</v>
      </c>
      <c r="E176" s="1">
        <f>INDEX([1]游戏类型定义!$C$20:$C$29,MATCH(D176,[1]!装备部位,0))</f>
        <v>6</v>
      </c>
      <c r="F176" s="1">
        <v>1</v>
      </c>
      <c r="G176" s="1">
        <v>35</v>
      </c>
      <c r="H176" s="10" t="s">
        <v>2322</v>
      </c>
      <c r="I176" s="1">
        <v>3500</v>
      </c>
      <c r="J176" s="1">
        <v>5</v>
      </c>
      <c r="K176" s="1">
        <v>0</v>
      </c>
      <c r="L176" s="1">
        <v>0</v>
      </c>
      <c r="M176" s="1" t="s">
        <v>1915</v>
      </c>
      <c r="N176" s="1" t="s">
        <v>698</v>
      </c>
      <c r="O176" s="1">
        <v>0</v>
      </c>
      <c r="P176" s="1" t="s">
        <v>2077</v>
      </c>
      <c r="Q176" s="7" t="s">
        <v>2414</v>
      </c>
    </row>
    <row r="177" spans="1:17" ht="14.25" thickBot="1">
      <c r="A177" s="1" t="s">
        <v>206</v>
      </c>
      <c r="B177" s="3">
        <v>1</v>
      </c>
      <c r="C177" s="9" t="s">
        <v>2315</v>
      </c>
      <c r="D177" s="1" t="s">
        <v>13</v>
      </c>
      <c r="E177" s="1">
        <f>INDEX([1]游戏类型定义!$C$20:$C$29,MATCH(D177,[1]!装备部位,0))</f>
        <v>6</v>
      </c>
      <c r="F177" s="1">
        <v>1</v>
      </c>
      <c r="G177" s="1">
        <v>35</v>
      </c>
      <c r="H177" s="10" t="s">
        <v>2322</v>
      </c>
      <c r="I177" s="1">
        <v>3800</v>
      </c>
      <c r="J177" s="1">
        <v>5</v>
      </c>
      <c r="K177" s="1">
        <v>0</v>
      </c>
      <c r="L177" s="1">
        <v>0</v>
      </c>
      <c r="M177" s="1" t="s">
        <v>1916</v>
      </c>
      <c r="N177" s="1" t="s">
        <v>698</v>
      </c>
      <c r="O177" s="1">
        <v>0</v>
      </c>
      <c r="P177" s="1" t="s">
        <v>2077</v>
      </c>
      <c r="Q177" s="7" t="s">
        <v>2429</v>
      </c>
    </row>
    <row r="178" spans="1:17" ht="14.25" thickBot="1">
      <c r="A178" s="1" t="s">
        <v>207</v>
      </c>
      <c r="B178" s="3">
        <v>1</v>
      </c>
      <c r="C178" s="1" t="s">
        <v>2166</v>
      </c>
      <c r="D178" s="1" t="s">
        <v>11</v>
      </c>
      <c r="E178" s="1">
        <f>INDEX([1]游戏类型定义!$C$20:$C$29,MATCH(D178,[1]!装备部位,0))</f>
        <v>4</v>
      </c>
      <c r="F178" s="1">
        <v>1</v>
      </c>
      <c r="G178" s="1">
        <v>35</v>
      </c>
      <c r="H178" s="10">
        <v>0</v>
      </c>
      <c r="I178" s="1">
        <v>3500</v>
      </c>
      <c r="J178" s="1">
        <v>5</v>
      </c>
      <c r="K178" s="1">
        <v>0</v>
      </c>
      <c r="L178" s="1">
        <v>0</v>
      </c>
      <c r="M178" s="1" t="s">
        <v>1917</v>
      </c>
      <c r="N178" s="1" t="s">
        <v>698</v>
      </c>
      <c r="O178" s="1">
        <v>0</v>
      </c>
      <c r="P178" s="1" t="s">
        <v>2077</v>
      </c>
      <c r="Q178" s="7" t="s">
        <v>2430</v>
      </c>
    </row>
    <row r="179" spans="1:17" ht="14.25" thickBot="1">
      <c r="A179" s="1" t="s">
        <v>208</v>
      </c>
      <c r="B179" s="3">
        <v>1</v>
      </c>
      <c r="C179" s="1" t="s">
        <v>2538</v>
      </c>
      <c r="D179" s="1" t="s">
        <v>11</v>
      </c>
      <c r="E179" s="1">
        <f>INDEX([1]游戏类型定义!$C$20:$C$29,MATCH(D179,[1]!装备部位,0))</f>
        <v>4</v>
      </c>
      <c r="F179" s="1">
        <v>1</v>
      </c>
      <c r="G179" s="1">
        <v>35</v>
      </c>
      <c r="H179" s="10">
        <v>0</v>
      </c>
      <c r="I179" s="1">
        <v>3800</v>
      </c>
      <c r="J179" s="1">
        <v>5</v>
      </c>
      <c r="K179" s="1">
        <v>0</v>
      </c>
      <c r="L179" s="1">
        <v>0</v>
      </c>
      <c r="M179" s="1" t="s">
        <v>1918</v>
      </c>
      <c r="N179" s="1" t="s">
        <v>698</v>
      </c>
      <c r="O179" s="1">
        <v>0</v>
      </c>
      <c r="P179" s="1" t="s">
        <v>2077</v>
      </c>
      <c r="Q179" s="7" t="s">
        <v>2063</v>
      </c>
    </row>
    <row r="180" spans="1:17" ht="14.25" thickBot="1">
      <c r="A180" s="1" t="s">
        <v>209</v>
      </c>
      <c r="B180" s="3">
        <v>1</v>
      </c>
      <c r="C180" s="1" t="s">
        <v>2184</v>
      </c>
      <c r="D180" s="1" t="s">
        <v>14</v>
      </c>
      <c r="E180" s="1">
        <f>INDEX([1]游戏类型定义!$C$20:$C$29,MATCH(D180,[1]!装备部位,0))</f>
        <v>7</v>
      </c>
      <c r="F180" s="1">
        <v>1</v>
      </c>
      <c r="G180" s="1">
        <v>35</v>
      </c>
      <c r="H180" s="10">
        <v>0</v>
      </c>
      <c r="I180" s="1">
        <v>3500</v>
      </c>
      <c r="J180" s="1">
        <v>5</v>
      </c>
      <c r="K180" s="1">
        <v>0</v>
      </c>
      <c r="L180" s="1">
        <v>0</v>
      </c>
      <c r="M180" s="1" t="s">
        <v>1917</v>
      </c>
      <c r="N180" s="1" t="s">
        <v>698</v>
      </c>
      <c r="O180" s="1">
        <v>0</v>
      </c>
      <c r="P180" s="1" t="s">
        <v>2077</v>
      </c>
      <c r="Q180" s="7" t="s">
        <v>2418</v>
      </c>
    </row>
    <row r="181" spans="1:17" ht="14.25" thickBot="1">
      <c r="A181" s="1" t="s">
        <v>210</v>
      </c>
      <c r="B181" s="2">
        <v>0</v>
      </c>
      <c r="C181" s="1" t="s">
        <v>2038</v>
      </c>
      <c r="D181" s="1" t="s">
        <v>14</v>
      </c>
      <c r="E181" s="1">
        <f>INDEX([1]游戏类型定义!$C$20:$C$29,MATCH(D181,[1]!装备部位,0))</f>
        <v>7</v>
      </c>
      <c r="F181" s="1">
        <v>1</v>
      </c>
      <c r="G181" s="1">
        <v>35</v>
      </c>
      <c r="H181" s="10">
        <v>0</v>
      </c>
      <c r="I181" s="1">
        <v>3800</v>
      </c>
      <c r="J181" s="1">
        <v>5</v>
      </c>
      <c r="K181" s="1">
        <v>0</v>
      </c>
      <c r="L181" s="1">
        <v>0</v>
      </c>
      <c r="M181" s="1" t="s">
        <v>1919</v>
      </c>
      <c r="N181" s="1" t="s">
        <v>698</v>
      </c>
      <c r="O181" s="1">
        <v>0</v>
      </c>
      <c r="P181" s="1" t="s">
        <v>2077</v>
      </c>
      <c r="Q181" s="7" t="s">
        <v>2064</v>
      </c>
    </row>
    <row r="182" spans="1:17" ht="14.25" thickBot="1">
      <c r="A182" s="1" t="s">
        <v>211</v>
      </c>
      <c r="B182" s="3">
        <v>1</v>
      </c>
      <c r="C182" s="1" t="s">
        <v>2101</v>
      </c>
      <c r="D182" s="1" t="s">
        <v>8</v>
      </c>
      <c r="E182" s="1">
        <f>INDEX([1]游戏类型定义!$C$20:$C$29,MATCH(D182,[1]!装备部位,0))</f>
        <v>1</v>
      </c>
      <c r="F182" s="1">
        <v>1</v>
      </c>
      <c r="G182" s="1">
        <v>40</v>
      </c>
      <c r="H182" s="10">
        <v>0</v>
      </c>
      <c r="I182" s="1">
        <v>4000</v>
      </c>
      <c r="J182" s="1">
        <v>5</v>
      </c>
      <c r="K182" s="1">
        <v>0</v>
      </c>
      <c r="L182" s="1">
        <v>0</v>
      </c>
      <c r="M182" s="1" t="s">
        <v>1920</v>
      </c>
      <c r="N182" s="1" t="s">
        <v>698</v>
      </c>
      <c r="O182" s="1">
        <v>0</v>
      </c>
      <c r="P182" s="1" t="s">
        <v>2078</v>
      </c>
      <c r="Q182" s="7" t="s">
        <v>2431</v>
      </c>
    </row>
    <row r="183" spans="1:17" ht="14.25" thickBot="1">
      <c r="A183" s="1" t="s">
        <v>212</v>
      </c>
      <c r="B183" s="3">
        <v>1</v>
      </c>
      <c r="C183" s="1" t="s">
        <v>2114</v>
      </c>
      <c r="D183" s="1" t="s">
        <v>9</v>
      </c>
      <c r="E183" s="1">
        <f>INDEX([1]游戏类型定义!$C$20:$C$29,MATCH(D183,[1]!装备部位,0))</f>
        <v>2</v>
      </c>
      <c r="F183" s="1">
        <v>1</v>
      </c>
      <c r="G183" s="1">
        <v>40</v>
      </c>
      <c r="H183" s="10">
        <v>0</v>
      </c>
      <c r="I183" s="1">
        <v>4000</v>
      </c>
      <c r="J183" s="1">
        <v>5</v>
      </c>
      <c r="K183" s="1">
        <v>0</v>
      </c>
      <c r="L183" s="1">
        <v>0</v>
      </c>
      <c r="M183" s="1" t="s">
        <v>1921</v>
      </c>
      <c r="N183" s="1" t="s">
        <v>698</v>
      </c>
      <c r="O183" s="1">
        <v>0</v>
      </c>
      <c r="P183" s="1" t="s">
        <v>2078</v>
      </c>
      <c r="Q183" s="7" t="s">
        <v>2432</v>
      </c>
    </row>
    <row r="184" spans="1:17" ht="14.25" thickBot="1">
      <c r="A184" s="1" t="s">
        <v>213</v>
      </c>
      <c r="B184" s="3">
        <v>1</v>
      </c>
      <c r="C184" s="1" t="s">
        <v>2093</v>
      </c>
      <c r="D184" s="1" t="s">
        <v>10</v>
      </c>
      <c r="E184" s="1">
        <f>INDEX([1]游戏类型定义!$C$20:$C$29,MATCH(D184,[1]!装备部位,0))</f>
        <v>3</v>
      </c>
      <c r="F184" s="1">
        <v>1</v>
      </c>
      <c r="G184" s="1">
        <v>40</v>
      </c>
      <c r="H184" s="10">
        <v>0</v>
      </c>
      <c r="I184" s="1">
        <v>4000</v>
      </c>
      <c r="J184" s="1">
        <v>5</v>
      </c>
      <c r="K184" s="1">
        <v>0</v>
      </c>
      <c r="L184" s="1">
        <v>0</v>
      </c>
      <c r="M184" s="1" t="s">
        <v>1922</v>
      </c>
      <c r="N184" s="1" t="s">
        <v>698</v>
      </c>
      <c r="O184" s="1">
        <v>0</v>
      </c>
      <c r="P184" s="1" t="s">
        <v>2078</v>
      </c>
      <c r="Q184" s="7" t="s">
        <v>2433</v>
      </c>
    </row>
    <row r="185" spans="1:17" ht="14.25" thickBot="1">
      <c r="A185" s="1" t="s">
        <v>214</v>
      </c>
      <c r="B185" s="3">
        <v>1</v>
      </c>
      <c r="C185" s="1" t="s">
        <v>2126</v>
      </c>
      <c r="D185" s="1" t="s">
        <v>15</v>
      </c>
      <c r="E185" s="1">
        <f>INDEX([1]游戏类型定义!$C$20:$C$29,MATCH(D185,[1]!装备部位,0))</f>
        <v>8</v>
      </c>
      <c r="F185" s="1">
        <v>1</v>
      </c>
      <c r="G185" s="1">
        <v>40</v>
      </c>
      <c r="H185" s="10">
        <v>0</v>
      </c>
      <c r="I185" s="1">
        <v>4000</v>
      </c>
      <c r="J185" s="1">
        <v>5</v>
      </c>
      <c r="K185" s="1">
        <v>0</v>
      </c>
      <c r="L185" s="1">
        <v>0</v>
      </c>
      <c r="M185" s="1" t="s">
        <v>1923</v>
      </c>
      <c r="N185" s="1" t="s">
        <v>698</v>
      </c>
      <c r="O185" s="1">
        <v>0</v>
      </c>
      <c r="P185" s="1" t="s">
        <v>2078</v>
      </c>
      <c r="Q185" s="7" t="s">
        <v>2434</v>
      </c>
    </row>
    <row r="186" spans="1:17" ht="14.25" thickBot="1">
      <c r="A186" s="1" t="s">
        <v>215</v>
      </c>
      <c r="B186" s="3">
        <v>1</v>
      </c>
      <c r="C186" s="1" t="s">
        <v>2141</v>
      </c>
      <c r="D186" s="1" t="s">
        <v>16</v>
      </c>
      <c r="E186" s="1">
        <f>INDEX([1]游戏类型定义!$C$20:$C$29,MATCH(D186,[1]!装备部位,0))</f>
        <v>9</v>
      </c>
      <c r="F186" s="1">
        <v>1</v>
      </c>
      <c r="G186" s="1">
        <v>40</v>
      </c>
      <c r="H186" s="10">
        <v>0</v>
      </c>
      <c r="I186" s="1">
        <v>4000</v>
      </c>
      <c r="J186" s="1">
        <v>5</v>
      </c>
      <c r="K186" s="1">
        <v>0</v>
      </c>
      <c r="L186" s="1">
        <v>0</v>
      </c>
      <c r="M186" s="1" t="s">
        <v>1924</v>
      </c>
      <c r="N186" s="1" t="s">
        <v>698</v>
      </c>
      <c r="O186" s="1">
        <v>0</v>
      </c>
      <c r="P186" s="1" t="s">
        <v>2078</v>
      </c>
      <c r="Q186" s="7" t="s">
        <v>2435</v>
      </c>
    </row>
    <row r="187" spans="1:17" ht="14.25" thickBot="1">
      <c r="A187" s="1" t="s">
        <v>216</v>
      </c>
      <c r="B187" s="2">
        <v>0</v>
      </c>
      <c r="C187" s="1" t="s">
        <v>2034</v>
      </c>
      <c r="D187" s="1" t="s">
        <v>17</v>
      </c>
      <c r="E187" s="1">
        <f>INDEX([1]游戏类型定义!$C$20:$C$29,MATCH(D187,[1]!装备部位,0))</f>
        <v>10</v>
      </c>
      <c r="F187" s="1">
        <v>1</v>
      </c>
      <c r="G187" s="1">
        <v>40</v>
      </c>
      <c r="H187" s="10">
        <v>0</v>
      </c>
      <c r="I187" s="1">
        <v>4000</v>
      </c>
      <c r="J187" s="1">
        <v>5</v>
      </c>
      <c r="K187" s="1">
        <v>0</v>
      </c>
      <c r="L187" s="1">
        <v>0</v>
      </c>
      <c r="M187" s="1" t="s">
        <v>1909</v>
      </c>
      <c r="N187" s="1" t="s">
        <v>698</v>
      </c>
      <c r="O187" s="1">
        <v>0</v>
      </c>
      <c r="P187" s="1" t="s">
        <v>2078</v>
      </c>
      <c r="Q187" s="7" t="s">
        <v>2056</v>
      </c>
    </row>
    <row r="188" spans="1:17" ht="14.25" thickBot="1">
      <c r="A188" s="1" t="s">
        <v>217</v>
      </c>
      <c r="B188" s="3">
        <v>1</v>
      </c>
      <c r="C188" s="9" t="s">
        <v>2316</v>
      </c>
      <c r="D188" s="1" t="s">
        <v>12</v>
      </c>
      <c r="E188" s="1">
        <f>INDEX([1]游戏类型定义!$C$20:$C$29,MATCH(D188,[1]!装备部位,0))</f>
        <v>5</v>
      </c>
      <c r="F188" s="1">
        <v>1</v>
      </c>
      <c r="G188" s="1">
        <v>40</v>
      </c>
      <c r="H188" s="10" t="s">
        <v>2320</v>
      </c>
      <c r="I188" s="1">
        <v>4000</v>
      </c>
      <c r="J188" s="1">
        <v>5</v>
      </c>
      <c r="K188" s="1">
        <v>0</v>
      </c>
      <c r="L188" s="1">
        <v>0</v>
      </c>
      <c r="M188" s="1" t="s">
        <v>1925</v>
      </c>
      <c r="N188" s="1" t="s">
        <v>698</v>
      </c>
      <c r="O188" s="1">
        <v>0</v>
      </c>
      <c r="P188" s="1" t="s">
        <v>2078</v>
      </c>
      <c r="Q188" s="7" t="s">
        <v>2436</v>
      </c>
    </row>
    <row r="189" spans="1:17" ht="14.25" thickBot="1">
      <c r="A189" s="1" t="s">
        <v>218</v>
      </c>
      <c r="B189" s="3">
        <v>1</v>
      </c>
      <c r="C189" s="9" t="s">
        <v>2252</v>
      </c>
      <c r="D189" s="1" t="s">
        <v>12</v>
      </c>
      <c r="E189" s="1">
        <f>INDEX([1]游戏类型定义!$C$20:$C$29,MATCH(D189,[1]!装备部位,0))</f>
        <v>5</v>
      </c>
      <c r="F189" s="1">
        <v>1</v>
      </c>
      <c r="G189" s="1">
        <v>40</v>
      </c>
      <c r="H189" s="10" t="s">
        <v>2320</v>
      </c>
      <c r="I189" s="1">
        <v>4300</v>
      </c>
      <c r="J189" s="1">
        <v>5</v>
      </c>
      <c r="K189" s="1">
        <v>0</v>
      </c>
      <c r="L189" s="1">
        <v>0</v>
      </c>
      <c r="M189" s="1" t="s">
        <v>2023</v>
      </c>
      <c r="N189" s="1" t="s">
        <v>698</v>
      </c>
      <c r="O189" s="1">
        <v>0</v>
      </c>
      <c r="P189" s="1" t="s">
        <v>2078</v>
      </c>
      <c r="Q189" s="7" t="s">
        <v>2437</v>
      </c>
    </row>
    <row r="190" spans="1:17" ht="14.25" thickBot="1">
      <c r="A190" s="1" t="s">
        <v>219</v>
      </c>
      <c r="B190" s="3">
        <v>1</v>
      </c>
      <c r="C190" s="9" t="s">
        <v>2253</v>
      </c>
      <c r="D190" s="1" t="s">
        <v>13</v>
      </c>
      <c r="E190" s="1">
        <f>INDEX([1]游戏类型定义!$C$20:$C$29,MATCH(D190,[1]!装备部位,0))</f>
        <v>6</v>
      </c>
      <c r="F190" s="1">
        <v>1</v>
      </c>
      <c r="G190" s="1">
        <v>40</v>
      </c>
      <c r="H190" s="10" t="s">
        <v>2320</v>
      </c>
      <c r="I190" s="1">
        <v>4000</v>
      </c>
      <c r="J190" s="1">
        <v>5</v>
      </c>
      <c r="K190" s="1">
        <v>0</v>
      </c>
      <c r="L190" s="1">
        <v>0</v>
      </c>
      <c r="M190" s="1" t="s">
        <v>1926</v>
      </c>
      <c r="N190" s="1" t="s">
        <v>698</v>
      </c>
      <c r="O190" s="1">
        <v>0</v>
      </c>
      <c r="P190" s="1" t="s">
        <v>2078</v>
      </c>
      <c r="Q190" s="7" t="s">
        <v>2438</v>
      </c>
    </row>
    <row r="191" spans="1:17" ht="14.25" thickBot="1">
      <c r="A191" s="1" t="s">
        <v>220</v>
      </c>
      <c r="B191" s="2">
        <v>0</v>
      </c>
      <c r="C191" s="9" t="s">
        <v>2044</v>
      </c>
      <c r="D191" s="1" t="s">
        <v>13</v>
      </c>
      <c r="E191" s="1">
        <f>INDEX([1]游戏类型定义!$C$20:$C$29,MATCH(D191,[1]!装备部位,0))</f>
        <v>6</v>
      </c>
      <c r="F191" s="1">
        <v>1</v>
      </c>
      <c r="G191" s="1">
        <v>40</v>
      </c>
      <c r="H191" s="10" t="s">
        <v>2320</v>
      </c>
      <c r="I191" s="1">
        <v>4300</v>
      </c>
      <c r="J191" s="1">
        <v>5</v>
      </c>
      <c r="K191" s="1">
        <v>0</v>
      </c>
      <c r="L191" s="1">
        <v>0</v>
      </c>
      <c r="M191" s="1" t="s">
        <v>1927</v>
      </c>
      <c r="N191" s="1" t="s">
        <v>698</v>
      </c>
      <c r="O191" s="1">
        <v>0</v>
      </c>
      <c r="P191" s="1" t="s">
        <v>2078</v>
      </c>
      <c r="Q191" s="7" t="s">
        <v>2058</v>
      </c>
    </row>
    <row r="192" spans="1:17" ht="14.25" thickBot="1">
      <c r="A192" s="1" t="s">
        <v>221</v>
      </c>
      <c r="B192" s="3">
        <v>1</v>
      </c>
      <c r="C192" s="1" t="s">
        <v>2254</v>
      </c>
      <c r="D192" s="1" t="s">
        <v>12</v>
      </c>
      <c r="E192" s="1">
        <f>INDEX([1]游戏类型定义!$C$20:$C$29,MATCH(D192,[1]!装备部位,0))</f>
        <v>5</v>
      </c>
      <c r="F192" s="1">
        <v>1</v>
      </c>
      <c r="G192" s="1">
        <v>40</v>
      </c>
      <c r="H192" s="10" t="s">
        <v>2321</v>
      </c>
      <c r="I192" s="1">
        <v>4000</v>
      </c>
      <c r="J192" s="1">
        <v>5</v>
      </c>
      <c r="K192" s="1">
        <v>0</v>
      </c>
      <c r="L192" s="1">
        <v>0</v>
      </c>
      <c r="M192" s="1" t="s">
        <v>1925</v>
      </c>
      <c r="N192" s="1" t="s">
        <v>698</v>
      </c>
      <c r="O192" s="1">
        <v>0</v>
      </c>
      <c r="P192" s="1" t="s">
        <v>2078</v>
      </c>
      <c r="Q192" s="7" t="s">
        <v>2439</v>
      </c>
    </row>
    <row r="193" spans="1:17" ht="14.25" thickBot="1">
      <c r="A193" s="1" t="s">
        <v>222</v>
      </c>
      <c r="B193" s="3">
        <v>1</v>
      </c>
      <c r="C193" s="1" t="s">
        <v>2255</v>
      </c>
      <c r="D193" s="1" t="s">
        <v>12</v>
      </c>
      <c r="E193" s="1">
        <f>INDEX([1]游戏类型定义!$C$20:$C$29,MATCH(D193,[1]!装备部位,0))</f>
        <v>5</v>
      </c>
      <c r="F193" s="1">
        <v>1</v>
      </c>
      <c r="G193" s="1">
        <v>40</v>
      </c>
      <c r="H193" s="10" t="s">
        <v>2321</v>
      </c>
      <c r="I193" s="1">
        <v>4300</v>
      </c>
      <c r="J193" s="1">
        <v>5</v>
      </c>
      <c r="K193" s="1">
        <v>0</v>
      </c>
      <c r="L193" s="1">
        <v>0</v>
      </c>
      <c r="M193" s="1" t="s">
        <v>2023</v>
      </c>
      <c r="N193" s="1" t="s">
        <v>698</v>
      </c>
      <c r="O193" s="1">
        <v>0</v>
      </c>
      <c r="P193" s="1" t="s">
        <v>2078</v>
      </c>
      <c r="Q193" s="7" t="s">
        <v>2440</v>
      </c>
    </row>
    <row r="194" spans="1:17" ht="14.25" thickBot="1">
      <c r="A194" s="1" t="s">
        <v>223</v>
      </c>
      <c r="B194" s="3">
        <v>1</v>
      </c>
      <c r="C194" s="9" t="s">
        <v>2256</v>
      </c>
      <c r="D194" s="1" t="s">
        <v>13</v>
      </c>
      <c r="E194" s="1">
        <f>INDEX([1]游戏类型定义!$C$20:$C$29,MATCH(D194,[1]!装备部位,0))</f>
        <v>6</v>
      </c>
      <c r="F194" s="1">
        <v>1</v>
      </c>
      <c r="G194" s="1">
        <v>40</v>
      </c>
      <c r="H194" s="10" t="s">
        <v>2321</v>
      </c>
      <c r="I194" s="1">
        <v>4000</v>
      </c>
      <c r="J194" s="1">
        <v>5</v>
      </c>
      <c r="K194" s="1">
        <v>0</v>
      </c>
      <c r="L194" s="1">
        <v>0</v>
      </c>
      <c r="M194" s="1" t="s">
        <v>1924</v>
      </c>
      <c r="N194" s="1" t="s">
        <v>698</v>
      </c>
      <c r="O194" s="1">
        <v>0</v>
      </c>
      <c r="P194" s="1" t="s">
        <v>2078</v>
      </c>
      <c r="Q194" s="7" t="s">
        <v>2441</v>
      </c>
    </row>
    <row r="195" spans="1:17" ht="14.25" thickBot="1">
      <c r="A195" s="1" t="s">
        <v>224</v>
      </c>
      <c r="B195" s="2">
        <v>0</v>
      </c>
      <c r="C195" s="9" t="s">
        <v>2042</v>
      </c>
      <c r="D195" s="1" t="s">
        <v>13</v>
      </c>
      <c r="E195" s="1">
        <f>INDEX([1]游戏类型定义!$C$20:$C$29,MATCH(D195,[1]!装备部位,0))</f>
        <v>6</v>
      </c>
      <c r="F195" s="1">
        <v>1</v>
      </c>
      <c r="G195" s="1">
        <v>40</v>
      </c>
      <c r="H195" s="10" t="s">
        <v>2321</v>
      </c>
      <c r="I195" s="1">
        <v>4300</v>
      </c>
      <c r="J195" s="1">
        <v>5</v>
      </c>
      <c r="K195" s="1">
        <v>0</v>
      </c>
      <c r="L195" s="1">
        <v>0</v>
      </c>
      <c r="M195" s="1" t="s">
        <v>1928</v>
      </c>
      <c r="N195" s="1" t="s">
        <v>698</v>
      </c>
      <c r="O195" s="1">
        <v>0</v>
      </c>
      <c r="P195" s="1" t="s">
        <v>2078</v>
      </c>
      <c r="Q195" s="7" t="s">
        <v>2060</v>
      </c>
    </row>
    <row r="196" spans="1:17" ht="14.25" thickBot="1">
      <c r="A196" s="1" t="s">
        <v>225</v>
      </c>
      <c r="B196" s="3">
        <v>1</v>
      </c>
      <c r="C196" s="9" t="s">
        <v>2258</v>
      </c>
      <c r="D196" s="1" t="s">
        <v>12</v>
      </c>
      <c r="E196" s="1">
        <f>INDEX([1]游戏类型定义!$C$20:$C$29,MATCH(D196,[1]!装备部位,0))</f>
        <v>5</v>
      </c>
      <c r="F196" s="1">
        <v>1</v>
      </c>
      <c r="G196" s="1">
        <v>40</v>
      </c>
      <c r="H196" s="10" t="s">
        <v>2322</v>
      </c>
      <c r="I196" s="1">
        <v>4000</v>
      </c>
      <c r="J196" s="1">
        <v>5</v>
      </c>
      <c r="K196" s="1">
        <v>0</v>
      </c>
      <c r="L196" s="1">
        <v>0</v>
      </c>
      <c r="M196" s="1" t="s">
        <v>1925</v>
      </c>
      <c r="N196" s="1" t="s">
        <v>698</v>
      </c>
      <c r="O196" s="1">
        <v>0</v>
      </c>
      <c r="P196" s="1" t="s">
        <v>2078</v>
      </c>
      <c r="Q196" s="7" t="s">
        <v>2442</v>
      </c>
    </row>
    <row r="197" spans="1:17" ht="14.25" thickBot="1">
      <c r="A197" s="1" t="s">
        <v>226</v>
      </c>
      <c r="B197" s="3">
        <v>1</v>
      </c>
      <c r="C197" s="9" t="s">
        <v>2250</v>
      </c>
      <c r="D197" s="1" t="s">
        <v>12</v>
      </c>
      <c r="E197" s="1">
        <f>INDEX([1]游戏类型定义!$C$20:$C$29,MATCH(D197,[1]!装备部位,0))</f>
        <v>5</v>
      </c>
      <c r="F197" s="1">
        <v>1</v>
      </c>
      <c r="G197" s="1">
        <v>40</v>
      </c>
      <c r="H197" s="10" t="s">
        <v>2322</v>
      </c>
      <c r="I197" s="1">
        <v>4300</v>
      </c>
      <c r="J197" s="1">
        <v>5</v>
      </c>
      <c r="K197" s="1">
        <v>0</v>
      </c>
      <c r="L197" s="1">
        <v>0</v>
      </c>
      <c r="M197" s="1" t="s">
        <v>2023</v>
      </c>
      <c r="N197" s="1" t="s">
        <v>698</v>
      </c>
      <c r="O197" s="1">
        <v>0</v>
      </c>
      <c r="P197" s="1" t="s">
        <v>2078</v>
      </c>
      <c r="Q197" s="7" t="s">
        <v>2443</v>
      </c>
    </row>
    <row r="198" spans="1:17" ht="14.25" thickBot="1">
      <c r="A198" s="1" t="s">
        <v>227</v>
      </c>
      <c r="B198" s="3">
        <v>1</v>
      </c>
      <c r="C198" s="9" t="s">
        <v>2259</v>
      </c>
      <c r="D198" s="1" t="s">
        <v>13</v>
      </c>
      <c r="E198" s="1">
        <f>INDEX([1]游戏类型定义!$C$20:$C$29,MATCH(D198,[1]!装备部位,0))</f>
        <v>6</v>
      </c>
      <c r="F198" s="1">
        <v>1</v>
      </c>
      <c r="G198" s="1">
        <v>40</v>
      </c>
      <c r="H198" s="10" t="s">
        <v>2322</v>
      </c>
      <c r="I198" s="1">
        <v>4000</v>
      </c>
      <c r="J198" s="1">
        <v>5</v>
      </c>
      <c r="K198" s="1">
        <v>0</v>
      </c>
      <c r="L198" s="1">
        <v>0</v>
      </c>
      <c r="M198" s="1" t="s">
        <v>1929</v>
      </c>
      <c r="N198" s="1" t="s">
        <v>698</v>
      </c>
      <c r="O198" s="1">
        <v>0</v>
      </c>
      <c r="P198" s="1" t="s">
        <v>2078</v>
      </c>
      <c r="Q198" s="7" t="s">
        <v>2444</v>
      </c>
    </row>
    <row r="199" spans="1:17" ht="14.25" thickBot="1">
      <c r="A199" s="1" t="s">
        <v>228</v>
      </c>
      <c r="B199" s="2">
        <v>0</v>
      </c>
      <c r="C199" s="9" t="s">
        <v>2050</v>
      </c>
      <c r="D199" s="1" t="s">
        <v>13</v>
      </c>
      <c r="E199" s="1">
        <f>INDEX([1]游戏类型定义!$C$20:$C$29,MATCH(D199,[1]!装备部位,0))</f>
        <v>6</v>
      </c>
      <c r="F199" s="1">
        <v>1</v>
      </c>
      <c r="G199" s="1">
        <v>40</v>
      </c>
      <c r="H199" s="10" t="s">
        <v>2322</v>
      </c>
      <c r="I199" s="1">
        <v>4300</v>
      </c>
      <c r="J199" s="1">
        <v>5</v>
      </c>
      <c r="K199" s="1">
        <v>0</v>
      </c>
      <c r="L199" s="1">
        <v>0</v>
      </c>
      <c r="M199" s="1" t="s">
        <v>1930</v>
      </c>
      <c r="N199" s="1" t="s">
        <v>698</v>
      </c>
      <c r="O199" s="1">
        <v>0</v>
      </c>
      <c r="P199" s="1" t="s">
        <v>2078</v>
      </c>
      <c r="Q199" s="7" t="s">
        <v>2062</v>
      </c>
    </row>
    <row r="200" spans="1:17" ht="14.25" thickBot="1">
      <c r="A200" s="1" t="s">
        <v>229</v>
      </c>
      <c r="B200" s="3">
        <v>1</v>
      </c>
      <c r="C200" s="1" t="s">
        <v>2167</v>
      </c>
      <c r="D200" s="1" t="s">
        <v>11</v>
      </c>
      <c r="E200" s="1">
        <f>INDEX([1]游戏类型定义!$C$20:$C$29,MATCH(D200,[1]!装备部位,0))</f>
        <v>4</v>
      </c>
      <c r="F200" s="1">
        <v>1</v>
      </c>
      <c r="G200" s="1">
        <v>40</v>
      </c>
      <c r="H200" s="10">
        <v>0</v>
      </c>
      <c r="I200" s="1">
        <v>4000</v>
      </c>
      <c r="J200" s="1">
        <v>5</v>
      </c>
      <c r="K200" s="1">
        <v>0</v>
      </c>
      <c r="L200" s="1">
        <v>0</v>
      </c>
      <c r="M200" s="1" t="s">
        <v>1931</v>
      </c>
      <c r="N200" s="1" t="s">
        <v>698</v>
      </c>
      <c r="O200" s="1">
        <v>0</v>
      </c>
      <c r="P200" s="1" t="s">
        <v>2078</v>
      </c>
      <c r="Q200" s="7" t="s">
        <v>2445</v>
      </c>
    </row>
    <row r="201" spans="1:17" ht="14.25" thickBot="1">
      <c r="A201" s="1" t="s">
        <v>230</v>
      </c>
      <c r="B201" s="2">
        <v>0</v>
      </c>
      <c r="C201" s="1" t="s">
        <v>2030</v>
      </c>
      <c r="D201" s="1" t="s">
        <v>11</v>
      </c>
      <c r="E201" s="1">
        <f>INDEX([1]游戏类型定义!$C$20:$C$29,MATCH(D201,[1]!装备部位,0))</f>
        <v>4</v>
      </c>
      <c r="F201" s="1">
        <v>1</v>
      </c>
      <c r="G201" s="1">
        <v>40</v>
      </c>
      <c r="H201" s="10">
        <v>0</v>
      </c>
      <c r="I201" s="1">
        <v>4300</v>
      </c>
      <c r="J201" s="1">
        <v>5</v>
      </c>
      <c r="K201" s="1">
        <v>0</v>
      </c>
      <c r="L201" s="1">
        <v>0</v>
      </c>
      <c r="M201" s="1" t="s">
        <v>1932</v>
      </c>
      <c r="N201" s="1" t="s">
        <v>698</v>
      </c>
      <c r="O201" s="1">
        <v>0</v>
      </c>
      <c r="P201" s="1" t="s">
        <v>2078</v>
      </c>
      <c r="Q201" s="7" t="s">
        <v>2063</v>
      </c>
    </row>
    <row r="202" spans="1:17" ht="14.25" thickBot="1">
      <c r="A202" s="1" t="s">
        <v>231</v>
      </c>
      <c r="B202" s="3">
        <v>1</v>
      </c>
      <c r="C202" s="1" t="s">
        <v>2185</v>
      </c>
      <c r="D202" s="1" t="s">
        <v>14</v>
      </c>
      <c r="E202" s="1">
        <f>INDEX([1]游戏类型定义!$C$20:$C$29,MATCH(D202,[1]!装备部位,0))</f>
        <v>7</v>
      </c>
      <c r="F202" s="1">
        <v>1</v>
      </c>
      <c r="G202" s="1">
        <v>40</v>
      </c>
      <c r="H202" s="10">
        <v>0</v>
      </c>
      <c r="I202" s="1">
        <v>4000</v>
      </c>
      <c r="J202" s="1">
        <v>5</v>
      </c>
      <c r="K202" s="1">
        <v>0</v>
      </c>
      <c r="L202" s="1">
        <v>0</v>
      </c>
      <c r="M202" s="1" t="s">
        <v>1933</v>
      </c>
      <c r="N202" s="1" t="s">
        <v>698</v>
      </c>
      <c r="O202" s="1">
        <v>0</v>
      </c>
      <c r="P202" s="1" t="s">
        <v>2078</v>
      </c>
      <c r="Q202" s="7" t="s">
        <v>2446</v>
      </c>
    </row>
    <row r="203" spans="1:17" ht="14.25" thickBot="1">
      <c r="A203" s="1" t="s">
        <v>232</v>
      </c>
      <c r="B203" s="2">
        <v>0</v>
      </c>
      <c r="C203" s="1" t="s">
        <v>2038</v>
      </c>
      <c r="D203" s="1" t="s">
        <v>14</v>
      </c>
      <c r="E203" s="1">
        <f>INDEX([1]游戏类型定义!$C$20:$C$29,MATCH(D203,[1]!装备部位,0))</f>
        <v>7</v>
      </c>
      <c r="F203" s="1">
        <v>1</v>
      </c>
      <c r="G203" s="1">
        <v>40</v>
      </c>
      <c r="H203" s="10">
        <v>0</v>
      </c>
      <c r="I203" s="1">
        <v>4300</v>
      </c>
      <c r="J203" s="1">
        <v>5</v>
      </c>
      <c r="K203" s="1">
        <v>0</v>
      </c>
      <c r="L203" s="1">
        <v>0</v>
      </c>
      <c r="M203" s="1" t="s">
        <v>1934</v>
      </c>
      <c r="N203" s="1" t="s">
        <v>698</v>
      </c>
      <c r="O203" s="1">
        <v>0</v>
      </c>
      <c r="P203" s="1" t="s">
        <v>2078</v>
      </c>
      <c r="Q203" s="7" t="s">
        <v>2064</v>
      </c>
    </row>
    <row r="204" spans="1:17" ht="14.25" thickBot="1">
      <c r="A204" s="1" t="s">
        <v>233</v>
      </c>
      <c r="B204" s="2">
        <v>0</v>
      </c>
      <c r="C204" s="1" t="s">
        <v>2104</v>
      </c>
      <c r="D204" s="1" t="s">
        <v>8</v>
      </c>
      <c r="E204" s="1">
        <f>INDEX([1]游戏类型定义!$C$20:$C$29,MATCH(D204,[1]!装备部位,0))</f>
        <v>1</v>
      </c>
      <c r="F204" s="1">
        <v>1</v>
      </c>
      <c r="G204" s="1">
        <v>45</v>
      </c>
      <c r="H204" s="10">
        <v>0</v>
      </c>
      <c r="I204" s="1">
        <v>4500</v>
      </c>
      <c r="J204" s="1">
        <v>5</v>
      </c>
      <c r="K204" s="1">
        <v>0</v>
      </c>
      <c r="L204" s="1">
        <v>0</v>
      </c>
      <c r="M204" s="1" t="s">
        <v>1920</v>
      </c>
      <c r="N204" s="1" t="s">
        <v>698</v>
      </c>
      <c r="O204" s="1">
        <v>0</v>
      </c>
      <c r="P204" s="1" t="s">
        <v>2079</v>
      </c>
      <c r="Q204" s="7" t="s">
        <v>2051</v>
      </c>
    </row>
    <row r="205" spans="1:17" ht="14.25" thickBot="1">
      <c r="A205" s="1" t="s">
        <v>234</v>
      </c>
      <c r="B205" s="2">
        <v>0</v>
      </c>
      <c r="C205" s="1" t="s">
        <v>2032</v>
      </c>
      <c r="D205" s="1" t="s">
        <v>9</v>
      </c>
      <c r="E205" s="1">
        <f>INDEX([1]游戏类型定义!$C$20:$C$29,MATCH(D205,[1]!装备部位,0))</f>
        <v>2</v>
      </c>
      <c r="F205" s="1">
        <v>1</v>
      </c>
      <c r="G205" s="1">
        <v>45</v>
      </c>
      <c r="H205" s="10">
        <v>0</v>
      </c>
      <c r="I205" s="1">
        <v>4500</v>
      </c>
      <c r="J205" s="1">
        <v>5</v>
      </c>
      <c r="K205" s="1">
        <v>0</v>
      </c>
      <c r="L205" s="1">
        <v>0</v>
      </c>
      <c r="M205" s="1" t="s">
        <v>1921</v>
      </c>
      <c r="N205" s="1" t="s">
        <v>698</v>
      </c>
      <c r="O205" s="1">
        <v>0</v>
      </c>
      <c r="P205" s="1" t="s">
        <v>2079</v>
      </c>
      <c r="Q205" s="7" t="s">
        <v>2052</v>
      </c>
    </row>
    <row r="206" spans="1:17" ht="14.25" thickBot="1">
      <c r="A206" s="1" t="s">
        <v>235</v>
      </c>
      <c r="B206" s="3">
        <v>1</v>
      </c>
      <c r="C206" s="1" t="s">
        <v>2110</v>
      </c>
      <c r="D206" s="1" t="s">
        <v>10</v>
      </c>
      <c r="E206" s="1">
        <f>INDEX([1]游戏类型定义!$C$20:$C$29,MATCH(D206,[1]!装备部位,0))</f>
        <v>3</v>
      </c>
      <c r="F206" s="1">
        <v>1</v>
      </c>
      <c r="G206" s="1">
        <v>45</v>
      </c>
      <c r="H206" s="10">
        <v>0</v>
      </c>
      <c r="I206" s="1">
        <v>4500</v>
      </c>
      <c r="J206" s="1">
        <v>5</v>
      </c>
      <c r="K206" s="1">
        <v>0</v>
      </c>
      <c r="L206" s="1">
        <v>0</v>
      </c>
      <c r="M206" s="1" t="s">
        <v>1935</v>
      </c>
      <c r="N206" s="1" t="s">
        <v>698</v>
      </c>
      <c r="O206" s="1">
        <v>0</v>
      </c>
      <c r="P206" s="1" t="s">
        <v>2079</v>
      </c>
      <c r="Q206" s="7" t="s">
        <v>2447</v>
      </c>
    </row>
    <row r="207" spans="1:17" ht="14.25" thickBot="1">
      <c r="A207" s="1" t="s">
        <v>236</v>
      </c>
      <c r="B207" s="3">
        <v>1</v>
      </c>
      <c r="C207" s="1" t="s">
        <v>2125</v>
      </c>
      <c r="D207" s="1" t="s">
        <v>15</v>
      </c>
      <c r="E207" s="1">
        <f>INDEX([1]游戏类型定义!$C$20:$C$29,MATCH(D207,[1]!装备部位,0))</f>
        <v>8</v>
      </c>
      <c r="F207" s="1">
        <v>1</v>
      </c>
      <c r="G207" s="1">
        <v>45</v>
      </c>
      <c r="H207" s="10">
        <v>0</v>
      </c>
      <c r="I207" s="1">
        <v>4500</v>
      </c>
      <c r="J207" s="1">
        <v>5</v>
      </c>
      <c r="K207" s="1">
        <v>0</v>
      </c>
      <c r="L207" s="1">
        <v>0</v>
      </c>
      <c r="M207" s="1" t="s">
        <v>1936</v>
      </c>
      <c r="N207" s="1" t="s">
        <v>698</v>
      </c>
      <c r="O207" s="1">
        <v>0</v>
      </c>
      <c r="P207" s="1" t="s">
        <v>2079</v>
      </c>
      <c r="Q207" s="7" t="s">
        <v>2448</v>
      </c>
    </row>
    <row r="208" spans="1:17" ht="14.25" thickBot="1">
      <c r="A208" s="1" t="s">
        <v>237</v>
      </c>
      <c r="B208" s="3">
        <v>1</v>
      </c>
      <c r="C208" s="1" t="s">
        <v>2143</v>
      </c>
      <c r="D208" s="1" t="s">
        <v>16</v>
      </c>
      <c r="E208" s="1">
        <f>INDEX([1]游戏类型定义!$C$20:$C$29,MATCH(D208,[1]!装备部位,0))</f>
        <v>9</v>
      </c>
      <c r="F208" s="1">
        <v>1</v>
      </c>
      <c r="G208" s="1">
        <v>45</v>
      </c>
      <c r="H208" s="10">
        <v>0</v>
      </c>
      <c r="I208" s="1">
        <v>4500</v>
      </c>
      <c r="J208" s="1">
        <v>5</v>
      </c>
      <c r="K208" s="1">
        <v>0</v>
      </c>
      <c r="L208" s="1">
        <v>0</v>
      </c>
      <c r="M208" s="1" t="s">
        <v>1937</v>
      </c>
      <c r="N208" s="1" t="s">
        <v>698</v>
      </c>
      <c r="O208" s="1">
        <v>0</v>
      </c>
      <c r="P208" s="1" t="s">
        <v>2079</v>
      </c>
      <c r="Q208" s="7" t="s">
        <v>2449</v>
      </c>
    </row>
    <row r="209" spans="1:17" ht="14.25" thickBot="1">
      <c r="A209" s="1" t="s">
        <v>238</v>
      </c>
      <c r="B209" s="3">
        <v>1</v>
      </c>
      <c r="C209" s="1" t="s">
        <v>2151</v>
      </c>
      <c r="D209" s="1" t="s">
        <v>17</v>
      </c>
      <c r="E209" s="1">
        <f>INDEX([1]游戏类型定义!$C$20:$C$29,MATCH(D209,[1]!装备部位,0))</f>
        <v>10</v>
      </c>
      <c r="F209" s="1">
        <v>1</v>
      </c>
      <c r="G209" s="1">
        <v>45</v>
      </c>
      <c r="H209" s="10">
        <v>0</v>
      </c>
      <c r="I209" s="1">
        <v>4500</v>
      </c>
      <c r="J209" s="1">
        <v>5</v>
      </c>
      <c r="K209" s="1">
        <v>0</v>
      </c>
      <c r="L209" s="1">
        <v>0</v>
      </c>
      <c r="M209" s="1" t="s">
        <v>1938</v>
      </c>
      <c r="N209" s="1" t="s">
        <v>698</v>
      </c>
      <c r="O209" s="1">
        <v>0</v>
      </c>
      <c r="P209" s="1" t="s">
        <v>2079</v>
      </c>
      <c r="Q209" s="7" t="s">
        <v>2450</v>
      </c>
    </row>
    <row r="210" spans="1:17" ht="14.25" thickBot="1">
      <c r="A210" s="1" t="s">
        <v>239</v>
      </c>
      <c r="B210" s="3">
        <v>1</v>
      </c>
      <c r="C210" s="9" t="s">
        <v>2260</v>
      </c>
      <c r="D210" s="1" t="s">
        <v>12</v>
      </c>
      <c r="E210" s="1">
        <f>INDEX([1]游戏类型定义!$C$20:$C$29,MATCH(D210,[1]!装备部位,0))</f>
        <v>5</v>
      </c>
      <c r="F210" s="1">
        <v>1</v>
      </c>
      <c r="G210" s="1">
        <v>45</v>
      </c>
      <c r="H210" s="10" t="s">
        <v>2320</v>
      </c>
      <c r="I210" s="1">
        <v>4500</v>
      </c>
      <c r="J210" s="1">
        <v>5</v>
      </c>
      <c r="K210" s="1">
        <v>0</v>
      </c>
      <c r="L210" s="1">
        <v>0</v>
      </c>
      <c r="M210" s="1" t="s">
        <v>2024</v>
      </c>
      <c r="N210" s="1" t="s">
        <v>698</v>
      </c>
      <c r="O210" s="1">
        <v>0</v>
      </c>
      <c r="P210" s="1" t="s">
        <v>2079</v>
      </c>
      <c r="Q210" s="7" t="s">
        <v>2451</v>
      </c>
    </row>
    <row r="211" spans="1:17" ht="14.25" thickBot="1">
      <c r="A211" s="1" t="s">
        <v>240</v>
      </c>
      <c r="B211" s="2">
        <v>0</v>
      </c>
      <c r="C211" s="9" t="s">
        <v>2046</v>
      </c>
      <c r="D211" s="1" t="s">
        <v>12</v>
      </c>
      <c r="E211" s="1">
        <f>INDEX([1]游戏类型定义!$C$20:$C$29,MATCH(D211,[1]!装备部位,0))</f>
        <v>5</v>
      </c>
      <c r="F211" s="1">
        <v>1</v>
      </c>
      <c r="G211" s="1">
        <v>45</v>
      </c>
      <c r="H211" s="10" t="s">
        <v>2320</v>
      </c>
      <c r="I211" s="1">
        <v>4800</v>
      </c>
      <c r="J211" s="1">
        <v>5</v>
      </c>
      <c r="K211" s="1">
        <v>0</v>
      </c>
      <c r="L211" s="1">
        <v>0</v>
      </c>
      <c r="M211" s="1" t="s">
        <v>2025</v>
      </c>
      <c r="N211" s="1" t="s">
        <v>698</v>
      </c>
      <c r="O211" s="1">
        <v>0</v>
      </c>
      <c r="P211" s="1" t="s">
        <v>2079</v>
      </c>
      <c r="Q211" s="7" t="s">
        <v>2057</v>
      </c>
    </row>
    <row r="212" spans="1:17" ht="14.25" thickBot="1">
      <c r="A212" s="1" t="s">
        <v>241</v>
      </c>
      <c r="B212" s="3">
        <v>1</v>
      </c>
      <c r="C212" s="9" t="s">
        <v>2261</v>
      </c>
      <c r="D212" s="1" t="s">
        <v>13</v>
      </c>
      <c r="E212" s="1">
        <f>INDEX([1]游戏类型定义!$C$20:$C$29,MATCH(D212,[1]!装备部位,0))</f>
        <v>6</v>
      </c>
      <c r="F212" s="1">
        <v>1</v>
      </c>
      <c r="G212" s="1">
        <v>45</v>
      </c>
      <c r="H212" s="10" t="s">
        <v>2320</v>
      </c>
      <c r="I212" s="1">
        <v>4500</v>
      </c>
      <c r="J212" s="1">
        <v>5</v>
      </c>
      <c r="K212" s="1">
        <v>0</v>
      </c>
      <c r="L212" s="1">
        <v>0</v>
      </c>
      <c r="M212" s="1" t="s">
        <v>1939</v>
      </c>
      <c r="N212" s="1" t="s">
        <v>698</v>
      </c>
      <c r="O212" s="1">
        <v>0</v>
      </c>
      <c r="P212" s="1" t="s">
        <v>2079</v>
      </c>
      <c r="Q212" s="7" t="s">
        <v>2452</v>
      </c>
    </row>
    <row r="213" spans="1:17" ht="14.25" thickBot="1">
      <c r="A213" s="1" t="s">
        <v>242</v>
      </c>
      <c r="B213" s="2">
        <v>0</v>
      </c>
      <c r="C213" s="9" t="s">
        <v>2044</v>
      </c>
      <c r="D213" s="1" t="s">
        <v>13</v>
      </c>
      <c r="E213" s="1">
        <f>INDEX([1]游戏类型定义!$C$20:$C$29,MATCH(D213,[1]!装备部位,0))</f>
        <v>6</v>
      </c>
      <c r="F213" s="1">
        <v>1</v>
      </c>
      <c r="G213" s="1">
        <v>45</v>
      </c>
      <c r="H213" s="10" t="s">
        <v>2320</v>
      </c>
      <c r="I213" s="1">
        <v>4800</v>
      </c>
      <c r="J213" s="1">
        <v>5</v>
      </c>
      <c r="K213" s="1">
        <v>0</v>
      </c>
      <c r="L213" s="1">
        <v>0</v>
      </c>
      <c r="M213" s="1" t="s">
        <v>1940</v>
      </c>
      <c r="N213" s="1" t="s">
        <v>698</v>
      </c>
      <c r="O213" s="1">
        <v>0</v>
      </c>
      <c r="P213" s="1" t="s">
        <v>2079</v>
      </c>
      <c r="Q213" s="7" t="s">
        <v>2058</v>
      </c>
    </row>
    <row r="214" spans="1:17" ht="14.25" thickBot="1">
      <c r="A214" s="1" t="s">
        <v>243</v>
      </c>
      <c r="B214" s="3">
        <v>1</v>
      </c>
      <c r="C214" s="1" t="s">
        <v>2262</v>
      </c>
      <c r="D214" s="1" t="s">
        <v>12</v>
      </c>
      <c r="E214" s="1">
        <f>INDEX([1]游戏类型定义!$C$20:$C$29,MATCH(D214,[1]!装备部位,0))</f>
        <v>5</v>
      </c>
      <c r="F214" s="1">
        <v>1</v>
      </c>
      <c r="G214" s="1">
        <v>45</v>
      </c>
      <c r="H214" s="10" t="s">
        <v>2321</v>
      </c>
      <c r="I214" s="1">
        <v>4500</v>
      </c>
      <c r="J214" s="1">
        <v>5</v>
      </c>
      <c r="K214" s="1">
        <v>0</v>
      </c>
      <c r="L214" s="1">
        <v>0</v>
      </c>
      <c r="M214" s="1" t="s">
        <v>2024</v>
      </c>
      <c r="N214" s="1" t="s">
        <v>698</v>
      </c>
      <c r="O214" s="1">
        <v>0</v>
      </c>
      <c r="P214" s="1" t="s">
        <v>2079</v>
      </c>
      <c r="Q214" s="7" t="s">
        <v>2453</v>
      </c>
    </row>
    <row r="215" spans="1:17" ht="14.25" thickBot="1">
      <c r="A215" s="1" t="s">
        <v>244</v>
      </c>
      <c r="B215" s="2">
        <v>0</v>
      </c>
      <c r="C215" s="1" t="s">
        <v>2040</v>
      </c>
      <c r="D215" s="1" t="s">
        <v>12</v>
      </c>
      <c r="E215" s="1">
        <f>INDEX([1]游戏类型定义!$C$20:$C$29,MATCH(D215,[1]!装备部位,0))</f>
        <v>5</v>
      </c>
      <c r="F215" s="1">
        <v>1</v>
      </c>
      <c r="G215" s="1">
        <v>45</v>
      </c>
      <c r="H215" s="10" t="s">
        <v>2321</v>
      </c>
      <c r="I215" s="1">
        <v>4800</v>
      </c>
      <c r="J215" s="1">
        <v>5</v>
      </c>
      <c r="K215" s="1">
        <v>0</v>
      </c>
      <c r="L215" s="1">
        <v>0</v>
      </c>
      <c r="M215" s="1" t="s">
        <v>2025</v>
      </c>
      <c r="N215" s="1" t="s">
        <v>698</v>
      </c>
      <c r="O215" s="1">
        <v>0</v>
      </c>
      <c r="P215" s="1" t="s">
        <v>2079</v>
      </c>
      <c r="Q215" s="7" t="s">
        <v>2059</v>
      </c>
    </row>
    <row r="216" spans="1:17" ht="14.25" thickBot="1">
      <c r="A216" s="1" t="s">
        <v>245</v>
      </c>
      <c r="B216" s="3">
        <v>1</v>
      </c>
      <c r="C216" s="9" t="s">
        <v>2263</v>
      </c>
      <c r="D216" s="1" t="s">
        <v>13</v>
      </c>
      <c r="E216" s="1">
        <f>INDEX([1]游戏类型定义!$C$20:$C$29,MATCH(D216,[1]!装备部位,0))</f>
        <v>6</v>
      </c>
      <c r="F216" s="1">
        <v>1</v>
      </c>
      <c r="G216" s="1">
        <v>45</v>
      </c>
      <c r="H216" s="10" t="s">
        <v>2321</v>
      </c>
      <c r="I216" s="1">
        <v>4500</v>
      </c>
      <c r="J216" s="1">
        <v>5</v>
      </c>
      <c r="K216" s="1">
        <v>0</v>
      </c>
      <c r="L216" s="1">
        <v>0</v>
      </c>
      <c r="M216" s="1" t="s">
        <v>1941</v>
      </c>
      <c r="N216" s="1" t="s">
        <v>698</v>
      </c>
      <c r="O216" s="1">
        <v>0</v>
      </c>
      <c r="P216" s="1" t="s">
        <v>2079</v>
      </c>
      <c r="Q216" s="7" t="s">
        <v>2454</v>
      </c>
    </row>
    <row r="217" spans="1:17" ht="14.25" thickBot="1">
      <c r="A217" s="1" t="s">
        <v>246</v>
      </c>
      <c r="B217" s="2">
        <v>0</v>
      </c>
      <c r="C217" s="9" t="s">
        <v>2042</v>
      </c>
      <c r="D217" s="1" t="s">
        <v>13</v>
      </c>
      <c r="E217" s="1">
        <f>INDEX([1]游戏类型定义!$C$20:$C$29,MATCH(D217,[1]!装备部位,0))</f>
        <v>6</v>
      </c>
      <c r="F217" s="1">
        <v>1</v>
      </c>
      <c r="G217" s="1">
        <v>45</v>
      </c>
      <c r="H217" s="10" t="s">
        <v>2321</v>
      </c>
      <c r="I217" s="1">
        <v>4800</v>
      </c>
      <c r="J217" s="1">
        <v>5</v>
      </c>
      <c r="K217" s="1">
        <v>0</v>
      </c>
      <c r="L217" s="1">
        <v>0</v>
      </c>
      <c r="M217" s="1" t="s">
        <v>1942</v>
      </c>
      <c r="N217" s="1" t="s">
        <v>698</v>
      </c>
      <c r="O217" s="1">
        <v>0</v>
      </c>
      <c r="P217" s="1" t="s">
        <v>2079</v>
      </c>
      <c r="Q217" s="7" t="s">
        <v>2060</v>
      </c>
    </row>
    <row r="218" spans="1:17" ht="14.25" thickBot="1">
      <c r="A218" s="1" t="s">
        <v>247</v>
      </c>
      <c r="B218" s="3">
        <v>1</v>
      </c>
      <c r="C218" s="9" t="s">
        <v>2257</v>
      </c>
      <c r="D218" s="1" t="s">
        <v>12</v>
      </c>
      <c r="E218" s="1">
        <f>INDEX([1]游戏类型定义!$C$20:$C$29,MATCH(D218,[1]!装备部位,0))</f>
        <v>5</v>
      </c>
      <c r="F218" s="1">
        <v>1</v>
      </c>
      <c r="G218" s="1">
        <v>45</v>
      </c>
      <c r="H218" s="10" t="s">
        <v>2322</v>
      </c>
      <c r="I218" s="1">
        <v>4500</v>
      </c>
      <c r="J218" s="1">
        <v>5</v>
      </c>
      <c r="K218" s="1">
        <v>0</v>
      </c>
      <c r="L218" s="1">
        <v>0</v>
      </c>
      <c r="M218" s="1" t="s">
        <v>2024</v>
      </c>
      <c r="N218" s="1" t="s">
        <v>698</v>
      </c>
      <c r="O218" s="1">
        <v>0</v>
      </c>
      <c r="P218" s="1" t="s">
        <v>2079</v>
      </c>
      <c r="Q218" s="7" t="s">
        <v>2455</v>
      </c>
    </row>
    <row r="219" spans="1:17" ht="14.25" thickBot="1">
      <c r="A219" s="1" t="s">
        <v>248</v>
      </c>
      <c r="B219" s="3">
        <v>1</v>
      </c>
      <c r="C219" s="9" t="s">
        <v>2264</v>
      </c>
      <c r="D219" s="1" t="s">
        <v>12</v>
      </c>
      <c r="E219" s="1">
        <f>INDEX([1]游戏类型定义!$C$20:$C$29,MATCH(D219,[1]!装备部位,0))</f>
        <v>5</v>
      </c>
      <c r="F219" s="1">
        <v>1</v>
      </c>
      <c r="G219" s="1">
        <v>45</v>
      </c>
      <c r="H219" s="10" t="s">
        <v>2322</v>
      </c>
      <c r="I219" s="1">
        <v>4800</v>
      </c>
      <c r="J219" s="1">
        <v>5</v>
      </c>
      <c r="K219" s="1">
        <v>0</v>
      </c>
      <c r="L219" s="1">
        <v>0</v>
      </c>
      <c r="M219" s="1" t="s">
        <v>2025</v>
      </c>
      <c r="N219" s="1" t="s">
        <v>698</v>
      </c>
      <c r="O219" s="1">
        <v>0</v>
      </c>
      <c r="P219" s="1" t="s">
        <v>2079</v>
      </c>
      <c r="Q219" s="7" t="s">
        <v>2456</v>
      </c>
    </row>
    <row r="220" spans="1:17" ht="14.25" thickBot="1">
      <c r="A220" s="1" t="s">
        <v>249</v>
      </c>
      <c r="B220" s="3">
        <v>1</v>
      </c>
      <c r="C220" s="9" t="s">
        <v>2266</v>
      </c>
      <c r="D220" s="1" t="s">
        <v>13</v>
      </c>
      <c r="E220" s="1">
        <f>INDEX([1]游戏类型定义!$C$20:$C$29,MATCH(D220,[1]!装备部位,0))</f>
        <v>6</v>
      </c>
      <c r="F220" s="1">
        <v>1</v>
      </c>
      <c r="G220" s="1">
        <v>45</v>
      </c>
      <c r="H220" s="10" t="s">
        <v>2322</v>
      </c>
      <c r="I220" s="1">
        <v>4500</v>
      </c>
      <c r="J220" s="1">
        <v>5</v>
      </c>
      <c r="K220" s="1">
        <v>0</v>
      </c>
      <c r="L220" s="1">
        <v>0</v>
      </c>
      <c r="M220" s="1" t="s">
        <v>1943</v>
      </c>
      <c r="N220" s="1" t="s">
        <v>698</v>
      </c>
      <c r="O220" s="1">
        <v>0</v>
      </c>
      <c r="P220" s="1" t="s">
        <v>2079</v>
      </c>
      <c r="Q220" s="7" t="s">
        <v>2457</v>
      </c>
    </row>
    <row r="221" spans="1:17" ht="14.25" thickBot="1">
      <c r="A221" s="1" t="s">
        <v>250</v>
      </c>
      <c r="B221" s="2">
        <v>0</v>
      </c>
      <c r="C221" s="9" t="s">
        <v>2050</v>
      </c>
      <c r="D221" s="1" t="s">
        <v>13</v>
      </c>
      <c r="E221" s="1">
        <f>INDEX([1]游戏类型定义!$C$20:$C$29,MATCH(D221,[1]!装备部位,0))</f>
        <v>6</v>
      </c>
      <c r="F221" s="1">
        <v>1</v>
      </c>
      <c r="G221" s="1">
        <v>45</v>
      </c>
      <c r="H221" s="10" t="s">
        <v>2322</v>
      </c>
      <c r="I221" s="1">
        <v>4800</v>
      </c>
      <c r="J221" s="1">
        <v>5</v>
      </c>
      <c r="K221" s="1">
        <v>0</v>
      </c>
      <c r="L221" s="1">
        <v>0</v>
      </c>
      <c r="M221" s="1" t="s">
        <v>1944</v>
      </c>
      <c r="N221" s="1" t="s">
        <v>698</v>
      </c>
      <c r="O221" s="1">
        <v>0</v>
      </c>
      <c r="P221" s="1" t="s">
        <v>2079</v>
      </c>
      <c r="Q221" s="7" t="s">
        <v>2062</v>
      </c>
    </row>
    <row r="222" spans="1:17" ht="14.25" thickBot="1">
      <c r="A222" s="1" t="s">
        <v>251</v>
      </c>
      <c r="B222" s="3">
        <v>1</v>
      </c>
      <c r="C222" s="1" t="s">
        <v>2168</v>
      </c>
      <c r="D222" s="1" t="s">
        <v>11</v>
      </c>
      <c r="E222" s="1">
        <f>INDEX([1]游戏类型定义!$C$20:$C$29,MATCH(D222,[1]!装备部位,0))</f>
        <v>4</v>
      </c>
      <c r="F222" s="1">
        <v>1</v>
      </c>
      <c r="G222" s="1">
        <v>45</v>
      </c>
      <c r="H222" s="10">
        <v>0</v>
      </c>
      <c r="I222" s="1">
        <v>4500</v>
      </c>
      <c r="J222" s="1">
        <v>5</v>
      </c>
      <c r="K222" s="1">
        <v>0</v>
      </c>
      <c r="L222" s="1">
        <v>0</v>
      </c>
      <c r="M222" s="1" t="s">
        <v>1945</v>
      </c>
      <c r="N222" s="1" t="s">
        <v>698</v>
      </c>
      <c r="O222" s="1">
        <v>0</v>
      </c>
      <c r="P222" s="1" t="s">
        <v>2079</v>
      </c>
      <c r="Q222" s="7" t="s">
        <v>2458</v>
      </c>
    </row>
    <row r="223" spans="1:17" ht="14.25" thickBot="1">
      <c r="A223" s="1" t="s">
        <v>252</v>
      </c>
      <c r="B223" s="3">
        <v>1</v>
      </c>
      <c r="C223" s="1" t="s">
        <v>2169</v>
      </c>
      <c r="D223" s="1" t="s">
        <v>11</v>
      </c>
      <c r="E223" s="1">
        <f>INDEX([1]游戏类型定义!$C$20:$C$29,MATCH(D223,[1]!装备部位,0))</f>
        <v>4</v>
      </c>
      <c r="F223" s="1">
        <v>1</v>
      </c>
      <c r="G223" s="1">
        <v>45</v>
      </c>
      <c r="H223" s="10">
        <v>0</v>
      </c>
      <c r="I223" s="1">
        <v>4800</v>
      </c>
      <c r="J223" s="1">
        <v>5</v>
      </c>
      <c r="K223" s="1">
        <v>0</v>
      </c>
      <c r="L223" s="1">
        <v>0</v>
      </c>
      <c r="M223" s="1" t="s">
        <v>1946</v>
      </c>
      <c r="N223" s="1" t="s">
        <v>698</v>
      </c>
      <c r="O223" s="1">
        <v>0</v>
      </c>
      <c r="P223" s="1" t="s">
        <v>2079</v>
      </c>
      <c r="Q223" s="7" t="s">
        <v>2459</v>
      </c>
    </row>
    <row r="224" spans="1:17" ht="14.25" thickBot="1">
      <c r="A224" s="1" t="s">
        <v>253</v>
      </c>
      <c r="B224" s="3">
        <v>1</v>
      </c>
      <c r="C224" s="1" t="s">
        <v>2186</v>
      </c>
      <c r="D224" s="1" t="s">
        <v>14</v>
      </c>
      <c r="E224" s="1">
        <f>INDEX([1]游戏类型定义!$C$20:$C$29,MATCH(D224,[1]!装备部位,0))</f>
        <v>7</v>
      </c>
      <c r="F224" s="1">
        <v>1</v>
      </c>
      <c r="G224" s="1">
        <v>45</v>
      </c>
      <c r="H224" s="10">
        <v>0</v>
      </c>
      <c r="I224" s="1">
        <v>4500</v>
      </c>
      <c r="J224" s="1">
        <v>5</v>
      </c>
      <c r="K224" s="1">
        <v>0</v>
      </c>
      <c r="L224" s="1">
        <v>0</v>
      </c>
      <c r="M224" s="1" t="s">
        <v>1931</v>
      </c>
      <c r="N224" s="1" t="s">
        <v>698</v>
      </c>
      <c r="O224" s="1">
        <v>0</v>
      </c>
      <c r="P224" s="1" t="s">
        <v>2079</v>
      </c>
      <c r="Q224" s="7" t="s">
        <v>2460</v>
      </c>
    </row>
    <row r="225" spans="1:17" ht="14.25" thickBot="1">
      <c r="A225" s="1" t="s">
        <v>254</v>
      </c>
      <c r="B225" s="3">
        <v>1</v>
      </c>
      <c r="C225" s="1" t="s">
        <v>2187</v>
      </c>
      <c r="D225" s="1" t="s">
        <v>14</v>
      </c>
      <c r="E225" s="1">
        <f>INDEX([1]游戏类型定义!$C$20:$C$29,MATCH(D225,[1]!装备部位,0))</f>
        <v>7</v>
      </c>
      <c r="F225" s="1">
        <v>1</v>
      </c>
      <c r="G225" s="1">
        <v>45</v>
      </c>
      <c r="H225" s="10">
        <v>0</v>
      </c>
      <c r="I225" s="1">
        <v>4800</v>
      </c>
      <c r="J225" s="1">
        <v>5</v>
      </c>
      <c r="K225" s="1">
        <v>0</v>
      </c>
      <c r="L225" s="1">
        <v>0</v>
      </c>
      <c r="M225" s="1" t="s">
        <v>1932</v>
      </c>
      <c r="N225" s="1" t="s">
        <v>698</v>
      </c>
      <c r="O225" s="1">
        <v>0</v>
      </c>
      <c r="P225" s="1" t="s">
        <v>2079</v>
      </c>
      <c r="Q225" s="7" t="s">
        <v>2461</v>
      </c>
    </row>
    <row r="226" spans="1:17" ht="14.25" thickBot="1">
      <c r="A226" s="1" t="s">
        <v>255</v>
      </c>
      <c r="B226" s="3">
        <v>1</v>
      </c>
      <c r="C226" s="1" t="s">
        <v>2105</v>
      </c>
      <c r="D226" s="1" t="s">
        <v>8</v>
      </c>
      <c r="E226" s="1">
        <f>INDEX([1]游戏类型定义!$C$20:$C$29,MATCH(D226,[1]!装备部位,0))</f>
        <v>1</v>
      </c>
      <c r="F226" s="1">
        <v>1</v>
      </c>
      <c r="G226" s="1">
        <v>50</v>
      </c>
      <c r="H226" s="10">
        <v>0</v>
      </c>
      <c r="I226" s="1">
        <v>5000</v>
      </c>
      <c r="J226" s="1">
        <v>5</v>
      </c>
      <c r="K226" s="1">
        <v>0</v>
      </c>
      <c r="L226" s="1">
        <v>0</v>
      </c>
      <c r="M226" s="1" t="s">
        <v>1947</v>
      </c>
      <c r="N226" s="1" t="s">
        <v>698</v>
      </c>
      <c r="O226" s="1">
        <v>0</v>
      </c>
      <c r="P226" s="1" t="s">
        <v>2080</v>
      </c>
      <c r="Q226" s="7" t="s">
        <v>2462</v>
      </c>
    </row>
    <row r="227" spans="1:17" ht="14.25" thickBot="1">
      <c r="A227" s="1" t="s">
        <v>256</v>
      </c>
      <c r="B227" s="3">
        <v>1</v>
      </c>
      <c r="C227" s="1" t="s">
        <v>2115</v>
      </c>
      <c r="D227" s="1" t="s">
        <v>9</v>
      </c>
      <c r="E227" s="1">
        <f>INDEX([1]游戏类型定义!$C$20:$C$29,MATCH(D227,[1]!装备部位,0))</f>
        <v>2</v>
      </c>
      <c r="F227" s="1">
        <v>1</v>
      </c>
      <c r="G227" s="1">
        <v>50</v>
      </c>
      <c r="H227" s="10">
        <v>0</v>
      </c>
      <c r="I227" s="1">
        <v>5000</v>
      </c>
      <c r="J227" s="1">
        <v>5</v>
      </c>
      <c r="K227" s="1">
        <v>0</v>
      </c>
      <c r="L227" s="1">
        <v>0</v>
      </c>
      <c r="M227" s="1" t="s">
        <v>1948</v>
      </c>
      <c r="N227" s="1" t="s">
        <v>698</v>
      </c>
      <c r="O227" s="1">
        <v>0</v>
      </c>
      <c r="P227" s="1" t="s">
        <v>2080</v>
      </c>
      <c r="Q227" s="7" t="s">
        <v>2463</v>
      </c>
    </row>
    <row r="228" spans="1:17" ht="14.25" thickBot="1">
      <c r="A228" s="1" t="s">
        <v>257</v>
      </c>
      <c r="B228" s="3">
        <v>1</v>
      </c>
      <c r="C228" s="1" t="s">
        <v>2092</v>
      </c>
      <c r="D228" s="1" t="s">
        <v>10</v>
      </c>
      <c r="E228" s="1">
        <f>INDEX([1]游戏类型定义!$C$20:$C$29,MATCH(D228,[1]!装备部位,0))</f>
        <v>3</v>
      </c>
      <c r="F228" s="1">
        <v>1</v>
      </c>
      <c r="G228" s="1">
        <v>50</v>
      </c>
      <c r="H228" s="10">
        <v>0</v>
      </c>
      <c r="I228" s="1">
        <v>5000</v>
      </c>
      <c r="J228" s="1">
        <v>5</v>
      </c>
      <c r="K228" s="1">
        <v>0</v>
      </c>
      <c r="L228" s="1">
        <v>0</v>
      </c>
      <c r="M228" s="1" t="s">
        <v>1949</v>
      </c>
      <c r="N228" s="1" t="s">
        <v>698</v>
      </c>
      <c r="O228" s="1">
        <v>0</v>
      </c>
      <c r="P228" s="1" t="s">
        <v>2080</v>
      </c>
      <c r="Q228" s="7" t="s">
        <v>2464</v>
      </c>
    </row>
    <row r="229" spans="1:17" ht="14.25" thickBot="1">
      <c r="A229" s="1" t="s">
        <v>258</v>
      </c>
      <c r="B229" s="2">
        <v>0</v>
      </c>
      <c r="C229" s="1" t="s">
        <v>2127</v>
      </c>
      <c r="D229" s="1" t="s">
        <v>15</v>
      </c>
      <c r="E229" s="1">
        <f>INDEX([1]游戏类型定义!$C$20:$C$29,MATCH(D229,[1]!装备部位,0))</f>
        <v>8</v>
      </c>
      <c r="F229" s="1">
        <v>1</v>
      </c>
      <c r="G229" s="1">
        <v>50</v>
      </c>
      <c r="H229" s="10">
        <v>0</v>
      </c>
      <c r="I229" s="1">
        <v>5000</v>
      </c>
      <c r="J229" s="1">
        <v>5</v>
      </c>
      <c r="K229" s="1">
        <v>0</v>
      </c>
      <c r="L229" s="1">
        <v>0</v>
      </c>
      <c r="M229" s="1" t="s">
        <v>1950</v>
      </c>
      <c r="N229" s="1" t="s">
        <v>698</v>
      </c>
      <c r="O229" s="1">
        <v>0</v>
      </c>
      <c r="P229" s="1" t="s">
        <v>2080</v>
      </c>
      <c r="Q229" s="7" t="s">
        <v>2054</v>
      </c>
    </row>
    <row r="230" spans="1:17" ht="14.25" thickBot="1">
      <c r="A230" s="1" t="s">
        <v>259</v>
      </c>
      <c r="B230" s="3">
        <v>1</v>
      </c>
      <c r="C230" s="1" t="s">
        <v>2137</v>
      </c>
      <c r="D230" s="1" t="s">
        <v>16</v>
      </c>
      <c r="E230" s="1">
        <f>INDEX([1]游戏类型定义!$C$20:$C$29,MATCH(D230,[1]!装备部位,0))</f>
        <v>9</v>
      </c>
      <c r="F230" s="1">
        <v>1</v>
      </c>
      <c r="G230" s="1">
        <v>50</v>
      </c>
      <c r="H230" s="10">
        <v>0</v>
      </c>
      <c r="I230" s="1">
        <v>5000</v>
      </c>
      <c r="J230" s="1">
        <v>5</v>
      </c>
      <c r="K230" s="1">
        <v>0</v>
      </c>
      <c r="L230" s="1">
        <v>0</v>
      </c>
      <c r="M230" s="1" t="s">
        <v>1951</v>
      </c>
      <c r="N230" s="1" t="s">
        <v>698</v>
      </c>
      <c r="O230" s="1">
        <v>0</v>
      </c>
      <c r="P230" s="1" t="s">
        <v>2080</v>
      </c>
      <c r="Q230" s="7" t="s">
        <v>2465</v>
      </c>
    </row>
    <row r="231" spans="1:17" ht="14.25" thickBot="1">
      <c r="A231" s="1" t="s">
        <v>260</v>
      </c>
      <c r="B231" s="3">
        <v>1</v>
      </c>
      <c r="C231" s="1" t="s">
        <v>2152</v>
      </c>
      <c r="D231" s="1" t="s">
        <v>17</v>
      </c>
      <c r="E231" s="1">
        <f>INDEX([1]游戏类型定义!$C$20:$C$29,MATCH(D231,[1]!装备部位,0))</f>
        <v>10</v>
      </c>
      <c r="F231" s="1">
        <v>1</v>
      </c>
      <c r="G231" s="1">
        <v>50</v>
      </c>
      <c r="H231" s="10">
        <v>0</v>
      </c>
      <c r="I231" s="1">
        <v>5000</v>
      </c>
      <c r="J231" s="1">
        <v>5</v>
      </c>
      <c r="K231" s="1">
        <v>0</v>
      </c>
      <c r="L231" s="1">
        <v>0</v>
      </c>
      <c r="M231" s="1" t="s">
        <v>1952</v>
      </c>
      <c r="N231" s="1" t="s">
        <v>698</v>
      </c>
      <c r="O231" s="1">
        <v>0</v>
      </c>
      <c r="P231" s="1" t="s">
        <v>2080</v>
      </c>
      <c r="Q231" s="7" t="s">
        <v>2466</v>
      </c>
    </row>
    <row r="232" spans="1:17" ht="14.25" thickBot="1">
      <c r="A232" s="1" t="s">
        <v>261</v>
      </c>
      <c r="B232" s="3">
        <v>1</v>
      </c>
      <c r="C232" s="9" t="s">
        <v>2269</v>
      </c>
      <c r="D232" s="1" t="s">
        <v>12</v>
      </c>
      <c r="E232" s="1">
        <f>INDEX([1]游戏类型定义!$C$20:$C$29,MATCH(D232,[1]!装备部位,0))</f>
        <v>5</v>
      </c>
      <c r="F232" s="1">
        <v>1</v>
      </c>
      <c r="G232" s="1">
        <v>50</v>
      </c>
      <c r="H232" s="10" t="s">
        <v>2320</v>
      </c>
      <c r="I232" s="1">
        <v>5000</v>
      </c>
      <c r="J232" s="1">
        <v>5</v>
      </c>
      <c r="K232" s="1">
        <v>0</v>
      </c>
      <c r="L232" s="1">
        <v>0</v>
      </c>
      <c r="M232" s="1" t="s">
        <v>1953</v>
      </c>
      <c r="N232" s="1" t="s">
        <v>698</v>
      </c>
      <c r="O232" s="1">
        <v>0</v>
      </c>
      <c r="P232" s="1" t="s">
        <v>2080</v>
      </c>
      <c r="Q232" s="7" t="s">
        <v>2467</v>
      </c>
    </row>
    <row r="233" spans="1:17" ht="14.25" thickBot="1">
      <c r="A233" s="1" t="s">
        <v>262</v>
      </c>
      <c r="B233" s="3">
        <v>1</v>
      </c>
      <c r="C233" s="9" t="s">
        <v>2267</v>
      </c>
      <c r="D233" s="1" t="s">
        <v>12</v>
      </c>
      <c r="E233" s="1">
        <f>INDEX([1]游戏类型定义!$C$20:$C$29,MATCH(D233,[1]!装备部位,0))</f>
        <v>5</v>
      </c>
      <c r="F233" s="1">
        <v>1</v>
      </c>
      <c r="G233" s="1">
        <v>50</v>
      </c>
      <c r="H233" s="10" t="s">
        <v>2320</v>
      </c>
      <c r="I233" s="1">
        <v>5300</v>
      </c>
      <c r="J233" s="1">
        <v>5</v>
      </c>
      <c r="K233" s="1">
        <v>0</v>
      </c>
      <c r="L233" s="1">
        <v>0</v>
      </c>
      <c r="M233" s="1" t="s">
        <v>1954</v>
      </c>
      <c r="N233" s="1" t="s">
        <v>698</v>
      </c>
      <c r="O233" s="1">
        <v>0</v>
      </c>
      <c r="P233" s="1" t="s">
        <v>2080</v>
      </c>
      <c r="Q233" s="7" t="s">
        <v>2468</v>
      </c>
    </row>
    <row r="234" spans="1:17" ht="14.25" thickBot="1">
      <c r="A234" s="1" t="s">
        <v>263</v>
      </c>
      <c r="B234" s="3">
        <v>1</v>
      </c>
      <c r="C234" s="9" t="s">
        <v>2268</v>
      </c>
      <c r="D234" s="1" t="s">
        <v>13</v>
      </c>
      <c r="E234" s="1">
        <f>INDEX([1]游戏类型定义!$C$20:$C$29,MATCH(D234,[1]!装备部位,0))</f>
        <v>6</v>
      </c>
      <c r="F234" s="1">
        <v>1</v>
      </c>
      <c r="G234" s="1">
        <v>50</v>
      </c>
      <c r="H234" s="10" t="s">
        <v>2320</v>
      </c>
      <c r="I234" s="1">
        <v>5000</v>
      </c>
      <c r="J234" s="1">
        <v>5</v>
      </c>
      <c r="K234" s="1">
        <v>0</v>
      </c>
      <c r="L234" s="1">
        <v>0</v>
      </c>
      <c r="M234" s="1" t="s">
        <v>1955</v>
      </c>
      <c r="N234" s="1" t="s">
        <v>698</v>
      </c>
      <c r="O234" s="1">
        <v>0</v>
      </c>
      <c r="P234" s="1" t="s">
        <v>2080</v>
      </c>
      <c r="Q234" s="7" t="s">
        <v>2469</v>
      </c>
    </row>
    <row r="235" spans="1:17" ht="14.25" thickBot="1">
      <c r="A235" s="1" t="s">
        <v>264</v>
      </c>
      <c r="B235" s="3">
        <v>1</v>
      </c>
      <c r="C235" s="9" t="s">
        <v>2271</v>
      </c>
      <c r="D235" s="1" t="s">
        <v>13</v>
      </c>
      <c r="E235" s="1">
        <f>INDEX([1]游戏类型定义!$C$20:$C$29,MATCH(D235,[1]!装备部位,0))</f>
        <v>6</v>
      </c>
      <c r="F235" s="1">
        <v>1</v>
      </c>
      <c r="G235" s="1">
        <v>50</v>
      </c>
      <c r="H235" s="10" t="s">
        <v>2320</v>
      </c>
      <c r="I235" s="1">
        <v>5300</v>
      </c>
      <c r="J235" s="1">
        <v>5</v>
      </c>
      <c r="K235" s="1">
        <v>0</v>
      </c>
      <c r="L235" s="1">
        <v>0</v>
      </c>
      <c r="M235" s="1" t="s">
        <v>1956</v>
      </c>
      <c r="N235" s="1" t="s">
        <v>698</v>
      </c>
      <c r="O235" s="1">
        <v>0</v>
      </c>
      <c r="P235" s="1" t="s">
        <v>2080</v>
      </c>
      <c r="Q235" s="7" t="s">
        <v>2470</v>
      </c>
    </row>
    <row r="236" spans="1:17" ht="14.25" thickBot="1">
      <c r="A236" s="1" t="s">
        <v>265</v>
      </c>
      <c r="B236" s="3">
        <v>1</v>
      </c>
      <c r="C236" s="1" t="s">
        <v>2270</v>
      </c>
      <c r="D236" s="1" t="s">
        <v>12</v>
      </c>
      <c r="E236" s="1">
        <f>INDEX([1]游戏类型定义!$C$20:$C$29,MATCH(D236,[1]!装备部位,0))</f>
        <v>5</v>
      </c>
      <c r="F236" s="1">
        <v>1</v>
      </c>
      <c r="G236" s="1">
        <v>50</v>
      </c>
      <c r="H236" s="10" t="s">
        <v>2321</v>
      </c>
      <c r="I236" s="1">
        <v>5000</v>
      </c>
      <c r="J236" s="1">
        <v>5</v>
      </c>
      <c r="K236" s="1">
        <v>0</v>
      </c>
      <c r="L236" s="1">
        <v>0</v>
      </c>
      <c r="M236" s="1" t="s">
        <v>1953</v>
      </c>
      <c r="N236" s="1" t="s">
        <v>698</v>
      </c>
      <c r="O236" s="1">
        <v>0</v>
      </c>
      <c r="P236" s="1" t="s">
        <v>2080</v>
      </c>
      <c r="Q236" s="7" t="s">
        <v>2471</v>
      </c>
    </row>
    <row r="237" spans="1:17" ht="14.25" thickBot="1">
      <c r="A237" s="1" t="s">
        <v>266</v>
      </c>
      <c r="B237" s="3">
        <v>1</v>
      </c>
      <c r="C237" s="1" t="s">
        <v>2318</v>
      </c>
      <c r="D237" s="1" t="s">
        <v>12</v>
      </c>
      <c r="E237" s="1">
        <f>INDEX([1]游戏类型定义!$C$20:$C$29,MATCH(D237,[1]!装备部位,0))</f>
        <v>5</v>
      </c>
      <c r="F237" s="1">
        <v>1</v>
      </c>
      <c r="G237" s="1">
        <v>50</v>
      </c>
      <c r="H237" s="10" t="s">
        <v>2321</v>
      </c>
      <c r="I237" s="1">
        <v>5300</v>
      </c>
      <c r="J237" s="1">
        <v>5</v>
      </c>
      <c r="K237" s="1">
        <v>0</v>
      </c>
      <c r="L237" s="1">
        <v>0</v>
      </c>
      <c r="M237" s="1" t="s">
        <v>1954</v>
      </c>
      <c r="N237" s="1" t="s">
        <v>698</v>
      </c>
      <c r="O237" s="1">
        <v>0</v>
      </c>
      <c r="P237" s="1" t="s">
        <v>2080</v>
      </c>
      <c r="Q237" s="7" t="s">
        <v>2472</v>
      </c>
    </row>
    <row r="238" spans="1:17" ht="14.25" thickBot="1">
      <c r="A238" s="1" t="s">
        <v>267</v>
      </c>
      <c r="B238" s="3">
        <v>1</v>
      </c>
      <c r="C238" s="9" t="s">
        <v>2272</v>
      </c>
      <c r="D238" s="1" t="s">
        <v>13</v>
      </c>
      <c r="E238" s="1">
        <f>INDEX([1]游戏类型定义!$C$20:$C$29,MATCH(D238,[1]!装备部位,0))</f>
        <v>6</v>
      </c>
      <c r="F238" s="1">
        <v>1</v>
      </c>
      <c r="G238" s="1">
        <v>50</v>
      </c>
      <c r="H238" s="10" t="s">
        <v>2321</v>
      </c>
      <c r="I238" s="1">
        <v>5000</v>
      </c>
      <c r="J238" s="1">
        <v>5</v>
      </c>
      <c r="K238" s="1">
        <v>0</v>
      </c>
      <c r="L238" s="1">
        <v>0</v>
      </c>
      <c r="M238" s="1" t="s">
        <v>1957</v>
      </c>
      <c r="N238" s="1" t="s">
        <v>698</v>
      </c>
      <c r="O238" s="1">
        <v>0</v>
      </c>
      <c r="P238" s="1" t="s">
        <v>2080</v>
      </c>
      <c r="Q238" s="7" t="s">
        <v>2473</v>
      </c>
    </row>
    <row r="239" spans="1:17" ht="14.25" thickBot="1">
      <c r="A239" s="1" t="s">
        <v>268</v>
      </c>
      <c r="B239" s="3">
        <v>1</v>
      </c>
      <c r="C239" s="9" t="s">
        <v>2273</v>
      </c>
      <c r="D239" s="1" t="s">
        <v>13</v>
      </c>
      <c r="E239" s="1">
        <f>INDEX([1]游戏类型定义!$C$20:$C$29,MATCH(D239,[1]!装备部位,0))</f>
        <v>6</v>
      </c>
      <c r="F239" s="1">
        <v>1</v>
      </c>
      <c r="G239" s="1">
        <v>50</v>
      </c>
      <c r="H239" s="10" t="s">
        <v>2321</v>
      </c>
      <c r="I239" s="1">
        <v>5300</v>
      </c>
      <c r="J239" s="1">
        <v>5</v>
      </c>
      <c r="K239" s="1">
        <v>0</v>
      </c>
      <c r="L239" s="1">
        <v>0</v>
      </c>
      <c r="M239" s="1" t="s">
        <v>1958</v>
      </c>
      <c r="N239" s="1" t="s">
        <v>698</v>
      </c>
      <c r="O239" s="1">
        <v>0</v>
      </c>
      <c r="P239" s="1" t="s">
        <v>2080</v>
      </c>
      <c r="Q239" s="7" t="s">
        <v>2474</v>
      </c>
    </row>
    <row r="240" spans="1:17" ht="14.25" thickBot="1">
      <c r="A240" s="1" t="s">
        <v>269</v>
      </c>
      <c r="B240" s="3">
        <v>1</v>
      </c>
      <c r="C240" s="9" t="s">
        <v>2265</v>
      </c>
      <c r="D240" s="1" t="s">
        <v>12</v>
      </c>
      <c r="E240" s="1">
        <f>INDEX([1]游戏类型定义!$C$20:$C$29,MATCH(D240,[1]!装备部位,0))</f>
        <v>5</v>
      </c>
      <c r="F240" s="1">
        <v>1</v>
      </c>
      <c r="G240" s="1">
        <v>50</v>
      </c>
      <c r="H240" s="10" t="s">
        <v>2322</v>
      </c>
      <c r="I240" s="1">
        <v>5000</v>
      </c>
      <c r="J240" s="1">
        <v>5</v>
      </c>
      <c r="K240" s="1">
        <v>0</v>
      </c>
      <c r="L240" s="1">
        <v>0</v>
      </c>
      <c r="M240" s="1" t="s">
        <v>1953</v>
      </c>
      <c r="N240" s="1" t="s">
        <v>698</v>
      </c>
      <c r="O240" s="1">
        <v>0</v>
      </c>
      <c r="P240" s="1" t="s">
        <v>2080</v>
      </c>
      <c r="Q240" s="7" t="s">
        <v>2475</v>
      </c>
    </row>
    <row r="241" spans="1:17" ht="14.25" thickBot="1">
      <c r="A241" s="1" t="s">
        <v>270</v>
      </c>
      <c r="B241" s="3">
        <v>1</v>
      </c>
      <c r="C241" s="9" t="s">
        <v>2290</v>
      </c>
      <c r="D241" s="1" t="s">
        <v>12</v>
      </c>
      <c r="E241" s="1">
        <f>INDEX([1]游戏类型定义!$C$20:$C$29,MATCH(D241,[1]!装备部位,0))</f>
        <v>5</v>
      </c>
      <c r="F241" s="1">
        <v>1</v>
      </c>
      <c r="G241" s="1">
        <v>50</v>
      </c>
      <c r="H241" s="10" t="s">
        <v>2322</v>
      </c>
      <c r="I241" s="1">
        <v>5300</v>
      </c>
      <c r="J241" s="1">
        <v>5</v>
      </c>
      <c r="K241" s="1">
        <v>0</v>
      </c>
      <c r="L241" s="1">
        <v>0</v>
      </c>
      <c r="M241" s="1" t="s">
        <v>1954</v>
      </c>
      <c r="N241" s="1" t="s">
        <v>698</v>
      </c>
      <c r="O241" s="1">
        <v>0</v>
      </c>
      <c r="P241" s="1" t="s">
        <v>2080</v>
      </c>
      <c r="Q241" s="7" t="s">
        <v>2476</v>
      </c>
    </row>
    <row r="242" spans="1:17" ht="14.25" thickBot="1">
      <c r="A242" s="1" t="s">
        <v>271</v>
      </c>
      <c r="B242" s="3">
        <v>1</v>
      </c>
      <c r="C242" s="9" t="s">
        <v>2275</v>
      </c>
      <c r="D242" s="1" t="s">
        <v>13</v>
      </c>
      <c r="E242" s="1">
        <f>INDEX([1]游戏类型定义!$C$20:$C$29,MATCH(D242,[1]!装备部位,0))</f>
        <v>6</v>
      </c>
      <c r="F242" s="1">
        <v>1</v>
      </c>
      <c r="G242" s="1">
        <v>50</v>
      </c>
      <c r="H242" s="10" t="s">
        <v>2322</v>
      </c>
      <c r="I242" s="1">
        <v>5000</v>
      </c>
      <c r="J242" s="1">
        <v>5</v>
      </c>
      <c r="K242" s="1">
        <v>0</v>
      </c>
      <c r="L242" s="1">
        <v>0</v>
      </c>
      <c r="M242" s="1" t="s">
        <v>1959</v>
      </c>
      <c r="N242" s="1" t="s">
        <v>698</v>
      </c>
      <c r="O242" s="1">
        <v>0</v>
      </c>
      <c r="P242" s="1" t="s">
        <v>2080</v>
      </c>
      <c r="Q242" s="7" t="s">
        <v>2477</v>
      </c>
    </row>
    <row r="243" spans="1:17" ht="14.25" thickBot="1">
      <c r="A243" s="1" t="s">
        <v>272</v>
      </c>
      <c r="B243" s="3">
        <v>1</v>
      </c>
      <c r="C243" s="9" t="s">
        <v>2276</v>
      </c>
      <c r="D243" s="1" t="s">
        <v>13</v>
      </c>
      <c r="E243" s="1">
        <f>INDEX([1]游戏类型定义!$C$20:$C$29,MATCH(D243,[1]!装备部位,0))</f>
        <v>6</v>
      </c>
      <c r="F243" s="1">
        <v>1</v>
      </c>
      <c r="G243" s="1">
        <v>50</v>
      </c>
      <c r="H243" s="10" t="s">
        <v>2322</v>
      </c>
      <c r="I243" s="1">
        <v>5300</v>
      </c>
      <c r="J243" s="1">
        <v>5</v>
      </c>
      <c r="K243" s="1">
        <v>0</v>
      </c>
      <c r="L243" s="1">
        <v>0</v>
      </c>
      <c r="M243" s="1" t="s">
        <v>1960</v>
      </c>
      <c r="N243" s="1" t="s">
        <v>698</v>
      </c>
      <c r="O243" s="1">
        <v>0</v>
      </c>
      <c r="P243" s="1" t="s">
        <v>2080</v>
      </c>
      <c r="Q243" s="7" t="s">
        <v>2478</v>
      </c>
    </row>
    <row r="244" spans="1:17" ht="14.25" thickBot="1">
      <c r="A244" s="1" t="s">
        <v>273</v>
      </c>
      <c r="B244" s="2">
        <v>0</v>
      </c>
      <c r="C244" s="1" t="s">
        <v>2030</v>
      </c>
      <c r="D244" s="1" t="s">
        <v>11</v>
      </c>
      <c r="E244" s="1">
        <f>INDEX([1]游戏类型定义!$C$20:$C$29,MATCH(D244,[1]!装备部位,0))</f>
        <v>4</v>
      </c>
      <c r="F244" s="1">
        <v>1</v>
      </c>
      <c r="G244" s="1">
        <v>50</v>
      </c>
      <c r="H244" s="10">
        <v>0</v>
      </c>
      <c r="I244" s="1">
        <v>5000</v>
      </c>
      <c r="J244" s="1">
        <v>5</v>
      </c>
      <c r="K244" s="1">
        <v>0</v>
      </c>
      <c r="L244" s="1">
        <v>0</v>
      </c>
      <c r="M244" s="1" t="s">
        <v>1961</v>
      </c>
      <c r="N244" s="1" t="s">
        <v>698</v>
      </c>
      <c r="O244" s="1">
        <v>0</v>
      </c>
      <c r="P244" s="1" t="s">
        <v>2080</v>
      </c>
      <c r="Q244" s="7" t="s">
        <v>2063</v>
      </c>
    </row>
    <row r="245" spans="1:17" ht="14.25" thickBot="1">
      <c r="A245" s="1" t="s">
        <v>274</v>
      </c>
      <c r="B245" s="2">
        <v>0</v>
      </c>
      <c r="C245" s="1" t="s">
        <v>2030</v>
      </c>
      <c r="D245" s="1" t="s">
        <v>11</v>
      </c>
      <c r="E245" s="1">
        <f>INDEX([1]游戏类型定义!$C$20:$C$29,MATCH(D245,[1]!装备部位,0))</f>
        <v>4</v>
      </c>
      <c r="F245" s="1">
        <v>1</v>
      </c>
      <c r="G245" s="1">
        <v>50</v>
      </c>
      <c r="H245" s="10">
        <v>0</v>
      </c>
      <c r="I245" s="1">
        <v>5300</v>
      </c>
      <c r="J245" s="1">
        <v>5</v>
      </c>
      <c r="K245" s="1">
        <v>0</v>
      </c>
      <c r="L245" s="1">
        <v>0</v>
      </c>
      <c r="M245" s="1" t="s">
        <v>1962</v>
      </c>
      <c r="N245" s="1" t="s">
        <v>698</v>
      </c>
      <c r="O245" s="1">
        <v>0</v>
      </c>
      <c r="P245" s="1" t="s">
        <v>2080</v>
      </c>
      <c r="Q245" s="7" t="s">
        <v>2063</v>
      </c>
    </row>
    <row r="246" spans="1:17" ht="14.25" thickBot="1">
      <c r="A246" s="1" t="s">
        <v>275</v>
      </c>
      <c r="B246" s="3">
        <v>1</v>
      </c>
      <c r="C246" s="1" t="s">
        <v>2188</v>
      </c>
      <c r="D246" s="1" t="s">
        <v>14</v>
      </c>
      <c r="E246" s="1">
        <f>INDEX([1]游戏类型定义!$C$20:$C$29,MATCH(D246,[1]!装备部位,0))</f>
        <v>7</v>
      </c>
      <c r="F246" s="1">
        <v>1</v>
      </c>
      <c r="G246" s="1">
        <v>50</v>
      </c>
      <c r="H246" s="10">
        <v>0</v>
      </c>
      <c r="I246" s="1">
        <v>5000</v>
      </c>
      <c r="J246" s="1">
        <v>5</v>
      </c>
      <c r="K246" s="1">
        <v>0</v>
      </c>
      <c r="L246" s="1">
        <v>0</v>
      </c>
      <c r="M246" s="1" t="s">
        <v>1945</v>
      </c>
      <c r="N246" s="1" t="s">
        <v>698</v>
      </c>
      <c r="O246" s="1">
        <v>0</v>
      </c>
      <c r="P246" s="1" t="s">
        <v>2080</v>
      </c>
      <c r="Q246" s="7" t="s">
        <v>2479</v>
      </c>
    </row>
    <row r="247" spans="1:17" ht="14.25" thickBot="1">
      <c r="A247" s="1" t="s">
        <v>276</v>
      </c>
      <c r="B247" s="2">
        <v>0</v>
      </c>
      <c r="C247" s="1" t="s">
        <v>2038</v>
      </c>
      <c r="D247" s="1" t="s">
        <v>14</v>
      </c>
      <c r="E247" s="1">
        <f>INDEX([1]游戏类型定义!$C$20:$C$29,MATCH(D247,[1]!装备部位,0))</f>
        <v>7</v>
      </c>
      <c r="F247" s="1">
        <v>1</v>
      </c>
      <c r="G247" s="1">
        <v>50</v>
      </c>
      <c r="H247" s="10">
        <v>0</v>
      </c>
      <c r="I247" s="1">
        <v>5300</v>
      </c>
      <c r="J247" s="1">
        <v>5</v>
      </c>
      <c r="K247" s="1">
        <v>0</v>
      </c>
      <c r="L247" s="1">
        <v>0</v>
      </c>
      <c r="M247" s="1" t="s">
        <v>1946</v>
      </c>
      <c r="N247" s="1" t="s">
        <v>698</v>
      </c>
      <c r="O247" s="1">
        <v>0</v>
      </c>
      <c r="P247" s="1" t="s">
        <v>2080</v>
      </c>
      <c r="Q247" s="7" t="s">
        <v>2064</v>
      </c>
    </row>
    <row r="248" spans="1:17" ht="14.25" thickBot="1">
      <c r="A248" s="1" t="s">
        <v>277</v>
      </c>
      <c r="B248" s="3">
        <v>1</v>
      </c>
      <c r="C248" s="1" t="s">
        <v>2106</v>
      </c>
      <c r="D248" s="1" t="s">
        <v>8</v>
      </c>
      <c r="E248" s="1">
        <f>INDEX([1]游戏类型定义!$C$20:$C$29,MATCH(D248,[1]!装备部位,0))</f>
        <v>1</v>
      </c>
      <c r="F248" s="1">
        <v>1</v>
      </c>
      <c r="G248" s="1">
        <v>55</v>
      </c>
      <c r="H248" s="10">
        <v>0</v>
      </c>
      <c r="I248" s="1">
        <v>5500</v>
      </c>
      <c r="J248" s="1">
        <v>5</v>
      </c>
      <c r="K248" s="1">
        <v>0</v>
      </c>
      <c r="L248" s="1">
        <v>0</v>
      </c>
      <c r="M248" s="1" t="s">
        <v>1963</v>
      </c>
      <c r="N248" s="1" t="s">
        <v>698</v>
      </c>
      <c r="O248" s="1">
        <v>0</v>
      </c>
      <c r="P248" s="1" t="s">
        <v>2081</v>
      </c>
      <c r="Q248" s="7" t="s">
        <v>2480</v>
      </c>
    </row>
    <row r="249" spans="1:17" ht="14.25" thickBot="1">
      <c r="A249" s="1" t="s">
        <v>278</v>
      </c>
      <c r="B249" s="3">
        <v>1</v>
      </c>
      <c r="C249" s="1" t="s">
        <v>2117</v>
      </c>
      <c r="D249" s="1" t="s">
        <v>9</v>
      </c>
      <c r="E249" s="1">
        <f>INDEX([1]游戏类型定义!$C$20:$C$29,MATCH(D249,[1]!装备部位,0))</f>
        <v>2</v>
      </c>
      <c r="F249" s="1">
        <v>1</v>
      </c>
      <c r="G249" s="1">
        <v>55</v>
      </c>
      <c r="H249" s="10">
        <v>0</v>
      </c>
      <c r="I249" s="1">
        <v>5500</v>
      </c>
      <c r="J249" s="1">
        <v>5</v>
      </c>
      <c r="K249" s="1">
        <v>0</v>
      </c>
      <c r="L249" s="1">
        <v>0</v>
      </c>
      <c r="M249" s="1" t="s">
        <v>1964</v>
      </c>
      <c r="N249" s="1" t="s">
        <v>698</v>
      </c>
      <c r="O249" s="1">
        <v>0</v>
      </c>
      <c r="P249" s="1" t="s">
        <v>2081</v>
      </c>
      <c r="Q249" s="7" t="s">
        <v>2481</v>
      </c>
    </row>
    <row r="250" spans="1:17" ht="14.25" thickBot="1">
      <c r="A250" s="1" t="s">
        <v>279</v>
      </c>
      <c r="B250" s="2">
        <v>0</v>
      </c>
      <c r="C250" s="1" t="s">
        <v>2095</v>
      </c>
      <c r="D250" s="1" t="s">
        <v>10</v>
      </c>
      <c r="E250" s="1">
        <f>INDEX([1]游戏类型定义!$C$20:$C$29,MATCH(D250,[1]!装备部位,0))</f>
        <v>3</v>
      </c>
      <c r="F250" s="1">
        <v>1</v>
      </c>
      <c r="G250" s="1">
        <v>55</v>
      </c>
      <c r="H250" s="10">
        <v>0</v>
      </c>
      <c r="I250" s="1">
        <v>5500</v>
      </c>
      <c r="J250" s="1">
        <v>5</v>
      </c>
      <c r="K250" s="1">
        <v>0</v>
      </c>
      <c r="L250" s="1">
        <v>0</v>
      </c>
      <c r="M250" s="1" t="s">
        <v>1965</v>
      </c>
      <c r="N250" s="1" t="s">
        <v>698</v>
      </c>
      <c r="O250" s="1">
        <v>0</v>
      </c>
      <c r="P250" s="1" t="s">
        <v>2081</v>
      </c>
      <c r="Q250" s="7" t="s">
        <v>2053</v>
      </c>
    </row>
    <row r="251" spans="1:17" ht="14.25" thickBot="1">
      <c r="A251" s="1" t="s">
        <v>280</v>
      </c>
      <c r="B251" s="3">
        <v>1</v>
      </c>
      <c r="C251" s="1" t="s">
        <v>2128</v>
      </c>
      <c r="D251" s="1" t="s">
        <v>15</v>
      </c>
      <c r="E251" s="1">
        <f>INDEX([1]游戏类型定义!$C$20:$C$29,MATCH(D251,[1]!装备部位,0))</f>
        <v>8</v>
      </c>
      <c r="F251" s="1">
        <v>1</v>
      </c>
      <c r="G251" s="1">
        <v>55</v>
      </c>
      <c r="H251" s="10">
        <v>0</v>
      </c>
      <c r="I251" s="1">
        <v>5500</v>
      </c>
      <c r="J251" s="1">
        <v>5</v>
      </c>
      <c r="K251" s="1">
        <v>0</v>
      </c>
      <c r="L251" s="1">
        <v>0</v>
      </c>
      <c r="M251" s="1" t="s">
        <v>1966</v>
      </c>
      <c r="N251" s="1" t="s">
        <v>698</v>
      </c>
      <c r="O251" s="1">
        <v>0</v>
      </c>
      <c r="P251" s="1" t="s">
        <v>2081</v>
      </c>
      <c r="Q251" s="7" t="s">
        <v>2482</v>
      </c>
    </row>
    <row r="252" spans="1:17" ht="14.25" thickBot="1">
      <c r="A252" s="1" t="s">
        <v>281</v>
      </c>
      <c r="B252" s="2">
        <v>0</v>
      </c>
      <c r="C252" s="1" t="s">
        <v>2035</v>
      </c>
      <c r="D252" s="1" t="s">
        <v>16</v>
      </c>
      <c r="E252" s="1">
        <f>INDEX([1]游戏类型定义!$C$20:$C$29,MATCH(D252,[1]!装备部位,0))</f>
        <v>9</v>
      </c>
      <c r="F252" s="1">
        <v>1</v>
      </c>
      <c r="G252" s="1">
        <v>55</v>
      </c>
      <c r="H252" s="10">
        <v>0</v>
      </c>
      <c r="I252" s="1">
        <v>5500</v>
      </c>
      <c r="J252" s="1">
        <v>5</v>
      </c>
      <c r="K252" s="1">
        <v>0</v>
      </c>
      <c r="L252" s="1">
        <v>0</v>
      </c>
      <c r="M252" s="1" t="s">
        <v>1951</v>
      </c>
      <c r="N252" s="1" t="s">
        <v>698</v>
      </c>
      <c r="O252" s="1">
        <v>0</v>
      </c>
      <c r="P252" s="1" t="s">
        <v>2081</v>
      </c>
      <c r="Q252" s="7" t="s">
        <v>2055</v>
      </c>
    </row>
    <row r="253" spans="1:17" ht="14.25" thickBot="1">
      <c r="A253" s="1" t="s">
        <v>282</v>
      </c>
      <c r="B253" s="3">
        <v>1</v>
      </c>
      <c r="C253" s="1" t="s">
        <v>2153</v>
      </c>
      <c r="D253" s="1" t="s">
        <v>17</v>
      </c>
      <c r="E253" s="1">
        <f>INDEX([1]游戏类型定义!$C$20:$C$29,MATCH(D253,[1]!装备部位,0))</f>
        <v>10</v>
      </c>
      <c r="F253" s="1">
        <v>1</v>
      </c>
      <c r="G253" s="1">
        <v>55</v>
      </c>
      <c r="H253" s="10">
        <v>0</v>
      </c>
      <c r="I253" s="1">
        <v>5500</v>
      </c>
      <c r="J253" s="1">
        <v>5</v>
      </c>
      <c r="K253" s="1">
        <v>0</v>
      </c>
      <c r="L253" s="1">
        <v>0</v>
      </c>
      <c r="M253" s="1" t="s">
        <v>1967</v>
      </c>
      <c r="N253" s="1" t="s">
        <v>698</v>
      </c>
      <c r="O253" s="1">
        <v>0</v>
      </c>
      <c r="P253" s="1" t="s">
        <v>2081</v>
      </c>
      <c r="Q253" s="7" t="s">
        <v>2483</v>
      </c>
    </row>
    <row r="254" spans="1:17" ht="14.25" thickBot="1">
      <c r="A254" s="1" t="s">
        <v>283</v>
      </c>
      <c r="B254" s="3">
        <v>1</v>
      </c>
      <c r="C254" s="9" t="s">
        <v>2277</v>
      </c>
      <c r="D254" s="1" t="s">
        <v>12</v>
      </c>
      <c r="E254" s="1">
        <f>INDEX([1]游戏类型定义!$C$20:$C$29,MATCH(D254,[1]!装备部位,0))</f>
        <v>5</v>
      </c>
      <c r="F254" s="1">
        <v>1</v>
      </c>
      <c r="G254" s="1">
        <v>55</v>
      </c>
      <c r="H254" s="10" t="s">
        <v>2320</v>
      </c>
      <c r="I254" s="1">
        <v>5500</v>
      </c>
      <c r="J254" s="1">
        <v>5</v>
      </c>
      <c r="K254" s="1">
        <v>0</v>
      </c>
      <c r="L254" s="1">
        <v>0</v>
      </c>
      <c r="M254" s="1" t="s">
        <v>2026</v>
      </c>
      <c r="N254" s="1" t="s">
        <v>698</v>
      </c>
      <c r="O254" s="1">
        <v>0</v>
      </c>
      <c r="P254" s="1" t="s">
        <v>2081</v>
      </c>
      <c r="Q254" s="7" t="s">
        <v>2484</v>
      </c>
    </row>
    <row r="255" spans="1:17" ht="14.25" thickBot="1">
      <c r="A255" s="1" t="s">
        <v>284</v>
      </c>
      <c r="B255" s="2">
        <v>0</v>
      </c>
      <c r="C255" s="9" t="s">
        <v>2046</v>
      </c>
      <c r="D255" s="1" t="s">
        <v>12</v>
      </c>
      <c r="E255" s="1">
        <f>INDEX([1]游戏类型定义!$C$20:$C$29,MATCH(D255,[1]!装备部位,0))</f>
        <v>5</v>
      </c>
      <c r="F255" s="1">
        <v>1</v>
      </c>
      <c r="G255" s="1">
        <v>55</v>
      </c>
      <c r="H255" s="10" t="s">
        <v>2320</v>
      </c>
      <c r="I255" s="1">
        <v>5800</v>
      </c>
      <c r="J255" s="1">
        <v>5</v>
      </c>
      <c r="K255" s="1">
        <v>0</v>
      </c>
      <c r="L255" s="1">
        <v>0</v>
      </c>
      <c r="M255" s="1" t="s">
        <v>2027</v>
      </c>
      <c r="N255" s="1" t="s">
        <v>698</v>
      </c>
      <c r="O255" s="1">
        <v>0</v>
      </c>
      <c r="P255" s="1" t="s">
        <v>2081</v>
      </c>
      <c r="Q255" s="7" t="s">
        <v>2057</v>
      </c>
    </row>
    <row r="256" spans="1:17" ht="14.25" thickBot="1">
      <c r="A256" s="1" t="s">
        <v>285</v>
      </c>
      <c r="B256" s="3">
        <v>1</v>
      </c>
      <c r="C256" s="9" t="s">
        <v>2278</v>
      </c>
      <c r="D256" s="1" t="s">
        <v>13</v>
      </c>
      <c r="E256" s="1">
        <f>INDEX([1]游戏类型定义!$C$20:$C$29,MATCH(D256,[1]!装备部位,0))</f>
        <v>6</v>
      </c>
      <c r="F256" s="1">
        <v>1</v>
      </c>
      <c r="G256" s="1">
        <v>55</v>
      </c>
      <c r="H256" s="10" t="s">
        <v>2320</v>
      </c>
      <c r="I256" s="1">
        <v>5500</v>
      </c>
      <c r="J256" s="1">
        <v>5</v>
      </c>
      <c r="K256" s="1">
        <v>0</v>
      </c>
      <c r="L256" s="1">
        <v>0</v>
      </c>
      <c r="M256" s="1" t="s">
        <v>1968</v>
      </c>
      <c r="N256" s="1" t="s">
        <v>698</v>
      </c>
      <c r="O256" s="1">
        <v>0</v>
      </c>
      <c r="P256" s="1" t="s">
        <v>2081</v>
      </c>
      <c r="Q256" s="7" t="s">
        <v>2485</v>
      </c>
    </row>
    <row r="257" spans="1:17" ht="14.25" thickBot="1">
      <c r="A257" s="1" t="s">
        <v>286</v>
      </c>
      <c r="B257" s="3">
        <v>1</v>
      </c>
      <c r="C257" s="9" t="s">
        <v>2279</v>
      </c>
      <c r="D257" s="1" t="s">
        <v>13</v>
      </c>
      <c r="E257" s="1">
        <f>INDEX([1]游戏类型定义!$C$20:$C$29,MATCH(D257,[1]!装备部位,0))</f>
        <v>6</v>
      </c>
      <c r="F257" s="1">
        <v>1</v>
      </c>
      <c r="G257" s="1">
        <v>55</v>
      </c>
      <c r="H257" s="10" t="s">
        <v>2320</v>
      </c>
      <c r="I257" s="1">
        <v>5800</v>
      </c>
      <c r="J257" s="1">
        <v>5</v>
      </c>
      <c r="K257" s="1">
        <v>0</v>
      </c>
      <c r="L257" s="1">
        <v>0</v>
      </c>
      <c r="M257" s="1" t="s">
        <v>1969</v>
      </c>
      <c r="N257" s="1" t="s">
        <v>698</v>
      </c>
      <c r="O257" s="1">
        <v>0</v>
      </c>
      <c r="P257" s="1" t="s">
        <v>2081</v>
      </c>
      <c r="Q257" s="7" t="s">
        <v>2486</v>
      </c>
    </row>
    <row r="258" spans="1:17" ht="14.25" thickBot="1">
      <c r="A258" s="1" t="s">
        <v>287</v>
      </c>
      <c r="B258" s="3">
        <v>1</v>
      </c>
      <c r="C258" s="1" t="s">
        <v>2280</v>
      </c>
      <c r="D258" s="1" t="s">
        <v>12</v>
      </c>
      <c r="E258" s="1">
        <f>INDEX([1]游戏类型定义!$C$20:$C$29,MATCH(D258,[1]!装备部位,0))</f>
        <v>5</v>
      </c>
      <c r="F258" s="1">
        <v>1</v>
      </c>
      <c r="G258" s="1">
        <v>55</v>
      </c>
      <c r="H258" s="10" t="s">
        <v>2321</v>
      </c>
      <c r="I258" s="1">
        <v>5500</v>
      </c>
      <c r="J258" s="1">
        <v>5</v>
      </c>
      <c r="K258" s="1">
        <v>0</v>
      </c>
      <c r="L258" s="1">
        <v>0</v>
      </c>
      <c r="M258" s="1" t="s">
        <v>2026</v>
      </c>
      <c r="N258" s="1" t="s">
        <v>698</v>
      </c>
      <c r="O258" s="1">
        <v>0</v>
      </c>
      <c r="P258" s="1" t="s">
        <v>2081</v>
      </c>
      <c r="Q258" s="7" t="s">
        <v>2471</v>
      </c>
    </row>
    <row r="259" spans="1:17" ht="14.25" thickBot="1">
      <c r="A259" s="1" t="s">
        <v>288</v>
      </c>
      <c r="B259" s="2">
        <v>0</v>
      </c>
      <c r="C259" s="1" t="s">
        <v>2040</v>
      </c>
      <c r="D259" s="1" t="s">
        <v>12</v>
      </c>
      <c r="E259" s="1">
        <f>INDEX([1]游戏类型定义!$C$20:$C$29,MATCH(D259,[1]!装备部位,0))</f>
        <v>5</v>
      </c>
      <c r="F259" s="1">
        <v>1</v>
      </c>
      <c r="G259" s="1">
        <v>55</v>
      </c>
      <c r="H259" s="10" t="s">
        <v>2321</v>
      </c>
      <c r="I259" s="1">
        <v>5800</v>
      </c>
      <c r="J259" s="1">
        <v>5</v>
      </c>
      <c r="K259" s="1">
        <v>0</v>
      </c>
      <c r="L259" s="1">
        <v>0</v>
      </c>
      <c r="M259" s="1" t="s">
        <v>2027</v>
      </c>
      <c r="N259" s="1" t="s">
        <v>698</v>
      </c>
      <c r="O259" s="1">
        <v>0</v>
      </c>
      <c r="P259" s="1" t="s">
        <v>2081</v>
      </c>
      <c r="Q259" s="7" t="s">
        <v>2059</v>
      </c>
    </row>
    <row r="260" spans="1:17" ht="14.25" thickBot="1">
      <c r="A260" s="1" t="s">
        <v>289</v>
      </c>
      <c r="B260" s="3">
        <v>1</v>
      </c>
      <c r="C260" s="9" t="s">
        <v>2281</v>
      </c>
      <c r="D260" s="1" t="s">
        <v>13</v>
      </c>
      <c r="E260" s="1">
        <f>INDEX([1]游戏类型定义!$C$20:$C$29,MATCH(D260,[1]!装备部位,0))</f>
        <v>6</v>
      </c>
      <c r="F260" s="1">
        <v>1</v>
      </c>
      <c r="G260" s="1">
        <v>55</v>
      </c>
      <c r="H260" s="10" t="s">
        <v>2321</v>
      </c>
      <c r="I260" s="1">
        <v>5500</v>
      </c>
      <c r="J260" s="1">
        <v>5</v>
      </c>
      <c r="K260" s="1">
        <v>0</v>
      </c>
      <c r="L260" s="1">
        <v>0</v>
      </c>
      <c r="M260" s="1" t="s">
        <v>1970</v>
      </c>
      <c r="N260" s="1" t="s">
        <v>698</v>
      </c>
      <c r="O260" s="1">
        <v>0</v>
      </c>
      <c r="P260" s="1" t="s">
        <v>2081</v>
      </c>
      <c r="Q260" s="7" t="s">
        <v>2487</v>
      </c>
    </row>
    <row r="261" spans="1:17" ht="14.25" thickBot="1">
      <c r="A261" s="1" t="s">
        <v>290</v>
      </c>
      <c r="B261" s="3">
        <v>1</v>
      </c>
      <c r="C261" s="9" t="s">
        <v>2282</v>
      </c>
      <c r="D261" s="1" t="s">
        <v>13</v>
      </c>
      <c r="E261" s="1">
        <f>INDEX([1]游戏类型定义!$C$20:$C$29,MATCH(D261,[1]!装备部位,0))</f>
        <v>6</v>
      </c>
      <c r="F261" s="1">
        <v>1</v>
      </c>
      <c r="G261" s="1">
        <v>55</v>
      </c>
      <c r="H261" s="10" t="s">
        <v>2321</v>
      </c>
      <c r="I261" s="1">
        <v>5800</v>
      </c>
      <c r="J261" s="1">
        <v>5</v>
      </c>
      <c r="K261" s="1">
        <v>0</v>
      </c>
      <c r="L261" s="1">
        <v>0</v>
      </c>
      <c r="M261" s="1" t="s">
        <v>1971</v>
      </c>
      <c r="N261" s="1" t="s">
        <v>698</v>
      </c>
      <c r="O261" s="1">
        <v>0</v>
      </c>
      <c r="P261" s="1" t="s">
        <v>2081</v>
      </c>
      <c r="Q261" s="7" t="s">
        <v>2488</v>
      </c>
    </row>
    <row r="262" spans="1:17" ht="14.25" thickBot="1">
      <c r="A262" s="1" t="s">
        <v>291</v>
      </c>
      <c r="B262" s="3">
        <v>1</v>
      </c>
      <c r="C262" s="9" t="s">
        <v>2274</v>
      </c>
      <c r="D262" s="1" t="s">
        <v>12</v>
      </c>
      <c r="E262" s="1">
        <f>INDEX([1]游戏类型定义!$C$20:$C$29,MATCH(D262,[1]!装备部位,0))</f>
        <v>5</v>
      </c>
      <c r="F262" s="1">
        <v>1</v>
      </c>
      <c r="G262" s="1">
        <v>55</v>
      </c>
      <c r="H262" s="10" t="s">
        <v>2322</v>
      </c>
      <c r="I262" s="1">
        <v>5500</v>
      </c>
      <c r="J262" s="1">
        <v>5</v>
      </c>
      <c r="K262" s="1">
        <v>0</v>
      </c>
      <c r="L262" s="1">
        <v>0</v>
      </c>
      <c r="M262" s="1" t="s">
        <v>2026</v>
      </c>
      <c r="N262" s="1" t="s">
        <v>698</v>
      </c>
      <c r="O262" s="1">
        <v>0</v>
      </c>
      <c r="P262" s="1" t="s">
        <v>2081</v>
      </c>
      <c r="Q262" s="7" t="s">
        <v>2489</v>
      </c>
    </row>
    <row r="263" spans="1:17" ht="14.25" thickBot="1">
      <c r="A263" s="1" t="s">
        <v>292</v>
      </c>
      <c r="B263" s="2">
        <v>0</v>
      </c>
      <c r="C263" s="9" t="s">
        <v>2048</v>
      </c>
      <c r="D263" s="1" t="s">
        <v>12</v>
      </c>
      <c r="E263" s="1">
        <f>INDEX([1]游戏类型定义!$C$20:$C$29,MATCH(D263,[1]!装备部位,0))</f>
        <v>5</v>
      </c>
      <c r="F263" s="1">
        <v>1</v>
      </c>
      <c r="G263" s="1">
        <v>55</v>
      </c>
      <c r="H263" s="10" t="s">
        <v>2322</v>
      </c>
      <c r="I263" s="1">
        <v>5800</v>
      </c>
      <c r="J263" s="1">
        <v>5</v>
      </c>
      <c r="K263" s="1">
        <v>0</v>
      </c>
      <c r="L263" s="1">
        <v>0</v>
      </c>
      <c r="M263" s="1" t="s">
        <v>2027</v>
      </c>
      <c r="N263" s="1" t="s">
        <v>698</v>
      </c>
      <c r="O263" s="1">
        <v>0</v>
      </c>
      <c r="P263" s="1" t="s">
        <v>2081</v>
      </c>
      <c r="Q263" s="7" t="s">
        <v>2061</v>
      </c>
    </row>
    <row r="264" spans="1:17" ht="14.25" thickBot="1">
      <c r="A264" s="1" t="s">
        <v>293</v>
      </c>
      <c r="B264" s="3">
        <v>1</v>
      </c>
      <c r="C264" s="9" t="s">
        <v>2283</v>
      </c>
      <c r="D264" s="1" t="s">
        <v>13</v>
      </c>
      <c r="E264" s="1">
        <f>INDEX([1]游戏类型定义!$C$20:$C$29,MATCH(D264,[1]!装备部位,0))</f>
        <v>6</v>
      </c>
      <c r="F264" s="1">
        <v>1</v>
      </c>
      <c r="G264" s="1">
        <v>55</v>
      </c>
      <c r="H264" s="10" t="s">
        <v>2322</v>
      </c>
      <c r="I264" s="1">
        <v>5500</v>
      </c>
      <c r="J264" s="1">
        <v>5</v>
      </c>
      <c r="K264" s="1">
        <v>0</v>
      </c>
      <c r="L264" s="1">
        <v>0</v>
      </c>
      <c r="M264" s="1" t="s">
        <v>1972</v>
      </c>
      <c r="N264" s="1" t="s">
        <v>698</v>
      </c>
      <c r="O264" s="1">
        <v>0</v>
      </c>
      <c r="P264" s="1" t="s">
        <v>2081</v>
      </c>
      <c r="Q264" s="7" t="s">
        <v>2490</v>
      </c>
    </row>
    <row r="265" spans="1:17" ht="14.25" thickBot="1">
      <c r="A265" s="1" t="s">
        <v>294</v>
      </c>
      <c r="B265" s="3">
        <v>1</v>
      </c>
      <c r="C265" s="9" t="s">
        <v>2285</v>
      </c>
      <c r="D265" s="1" t="s">
        <v>13</v>
      </c>
      <c r="E265" s="1">
        <f>INDEX([1]游戏类型定义!$C$20:$C$29,MATCH(D265,[1]!装备部位,0))</f>
        <v>6</v>
      </c>
      <c r="F265" s="1">
        <v>1</v>
      </c>
      <c r="G265" s="1">
        <v>55</v>
      </c>
      <c r="H265" s="10" t="s">
        <v>2322</v>
      </c>
      <c r="I265" s="1">
        <v>5800</v>
      </c>
      <c r="J265" s="1">
        <v>5</v>
      </c>
      <c r="K265" s="1">
        <v>0</v>
      </c>
      <c r="L265" s="1">
        <v>0</v>
      </c>
      <c r="M265" s="1" t="s">
        <v>1973</v>
      </c>
      <c r="N265" s="1" t="s">
        <v>698</v>
      </c>
      <c r="O265" s="1">
        <v>0</v>
      </c>
      <c r="P265" s="1" t="s">
        <v>2081</v>
      </c>
      <c r="Q265" s="7" t="s">
        <v>2491</v>
      </c>
    </row>
    <row r="266" spans="1:17" ht="14.25" thickBot="1">
      <c r="A266" s="1" t="s">
        <v>295</v>
      </c>
      <c r="B266" s="3">
        <v>1</v>
      </c>
      <c r="C266" s="1" t="s">
        <v>2170</v>
      </c>
      <c r="D266" s="1" t="s">
        <v>11</v>
      </c>
      <c r="E266" s="1">
        <f>INDEX([1]游戏类型定义!$C$20:$C$29,MATCH(D266,[1]!装备部位,0))</f>
        <v>4</v>
      </c>
      <c r="F266" s="1">
        <v>1</v>
      </c>
      <c r="G266" s="1">
        <v>55</v>
      </c>
      <c r="H266" s="10">
        <v>0</v>
      </c>
      <c r="I266" s="1">
        <v>5500</v>
      </c>
      <c r="J266" s="1">
        <v>5</v>
      </c>
      <c r="K266" s="1">
        <v>0</v>
      </c>
      <c r="L266" s="1">
        <v>0</v>
      </c>
      <c r="M266" s="1" t="s">
        <v>1974</v>
      </c>
      <c r="N266" s="1" t="s">
        <v>698</v>
      </c>
      <c r="O266" s="1">
        <v>0</v>
      </c>
      <c r="P266" s="1" t="s">
        <v>2081</v>
      </c>
      <c r="Q266" s="7" t="s">
        <v>2492</v>
      </c>
    </row>
    <row r="267" spans="1:17" ht="14.25" thickBot="1">
      <c r="A267" s="1" t="s">
        <v>296</v>
      </c>
      <c r="B267" s="2">
        <v>0</v>
      </c>
      <c r="C267" s="1" t="s">
        <v>2030</v>
      </c>
      <c r="D267" s="1" t="s">
        <v>11</v>
      </c>
      <c r="E267" s="1">
        <f>INDEX([1]游戏类型定义!$C$20:$C$29,MATCH(D267,[1]!装备部位,0))</f>
        <v>4</v>
      </c>
      <c r="F267" s="1">
        <v>1</v>
      </c>
      <c r="G267" s="1">
        <v>55</v>
      </c>
      <c r="H267" s="10">
        <v>0</v>
      </c>
      <c r="I267" s="1">
        <v>5800</v>
      </c>
      <c r="J267" s="1">
        <v>5</v>
      </c>
      <c r="K267" s="1">
        <v>0</v>
      </c>
      <c r="L267" s="1">
        <v>0</v>
      </c>
      <c r="M267" s="1" t="s">
        <v>1975</v>
      </c>
      <c r="N267" s="1" t="s">
        <v>698</v>
      </c>
      <c r="O267" s="1">
        <v>0</v>
      </c>
      <c r="P267" s="1" t="s">
        <v>2081</v>
      </c>
      <c r="Q267" s="7" t="s">
        <v>2063</v>
      </c>
    </row>
    <row r="268" spans="1:17" ht="14.25" thickBot="1">
      <c r="A268" s="1" t="s">
        <v>297</v>
      </c>
      <c r="B268" s="3">
        <v>1</v>
      </c>
      <c r="C268" s="1" t="s">
        <v>2189</v>
      </c>
      <c r="D268" s="1" t="s">
        <v>14</v>
      </c>
      <c r="E268" s="1">
        <f>INDEX([1]游戏类型定义!$C$20:$C$29,MATCH(D268,[1]!装备部位,0))</f>
        <v>7</v>
      </c>
      <c r="F268" s="1">
        <v>1</v>
      </c>
      <c r="G268" s="1">
        <v>55</v>
      </c>
      <c r="H268" s="10">
        <v>0</v>
      </c>
      <c r="I268" s="1">
        <v>5500</v>
      </c>
      <c r="J268" s="1">
        <v>5</v>
      </c>
      <c r="K268" s="1">
        <v>0</v>
      </c>
      <c r="L268" s="1">
        <v>0</v>
      </c>
      <c r="M268" s="1" t="s">
        <v>1961</v>
      </c>
      <c r="N268" s="1" t="s">
        <v>698</v>
      </c>
      <c r="O268" s="1">
        <v>0</v>
      </c>
      <c r="P268" s="1" t="s">
        <v>2081</v>
      </c>
      <c r="Q268" s="7" t="s">
        <v>2493</v>
      </c>
    </row>
    <row r="269" spans="1:17" ht="14.25" thickBot="1">
      <c r="A269" s="1" t="s">
        <v>298</v>
      </c>
      <c r="B269" s="2">
        <v>0</v>
      </c>
      <c r="C269" s="1" t="s">
        <v>2038</v>
      </c>
      <c r="D269" s="1" t="s">
        <v>14</v>
      </c>
      <c r="E269" s="1">
        <f>INDEX([1]游戏类型定义!$C$20:$C$29,MATCH(D269,[1]!装备部位,0))</f>
        <v>7</v>
      </c>
      <c r="F269" s="1">
        <v>1</v>
      </c>
      <c r="G269" s="1">
        <v>55</v>
      </c>
      <c r="H269" s="10">
        <v>0</v>
      </c>
      <c r="I269" s="1">
        <v>5800</v>
      </c>
      <c r="J269" s="1">
        <v>5</v>
      </c>
      <c r="K269" s="1">
        <v>0</v>
      </c>
      <c r="L269" s="1">
        <v>0</v>
      </c>
      <c r="M269" s="1" t="s">
        <v>1962</v>
      </c>
      <c r="N269" s="1" t="s">
        <v>698</v>
      </c>
      <c r="O269" s="1">
        <v>0</v>
      </c>
      <c r="P269" s="1" t="s">
        <v>2081</v>
      </c>
      <c r="Q269" s="7" t="s">
        <v>2064</v>
      </c>
    </row>
    <row r="270" spans="1:17" ht="14.25" thickBot="1">
      <c r="A270" s="1" t="s">
        <v>299</v>
      </c>
      <c r="B270" s="3">
        <v>1</v>
      </c>
      <c r="C270" s="1" t="s">
        <v>2142</v>
      </c>
      <c r="D270" s="1" t="s">
        <v>8</v>
      </c>
      <c r="E270" s="1">
        <f>INDEX([1]游戏类型定义!$C$20:$C$29,MATCH(D270,[1]!装备部位,0))</f>
        <v>1</v>
      </c>
      <c r="F270" s="1">
        <v>1</v>
      </c>
      <c r="G270" s="1">
        <v>60</v>
      </c>
      <c r="H270" s="10">
        <v>0</v>
      </c>
      <c r="I270" s="1">
        <v>6000</v>
      </c>
      <c r="J270" s="1">
        <v>5</v>
      </c>
      <c r="K270" s="1">
        <v>0</v>
      </c>
      <c r="L270" s="1">
        <v>0</v>
      </c>
      <c r="M270" s="1" t="s">
        <v>1976</v>
      </c>
      <c r="N270" s="1" t="s">
        <v>698</v>
      </c>
      <c r="O270" s="1">
        <v>0</v>
      </c>
      <c r="P270" s="1" t="s">
        <v>2082</v>
      </c>
      <c r="Q270" s="7" t="s">
        <v>2494</v>
      </c>
    </row>
    <row r="271" spans="1:17" ht="14.25" thickBot="1">
      <c r="A271" s="1" t="s">
        <v>300</v>
      </c>
      <c r="B271" s="3">
        <v>1</v>
      </c>
      <c r="C271" s="1" t="s">
        <v>2116</v>
      </c>
      <c r="D271" s="1" t="s">
        <v>9</v>
      </c>
      <c r="E271" s="1">
        <f>INDEX([1]游戏类型定义!$C$20:$C$29,MATCH(D271,[1]!装备部位,0))</f>
        <v>2</v>
      </c>
      <c r="F271" s="1">
        <v>1</v>
      </c>
      <c r="G271" s="1">
        <v>60</v>
      </c>
      <c r="H271" s="10">
        <v>0</v>
      </c>
      <c r="I271" s="1">
        <v>6000</v>
      </c>
      <c r="J271" s="1">
        <v>5</v>
      </c>
      <c r="K271" s="1">
        <v>0</v>
      </c>
      <c r="L271" s="1">
        <v>0</v>
      </c>
      <c r="M271" s="1" t="s">
        <v>1977</v>
      </c>
      <c r="N271" s="1" t="s">
        <v>698</v>
      </c>
      <c r="O271" s="1">
        <v>0</v>
      </c>
      <c r="P271" s="1" t="s">
        <v>2082</v>
      </c>
      <c r="Q271" s="7" t="s">
        <v>2495</v>
      </c>
    </row>
    <row r="272" spans="1:17" ht="14.25" thickBot="1">
      <c r="A272" s="1" t="s">
        <v>301</v>
      </c>
      <c r="B272" s="3">
        <v>1</v>
      </c>
      <c r="C272" s="1" t="s">
        <v>2096</v>
      </c>
      <c r="D272" s="1" t="s">
        <v>10</v>
      </c>
      <c r="E272" s="1">
        <f>INDEX([1]游戏类型定义!$C$20:$C$29,MATCH(D272,[1]!装备部位,0))</f>
        <v>3</v>
      </c>
      <c r="F272" s="1">
        <v>1</v>
      </c>
      <c r="G272" s="1">
        <v>60</v>
      </c>
      <c r="H272" s="10">
        <v>0</v>
      </c>
      <c r="I272" s="1">
        <v>6000</v>
      </c>
      <c r="J272" s="1">
        <v>5</v>
      </c>
      <c r="K272" s="1">
        <v>0</v>
      </c>
      <c r="L272" s="1">
        <v>0</v>
      </c>
      <c r="M272" s="1" t="s">
        <v>1965</v>
      </c>
      <c r="N272" s="1" t="s">
        <v>698</v>
      </c>
      <c r="O272" s="1">
        <v>0</v>
      </c>
      <c r="P272" s="1" t="s">
        <v>2082</v>
      </c>
      <c r="Q272" s="7" t="s">
        <v>2496</v>
      </c>
    </row>
    <row r="273" spans="1:17" ht="14.25" thickBot="1">
      <c r="A273" s="1" t="s">
        <v>302</v>
      </c>
      <c r="B273" s="3">
        <v>1</v>
      </c>
      <c r="C273" s="1" t="s">
        <v>2140</v>
      </c>
      <c r="D273" s="1" t="s">
        <v>15</v>
      </c>
      <c r="E273" s="1">
        <f>INDEX([1]游戏类型定义!$C$20:$C$29,MATCH(D273,[1]!装备部位,0))</f>
        <v>8</v>
      </c>
      <c r="F273" s="1">
        <v>1</v>
      </c>
      <c r="G273" s="1">
        <v>60</v>
      </c>
      <c r="H273" s="10">
        <v>0</v>
      </c>
      <c r="I273" s="1">
        <v>6000</v>
      </c>
      <c r="J273" s="1">
        <v>5</v>
      </c>
      <c r="K273" s="1">
        <v>0</v>
      </c>
      <c r="L273" s="1">
        <v>0</v>
      </c>
      <c r="M273" s="1" t="s">
        <v>1978</v>
      </c>
      <c r="N273" s="1" t="s">
        <v>698</v>
      </c>
      <c r="O273" s="1">
        <v>0</v>
      </c>
      <c r="P273" s="1" t="s">
        <v>2082</v>
      </c>
      <c r="Q273" s="7" t="s">
        <v>2497</v>
      </c>
    </row>
    <row r="274" spans="1:17" ht="14.25" thickBot="1">
      <c r="A274" s="1" t="s">
        <v>303</v>
      </c>
      <c r="B274" s="3">
        <v>1</v>
      </c>
      <c r="C274" s="1" t="s">
        <v>2138</v>
      </c>
      <c r="D274" s="1" t="s">
        <v>16</v>
      </c>
      <c r="E274" s="1">
        <f>INDEX([1]游戏类型定义!$C$20:$C$29,MATCH(D274,[1]!装备部位,0))</f>
        <v>9</v>
      </c>
      <c r="F274" s="1">
        <v>1</v>
      </c>
      <c r="G274" s="1">
        <v>60</v>
      </c>
      <c r="H274" s="10">
        <v>0</v>
      </c>
      <c r="I274" s="1">
        <v>6000</v>
      </c>
      <c r="J274" s="1">
        <v>5</v>
      </c>
      <c r="K274" s="1">
        <v>0</v>
      </c>
      <c r="L274" s="1">
        <v>0</v>
      </c>
      <c r="M274" s="1" t="s">
        <v>1979</v>
      </c>
      <c r="N274" s="1" t="s">
        <v>698</v>
      </c>
      <c r="O274" s="1">
        <v>0</v>
      </c>
      <c r="P274" s="1" t="s">
        <v>2082</v>
      </c>
      <c r="Q274" s="7" t="s">
        <v>2498</v>
      </c>
    </row>
    <row r="275" spans="1:17" ht="14.25" thickBot="1">
      <c r="A275" s="1" t="s">
        <v>304</v>
      </c>
      <c r="B275" s="3">
        <v>1</v>
      </c>
      <c r="C275" s="1" t="s">
        <v>2154</v>
      </c>
      <c r="D275" s="1" t="s">
        <v>17</v>
      </c>
      <c r="E275" s="1">
        <f>INDEX([1]游戏类型定义!$C$20:$C$29,MATCH(D275,[1]!装备部位,0))</f>
        <v>10</v>
      </c>
      <c r="F275" s="1">
        <v>1</v>
      </c>
      <c r="G275" s="1">
        <v>60</v>
      </c>
      <c r="H275" s="10">
        <v>0</v>
      </c>
      <c r="I275" s="1">
        <v>6000</v>
      </c>
      <c r="J275" s="1">
        <v>5</v>
      </c>
      <c r="K275" s="1">
        <v>0</v>
      </c>
      <c r="L275" s="1">
        <v>0</v>
      </c>
      <c r="M275" s="1" t="s">
        <v>1980</v>
      </c>
      <c r="N275" s="1" t="s">
        <v>698</v>
      </c>
      <c r="O275" s="1">
        <v>0</v>
      </c>
      <c r="P275" s="1" t="s">
        <v>2082</v>
      </c>
      <c r="Q275" s="7" t="s">
        <v>2499</v>
      </c>
    </row>
    <row r="276" spans="1:17" ht="14.25" thickBot="1">
      <c r="A276" s="1" t="s">
        <v>305</v>
      </c>
      <c r="B276" s="3">
        <v>1</v>
      </c>
      <c r="C276" s="9" t="s">
        <v>2297</v>
      </c>
      <c r="D276" s="1" t="s">
        <v>12</v>
      </c>
      <c r="E276" s="1">
        <f>INDEX([1]游戏类型定义!$C$20:$C$29,MATCH(D276,[1]!装备部位,0))</f>
        <v>5</v>
      </c>
      <c r="F276" s="1">
        <v>1</v>
      </c>
      <c r="G276" s="1">
        <v>60</v>
      </c>
      <c r="H276" s="10" t="s">
        <v>2320</v>
      </c>
      <c r="I276" s="1">
        <v>6000</v>
      </c>
      <c r="J276" s="1">
        <v>5</v>
      </c>
      <c r="K276" s="1">
        <v>0</v>
      </c>
      <c r="L276" s="1">
        <v>0</v>
      </c>
      <c r="M276" s="1" t="s">
        <v>1981</v>
      </c>
      <c r="N276" s="1" t="s">
        <v>698</v>
      </c>
      <c r="O276" s="1">
        <v>0</v>
      </c>
      <c r="P276" s="1" t="s">
        <v>2082</v>
      </c>
      <c r="Q276" s="7" t="s">
        <v>2500</v>
      </c>
    </row>
    <row r="277" spans="1:17" ht="14.25" thickBot="1">
      <c r="A277" s="1" t="s">
        <v>306</v>
      </c>
      <c r="B277" s="3">
        <v>1</v>
      </c>
      <c r="C277" s="9" t="s">
        <v>2286</v>
      </c>
      <c r="D277" s="1" t="s">
        <v>12</v>
      </c>
      <c r="E277" s="1">
        <f>INDEX([1]游戏类型定义!$C$20:$C$29,MATCH(D277,[1]!装备部位,0))</f>
        <v>5</v>
      </c>
      <c r="F277" s="1">
        <v>1</v>
      </c>
      <c r="G277" s="1">
        <v>60</v>
      </c>
      <c r="H277" s="10" t="s">
        <v>2320</v>
      </c>
      <c r="I277" s="1">
        <v>6300</v>
      </c>
      <c r="J277" s="1">
        <v>5</v>
      </c>
      <c r="K277" s="1">
        <v>0</v>
      </c>
      <c r="L277" s="1">
        <v>0</v>
      </c>
      <c r="M277" s="1" t="s">
        <v>1982</v>
      </c>
      <c r="N277" s="1" t="s">
        <v>698</v>
      </c>
      <c r="O277" s="1">
        <v>0</v>
      </c>
      <c r="P277" s="1" t="s">
        <v>2082</v>
      </c>
      <c r="Q277" s="7" t="s">
        <v>2501</v>
      </c>
    </row>
    <row r="278" spans="1:17" ht="14.25" thickBot="1">
      <c r="A278" s="1" t="s">
        <v>307</v>
      </c>
      <c r="B278" s="3">
        <v>1</v>
      </c>
      <c r="C278" s="9" t="s">
        <v>2288</v>
      </c>
      <c r="D278" s="1" t="s">
        <v>13</v>
      </c>
      <c r="E278" s="1">
        <f>INDEX([1]游戏类型定义!$C$20:$C$29,MATCH(D278,[1]!装备部位,0))</f>
        <v>6</v>
      </c>
      <c r="F278" s="1">
        <v>1</v>
      </c>
      <c r="G278" s="1">
        <v>60</v>
      </c>
      <c r="H278" s="10" t="s">
        <v>2320</v>
      </c>
      <c r="I278" s="1">
        <v>6000</v>
      </c>
      <c r="J278" s="1">
        <v>5</v>
      </c>
      <c r="K278" s="1">
        <v>0</v>
      </c>
      <c r="L278" s="1">
        <v>0</v>
      </c>
      <c r="M278" s="1" t="s">
        <v>1983</v>
      </c>
      <c r="N278" s="1" t="s">
        <v>698</v>
      </c>
      <c r="O278" s="1">
        <v>0</v>
      </c>
      <c r="P278" s="1" t="s">
        <v>2082</v>
      </c>
      <c r="Q278" s="7" t="s">
        <v>2502</v>
      </c>
    </row>
    <row r="279" spans="1:17" ht="14.25" thickBot="1">
      <c r="A279" s="1" t="s">
        <v>308</v>
      </c>
      <c r="B279" s="2">
        <v>0</v>
      </c>
      <c r="C279" s="9" t="s">
        <v>2044</v>
      </c>
      <c r="D279" s="1" t="s">
        <v>13</v>
      </c>
      <c r="E279" s="1">
        <f>INDEX([1]游戏类型定义!$C$20:$C$29,MATCH(D279,[1]!装备部位,0))</f>
        <v>6</v>
      </c>
      <c r="F279" s="1">
        <v>1</v>
      </c>
      <c r="G279" s="1">
        <v>60</v>
      </c>
      <c r="H279" s="10" t="s">
        <v>2320</v>
      </c>
      <c r="I279" s="1">
        <v>6300</v>
      </c>
      <c r="J279" s="1">
        <v>5</v>
      </c>
      <c r="K279" s="1">
        <v>0</v>
      </c>
      <c r="L279" s="1">
        <v>0</v>
      </c>
      <c r="M279" s="1" t="s">
        <v>1984</v>
      </c>
      <c r="N279" s="1" t="s">
        <v>698</v>
      </c>
      <c r="O279" s="1">
        <v>0</v>
      </c>
      <c r="P279" s="1" t="s">
        <v>2082</v>
      </c>
      <c r="Q279" s="7" t="s">
        <v>2058</v>
      </c>
    </row>
    <row r="280" spans="1:17" ht="14.25" thickBot="1">
      <c r="A280" s="1" t="s">
        <v>309</v>
      </c>
      <c r="B280" s="3">
        <v>1</v>
      </c>
      <c r="C280" s="1" t="s">
        <v>2289</v>
      </c>
      <c r="D280" s="1" t="s">
        <v>12</v>
      </c>
      <c r="E280" s="1">
        <f>INDEX([1]游戏类型定义!$C$20:$C$29,MATCH(D280,[1]!装备部位,0))</f>
        <v>5</v>
      </c>
      <c r="F280" s="1">
        <v>1</v>
      </c>
      <c r="G280" s="1">
        <v>60</v>
      </c>
      <c r="H280" s="10" t="s">
        <v>2321</v>
      </c>
      <c r="I280" s="1">
        <v>6000</v>
      </c>
      <c r="J280" s="1">
        <v>5</v>
      </c>
      <c r="K280" s="1">
        <v>0</v>
      </c>
      <c r="L280" s="1">
        <v>0</v>
      </c>
      <c r="M280" s="1" t="s">
        <v>1981</v>
      </c>
      <c r="N280" s="1" t="s">
        <v>698</v>
      </c>
      <c r="O280" s="1">
        <v>0</v>
      </c>
      <c r="P280" s="1" t="s">
        <v>2082</v>
      </c>
      <c r="Q280" s="7" t="s">
        <v>2503</v>
      </c>
    </row>
    <row r="281" spans="1:17" ht="14.25" thickBot="1">
      <c r="A281" s="1" t="s">
        <v>310</v>
      </c>
      <c r="B281" s="2">
        <v>0</v>
      </c>
      <c r="C281" s="1" t="s">
        <v>2040</v>
      </c>
      <c r="D281" s="1" t="s">
        <v>12</v>
      </c>
      <c r="E281" s="1">
        <f>INDEX([1]游戏类型定义!$C$20:$C$29,MATCH(D281,[1]!装备部位,0))</f>
        <v>5</v>
      </c>
      <c r="F281" s="1">
        <v>1</v>
      </c>
      <c r="G281" s="1">
        <v>60</v>
      </c>
      <c r="H281" s="10" t="s">
        <v>2321</v>
      </c>
      <c r="I281" s="1">
        <v>6300</v>
      </c>
      <c r="J281" s="1">
        <v>5</v>
      </c>
      <c r="K281" s="1">
        <v>0</v>
      </c>
      <c r="L281" s="1">
        <v>0</v>
      </c>
      <c r="M281" s="1" t="s">
        <v>1982</v>
      </c>
      <c r="N281" s="1" t="s">
        <v>698</v>
      </c>
      <c r="O281" s="1">
        <v>0</v>
      </c>
      <c r="P281" s="1" t="s">
        <v>2082</v>
      </c>
      <c r="Q281" s="7" t="s">
        <v>2059</v>
      </c>
    </row>
    <row r="282" spans="1:17" ht="14.25" thickBot="1">
      <c r="A282" s="1" t="s">
        <v>311</v>
      </c>
      <c r="B282" s="3">
        <v>1</v>
      </c>
      <c r="C282" s="9" t="s">
        <v>2292</v>
      </c>
      <c r="D282" s="1" t="s">
        <v>13</v>
      </c>
      <c r="E282" s="1">
        <f>INDEX([1]游戏类型定义!$C$20:$C$29,MATCH(D282,[1]!装备部位,0))</f>
        <v>6</v>
      </c>
      <c r="F282" s="1">
        <v>1</v>
      </c>
      <c r="G282" s="1">
        <v>60</v>
      </c>
      <c r="H282" s="10" t="s">
        <v>2321</v>
      </c>
      <c r="I282" s="1">
        <v>6000</v>
      </c>
      <c r="J282" s="1">
        <v>5</v>
      </c>
      <c r="K282" s="1">
        <v>0</v>
      </c>
      <c r="L282" s="1">
        <v>0</v>
      </c>
      <c r="M282" s="1" t="s">
        <v>1985</v>
      </c>
      <c r="N282" s="1" t="s">
        <v>698</v>
      </c>
      <c r="O282" s="1">
        <v>0</v>
      </c>
      <c r="P282" s="1" t="s">
        <v>2082</v>
      </c>
      <c r="Q282" s="7" t="s">
        <v>2504</v>
      </c>
    </row>
    <row r="283" spans="1:17" ht="14.25" thickBot="1">
      <c r="A283" s="1" t="s">
        <v>312</v>
      </c>
      <c r="B283" s="2">
        <v>0</v>
      </c>
      <c r="C283" s="9" t="s">
        <v>2042</v>
      </c>
      <c r="D283" s="1" t="s">
        <v>13</v>
      </c>
      <c r="E283" s="1">
        <f>INDEX([1]游戏类型定义!$C$20:$C$29,MATCH(D283,[1]!装备部位,0))</f>
        <v>6</v>
      </c>
      <c r="F283" s="1">
        <v>1</v>
      </c>
      <c r="G283" s="1">
        <v>60</v>
      </c>
      <c r="H283" s="10" t="s">
        <v>2321</v>
      </c>
      <c r="I283" s="1">
        <v>6300</v>
      </c>
      <c r="J283" s="1">
        <v>5</v>
      </c>
      <c r="K283" s="1">
        <v>0</v>
      </c>
      <c r="L283" s="1">
        <v>0</v>
      </c>
      <c r="M283" s="1" t="s">
        <v>1986</v>
      </c>
      <c r="N283" s="1" t="s">
        <v>698</v>
      </c>
      <c r="O283" s="1">
        <v>0</v>
      </c>
      <c r="P283" s="1" t="s">
        <v>2082</v>
      </c>
      <c r="Q283" s="7" t="s">
        <v>2060</v>
      </c>
    </row>
    <row r="284" spans="1:17" ht="14.25" thickBot="1">
      <c r="A284" s="1" t="s">
        <v>313</v>
      </c>
      <c r="B284" s="3">
        <v>1</v>
      </c>
      <c r="C284" s="9" t="s">
        <v>2291</v>
      </c>
      <c r="D284" s="1" t="s">
        <v>12</v>
      </c>
      <c r="E284" s="1">
        <f>INDEX([1]游戏类型定义!$C$20:$C$29,MATCH(D284,[1]!装备部位,0))</f>
        <v>5</v>
      </c>
      <c r="F284" s="1">
        <v>1</v>
      </c>
      <c r="G284" s="1">
        <v>60</v>
      </c>
      <c r="H284" s="10" t="s">
        <v>2322</v>
      </c>
      <c r="I284" s="1">
        <v>6000</v>
      </c>
      <c r="J284" s="1">
        <v>5</v>
      </c>
      <c r="K284" s="1">
        <v>0</v>
      </c>
      <c r="L284" s="1">
        <v>0</v>
      </c>
      <c r="M284" s="1" t="s">
        <v>1981</v>
      </c>
      <c r="N284" s="1" t="s">
        <v>698</v>
      </c>
      <c r="O284" s="1">
        <v>0</v>
      </c>
      <c r="P284" s="1" t="s">
        <v>2082</v>
      </c>
      <c r="Q284" s="7" t="s">
        <v>2505</v>
      </c>
    </row>
    <row r="285" spans="1:17" ht="14.25" thickBot="1">
      <c r="A285" s="1" t="s">
        <v>314</v>
      </c>
      <c r="B285" s="2">
        <v>0</v>
      </c>
      <c r="C285" s="9" t="s">
        <v>2295</v>
      </c>
      <c r="D285" s="1" t="s">
        <v>12</v>
      </c>
      <c r="E285" s="1">
        <f>INDEX([1]游戏类型定义!$C$20:$C$29,MATCH(D285,[1]!装备部位,0))</f>
        <v>5</v>
      </c>
      <c r="F285" s="1">
        <v>1</v>
      </c>
      <c r="G285" s="1">
        <v>60</v>
      </c>
      <c r="H285" s="10" t="s">
        <v>2322</v>
      </c>
      <c r="I285" s="1">
        <v>6300</v>
      </c>
      <c r="J285" s="1">
        <v>5</v>
      </c>
      <c r="K285" s="1">
        <v>0</v>
      </c>
      <c r="L285" s="1">
        <v>0</v>
      </c>
      <c r="M285" s="1" t="s">
        <v>1982</v>
      </c>
      <c r="N285" s="1" t="s">
        <v>698</v>
      </c>
      <c r="O285" s="1">
        <v>0</v>
      </c>
      <c r="P285" s="1" t="s">
        <v>2082</v>
      </c>
      <c r="Q285" s="7" t="s">
        <v>2061</v>
      </c>
    </row>
    <row r="286" spans="1:17" ht="14.25" thickBot="1">
      <c r="A286" s="1" t="s">
        <v>315</v>
      </c>
      <c r="B286" s="3">
        <v>1</v>
      </c>
      <c r="C286" s="9" t="s">
        <v>2296</v>
      </c>
      <c r="D286" s="1" t="s">
        <v>13</v>
      </c>
      <c r="E286" s="1">
        <f>INDEX([1]游戏类型定义!$C$20:$C$29,MATCH(D286,[1]!装备部位,0))</f>
        <v>6</v>
      </c>
      <c r="F286" s="1">
        <v>1</v>
      </c>
      <c r="G286" s="1">
        <v>60</v>
      </c>
      <c r="H286" s="10" t="s">
        <v>2322</v>
      </c>
      <c r="I286" s="1">
        <v>6000</v>
      </c>
      <c r="J286" s="1">
        <v>5</v>
      </c>
      <c r="K286" s="1">
        <v>0</v>
      </c>
      <c r="L286" s="1">
        <v>0</v>
      </c>
      <c r="M286" s="1" t="s">
        <v>1987</v>
      </c>
      <c r="N286" s="1" t="s">
        <v>698</v>
      </c>
      <c r="O286" s="1">
        <v>0</v>
      </c>
      <c r="P286" s="1" t="s">
        <v>2082</v>
      </c>
      <c r="Q286" s="7" t="s">
        <v>2506</v>
      </c>
    </row>
    <row r="287" spans="1:17" ht="14.25" thickBot="1">
      <c r="A287" s="1" t="s">
        <v>316</v>
      </c>
      <c r="B287" s="2">
        <v>0</v>
      </c>
      <c r="C287" s="9" t="s">
        <v>2050</v>
      </c>
      <c r="D287" s="1" t="s">
        <v>13</v>
      </c>
      <c r="E287" s="1">
        <f>INDEX([1]游戏类型定义!$C$20:$C$29,MATCH(D287,[1]!装备部位,0))</f>
        <v>6</v>
      </c>
      <c r="F287" s="1">
        <v>1</v>
      </c>
      <c r="G287" s="1">
        <v>60</v>
      </c>
      <c r="H287" s="10" t="s">
        <v>2322</v>
      </c>
      <c r="I287" s="1">
        <v>6300</v>
      </c>
      <c r="J287" s="1">
        <v>5</v>
      </c>
      <c r="K287" s="1">
        <v>0</v>
      </c>
      <c r="L287" s="1">
        <v>0</v>
      </c>
      <c r="M287" s="1" t="s">
        <v>1988</v>
      </c>
      <c r="N287" s="1" t="s">
        <v>698</v>
      </c>
      <c r="O287" s="1">
        <v>0</v>
      </c>
      <c r="P287" s="1" t="s">
        <v>2082</v>
      </c>
      <c r="Q287" s="7" t="s">
        <v>2062</v>
      </c>
    </row>
    <row r="288" spans="1:17" ht="14.25" thickBot="1">
      <c r="A288" s="1" t="s">
        <v>317</v>
      </c>
      <c r="B288" s="3">
        <v>1</v>
      </c>
      <c r="C288" s="1" t="s">
        <v>2171</v>
      </c>
      <c r="D288" s="1" t="s">
        <v>11</v>
      </c>
      <c r="E288" s="1">
        <f>INDEX([1]游戏类型定义!$C$20:$C$29,MATCH(D288,[1]!装备部位,0))</f>
        <v>4</v>
      </c>
      <c r="F288" s="1">
        <v>1</v>
      </c>
      <c r="G288" s="1">
        <v>60</v>
      </c>
      <c r="H288" s="10">
        <v>0</v>
      </c>
      <c r="I288" s="1">
        <v>6000</v>
      </c>
      <c r="J288" s="1">
        <v>5</v>
      </c>
      <c r="K288" s="1">
        <v>0</v>
      </c>
      <c r="L288" s="1">
        <v>0</v>
      </c>
      <c r="M288" s="1" t="s">
        <v>1989</v>
      </c>
      <c r="N288" s="1" t="s">
        <v>698</v>
      </c>
      <c r="O288" s="1">
        <v>0</v>
      </c>
      <c r="P288" s="1" t="s">
        <v>2082</v>
      </c>
      <c r="Q288" s="7" t="s">
        <v>2507</v>
      </c>
    </row>
    <row r="289" spans="1:17" ht="14.25" thickBot="1">
      <c r="A289" s="1" t="s">
        <v>318</v>
      </c>
      <c r="B289" s="2">
        <v>0</v>
      </c>
      <c r="C289" s="1" t="s">
        <v>2172</v>
      </c>
      <c r="D289" s="1" t="s">
        <v>11</v>
      </c>
      <c r="E289" s="1">
        <f>INDEX([1]游戏类型定义!$C$20:$C$29,MATCH(D289,[1]!装备部位,0))</f>
        <v>4</v>
      </c>
      <c r="F289" s="1">
        <v>1</v>
      </c>
      <c r="G289" s="1">
        <v>60</v>
      </c>
      <c r="H289" s="10">
        <v>0</v>
      </c>
      <c r="I289" s="1">
        <v>6300</v>
      </c>
      <c r="J289" s="1">
        <v>5</v>
      </c>
      <c r="K289" s="1">
        <v>0</v>
      </c>
      <c r="L289" s="1">
        <v>0</v>
      </c>
      <c r="M289" s="1" t="s">
        <v>1990</v>
      </c>
      <c r="N289" s="1" t="s">
        <v>698</v>
      </c>
      <c r="O289" s="1">
        <v>0</v>
      </c>
      <c r="P289" s="1" t="s">
        <v>2082</v>
      </c>
      <c r="Q289" s="7" t="s">
        <v>2063</v>
      </c>
    </row>
    <row r="290" spans="1:17" ht="14.25" thickBot="1">
      <c r="A290" s="1" t="s">
        <v>319</v>
      </c>
      <c r="B290" s="3">
        <v>1</v>
      </c>
      <c r="C290" s="1" t="s">
        <v>2191</v>
      </c>
      <c r="D290" s="1" t="s">
        <v>14</v>
      </c>
      <c r="E290" s="1">
        <f>INDEX([1]游戏类型定义!$C$20:$C$29,MATCH(D290,[1]!装备部位,0))</f>
        <v>7</v>
      </c>
      <c r="F290" s="1">
        <v>1</v>
      </c>
      <c r="G290" s="1">
        <v>60</v>
      </c>
      <c r="H290" s="10">
        <v>0</v>
      </c>
      <c r="I290" s="1">
        <v>6000</v>
      </c>
      <c r="J290" s="1">
        <v>5</v>
      </c>
      <c r="K290" s="1">
        <v>0</v>
      </c>
      <c r="L290" s="1">
        <v>0</v>
      </c>
      <c r="M290" s="1" t="s">
        <v>1991</v>
      </c>
      <c r="N290" s="1" t="s">
        <v>698</v>
      </c>
      <c r="O290" s="1">
        <v>0</v>
      </c>
      <c r="P290" s="1" t="s">
        <v>2082</v>
      </c>
      <c r="Q290" s="7" t="s">
        <v>2508</v>
      </c>
    </row>
    <row r="291" spans="1:17" ht="14.25" thickBot="1">
      <c r="A291" s="1" t="s">
        <v>320</v>
      </c>
      <c r="B291" s="3">
        <v>1</v>
      </c>
      <c r="C291" s="1" t="s">
        <v>2190</v>
      </c>
      <c r="D291" s="1" t="s">
        <v>14</v>
      </c>
      <c r="E291" s="1">
        <f>INDEX([1]游戏类型定义!$C$20:$C$29,MATCH(D291,[1]!装备部位,0))</f>
        <v>7</v>
      </c>
      <c r="F291" s="1">
        <v>1</v>
      </c>
      <c r="G291" s="1">
        <v>60</v>
      </c>
      <c r="H291" s="10">
        <v>0</v>
      </c>
      <c r="I291" s="1">
        <v>6300</v>
      </c>
      <c r="J291" s="1">
        <v>5</v>
      </c>
      <c r="K291" s="1">
        <v>0</v>
      </c>
      <c r="L291" s="1">
        <v>0</v>
      </c>
      <c r="M291" s="1" t="s">
        <v>1992</v>
      </c>
      <c r="N291" s="1" t="s">
        <v>698</v>
      </c>
      <c r="O291" s="1">
        <v>0</v>
      </c>
      <c r="P291" s="1" t="s">
        <v>2082</v>
      </c>
      <c r="Q291" s="7" t="s">
        <v>2509</v>
      </c>
    </row>
    <row r="292" spans="1:17" ht="14.25" thickBot="1">
      <c r="A292" s="1" t="s">
        <v>321</v>
      </c>
      <c r="B292" s="3">
        <v>1</v>
      </c>
      <c r="C292" s="1" t="s">
        <v>2107</v>
      </c>
      <c r="D292" s="1" t="s">
        <v>8</v>
      </c>
      <c r="E292" s="1">
        <f>INDEX([1]游戏类型定义!$C$20:$C$29,MATCH(D292,[1]!装备部位,0))</f>
        <v>1</v>
      </c>
      <c r="F292" s="1">
        <v>1</v>
      </c>
      <c r="G292" s="1">
        <v>65</v>
      </c>
      <c r="H292" s="10">
        <v>0</v>
      </c>
      <c r="I292" s="1">
        <v>6500</v>
      </c>
      <c r="J292" s="1">
        <v>5</v>
      </c>
      <c r="K292" s="1">
        <v>0</v>
      </c>
      <c r="L292" s="1">
        <v>0</v>
      </c>
      <c r="M292" s="1" t="s">
        <v>1993</v>
      </c>
      <c r="N292" s="1" t="s">
        <v>698</v>
      </c>
      <c r="O292" s="1">
        <v>0</v>
      </c>
      <c r="P292" s="1" t="s">
        <v>2083</v>
      </c>
      <c r="Q292" s="7" t="s">
        <v>2510</v>
      </c>
    </row>
    <row r="293" spans="1:17" ht="14.25" thickBot="1">
      <c r="A293" s="1" t="s">
        <v>322</v>
      </c>
      <c r="B293" s="3">
        <v>1</v>
      </c>
      <c r="C293" s="1" t="s">
        <v>2118</v>
      </c>
      <c r="D293" s="1" t="s">
        <v>9</v>
      </c>
      <c r="E293" s="1">
        <f>INDEX([1]游戏类型定义!$C$20:$C$29,MATCH(D293,[1]!装备部位,0))</f>
        <v>2</v>
      </c>
      <c r="F293" s="1">
        <v>1</v>
      </c>
      <c r="G293" s="1">
        <v>65</v>
      </c>
      <c r="H293" s="10">
        <v>0</v>
      </c>
      <c r="I293" s="1">
        <v>6500</v>
      </c>
      <c r="J293" s="1">
        <v>5</v>
      </c>
      <c r="K293" s="1">
        <v>0</v>
      </c>
      <c r="L293" s="1">
        <v>0</v>
      </c>
      <c r="M293" s="1" t="s">
        <v>1994</v>
      </c>
      <c r="N293" s="1" t="s">
        <v>698</v>
      </c>
      <c r="O293" s="1">
        <v>0</v>
      </c>
      <c r="P293" s="1" t="s">
        <v>2083</v>
      </c>
      <c r="Q293" s="7" t="s">
        <v>2511</v>
      </c>
    </row>
    <row r="294" spans="1:17" ht="14.25" thickBot="1">
      <c r="A294" s="1" t="s">
        <v>323</v>
      </c>
      <c r="B294" s="3">
        <v>1</v>
      </c>
      <c r="C294" s="1" t="s">
        <v>2097</v>
      </c>
      <c r="D294" s="1" t="s">
        <v>10</v>
      </c>
      <c r="E294" s="1">
        <f>INDEX([1]游戏类型定义!$C$20:$C$29,MATCH(D294,[1]!装备部位,0))</f>
        <v>3</v>
      </c>
      <c r="F294" s="1">
        <v>1</v>
      </c>
      <c r="G294" s="1">
        <v>65</v>
      </c>
      <c r="H294" s="10">
        <v>0</v>
      </c>
      <c r="I294" s="1">
        <v>6500</v>
      </c>
      <c r="J294" s="1">
        <v>5</v>
      </c>
      <c r="K294" s="1">
        <v>0</v>
      </c>
      <c r="L294" s="1">
        <v>0</v>
      </c>
      <c r="M294" s="1" t="s">
        <v>1995</v>
      </c>
      <c r="N294" s="1" t="s">
        <v>698</v>
      </c>
      <c r="O294" s="1">
        <v>0</v>
      </c>
      <c r="P294" s="1" t="s">
        <v>2083</v>
      </c>
      <c r="Q294" s="7" t="s">
        <v>2512</v>
      </c>
    </row>
    <row r="295" spans="1:17" ht="14.25" thickBot="1">
      <c r="A295" s="1" t="s">
        <v>324</v>
      </c>
      <c r="B295" s="3">
        <v>1</v>
      </c>
      <c r="C295" s="1" t="s">
        <v>2139</v>
      </c>
      <c r="D295" s="1" t="s">
        <v>15</v>
      </c>
      <c r="E295" s="1">
        <f>INDEX([1]游戏类型定义!$C$20:$C$29,MATCH(D295,[1]!装备部位,0))</f>
        <v>8</v>
      </c>
      <c r="F295" s="1">
        <v>1</v>
      </c>
      <c r="G295" s="1">
        <v>65</v>
      </c>
      <c r="H295" s="10">
        <v>0</v>
      </c>
      <c r="I295" s="1">
        <v>6500</v>
      </c>
      <c r="J295" s="1">
        <v>5</v>
      </c>
      <c r="K295" s="1">
        <v>0</v>
      </c>
      <c r="L295" s="1">
        <v>0</v>
      </c>
      <c r="M295" s="1" t="s">
        <v>1996</v>
      </c>
      <c r="N295" s="1" t="s">
        <v>698</v>
      </c>
      <c r="O295" s="1">
        <v>0</v>
      </c>
      <c r="P295" s="1" t="s">
        <v>2083</v>
      </c>
      <c r="Q295" s="7" t="s">
        <v>2513</v>
      </c>
    </row>
    <row r="296" spans="1:17" ht="14.25" thickBot="1">
      <c r="A296" s="1" t="s">
        <v>325</v>
      </c>
      <c r="B296" s="3">
        <v>1</v>
      </c>
      <c r="C296" s="1" t="s">
        <v>2144</v>
      </c>
      <c r="D296" s="1" t="s">
        <v>16</v>
      </c>
      <c r="E296" s="1">
        <f>INDEX([1]游戏类型定义!$C$20:$C$29,MATCH(D296,[1]!装备部位,0))</f>
        <v>9</v>
      </c>
      <c r="F296" s="1">
        <v>1</v>
      </c>
      <c r="G296" s="1">
        <v>65</v>
      </c>
      <c r="H296" s="10">
        <v>0</v>
      </c>
      <c r="I296" s="1">
        <v>6500</v>
      </c>
      <c r="J296" s="1">
        <v>5</v>
      </c>
      <c r="K296" s="1">
        <v>0</v>
      </c>
      <c r="L296" s="1">
        <v>0</v>
      </c>
      <c r="M296" s="1" t="s">
        <v>1997</v>
      </c>
      <c r="N296" s="1" t="s">
        <v>698</v>
      </c>
      <c r="O296" s="1">
        <v>0</v>
      </c>
      <c r="P296" s="1" t="s">
        <v>2083</v>
      </c>
      <c r="Q296" s="7" t="s">
        <v>2514</v>
      </c>
    </row>
    <row r="297" spans="1:17" ht="14.25" thickBot="1">
      <c r="A297" s="1" t="s">
        <v>326</v>
      </c>
      <c r="B297" s="3">
        <v>1</v>
      </c>
      <c r="C297" s="1" t="s">
        <v>2155</v>
      </c>
      <c r="D297" s="1" t="s">
        <v>17</v>
      </c>
      <c r="E297" s="1">
        <f>INDEX([1]游戏类型定义!$C$20:$C$29,MATCH(D297,[1]!装备部位,0))</f>
        <v>10</v>
      </c>
      <c r="F297" s="1">
        <v>1</v>
      </c>
      <c r="G297" s="1">
        <v>65</v>
      </c>
      <c r="H297" s="10">
        <v>0</v>
      </c>
      <c r="I297" s="1">
        <v>6500</v>
      </c>
      <c r="J297" s="1">
        <v>5</v>
      </c>
      <c r="K297" s="1">
        <v>0</v>
      </c>
      <c r="L297" s="1">
        <v>0</v>
      </c>
      <c r="M297" s="1" t="s">
        <v>1998</v>
      </c>
      <c r="N297" s="1" t="s">
        <v>698</v>
      </c>
      <c r="O297" s="1">
        <v>0</v>
      </c>
      <c r="P297" s="1" t="s">
        <v>2083</v>
      </c>
      <c r="Q297" s="7" t="s">
        <v>2515</v>
      </c>
    </row>
    <row r="298" spans="1:17" ht="14.25" thickBot="1">
      <c r="A298" s="1" t="s">
        <v>327</v>
      </c>
      <c r="B298" s="3">
        <v>1</v>
      </c>
      <c r="C298" s="9" t="s">
        <v>2287</v>
      </c>
      <c r="D298" s="1" t="s">
        <v>12</v>
      </c>
      <c r="E298" s="1">
        <f>INDEX([1]游戏类型定义!$C$20:$C$29,MATCH(D298,[1]!装备部位,0))</f>
        <v>5</v>
      </c>
      <c r="F298" s="1">
        <v>1</v>
      </c>
      <c r="G298" s="1">
        <v>65</v>
      </c>
      <c r="H298" s="10" t="s">
        <v>2320</v>
      </c>
      <c r="I298" s="1">
        <v>6500</v>
      </c>
      <c r="J298" s="1">
        <v>5</v>
      </c>
      <c r="K298" s="1">
        <v>0</v>
      </c>
      <c r="L298" s="1">
        <v>0</v>
      </c>
      <c r="M298" s="1" t="s">
        <v>2028</v>
      </c>
      <c r="N298" s="1" t="s">
        <v>698</v>
      </c>
      <c r="O298" s="1">
        <v>0</v>
      </c>
      <c r="P298" s="1" t="s">
        <v>2083</v>
      </c>
      <c r="Q298" s="7" t="s">
        <v>2516</v>
      </c>
    </row>
    <row r="299" spans="1:17" ht="14.25" thickBot="1">
      <c r="A299" s="1" t="s">
        <v>328</v>
      </c>
      <c r="B299" s="2">
        <v>0</v>
      </c>
      <c r="C299" s="9" t="s">
        <v>2298</v>
      </c>
      <c r="D299" s="1" t="s">
        <v>12</v>
      </c>
      <c r="E299" s="1">
        <f>INDEX([1]游戏类型定义!$C$20:$C$29,MATCH(D299,[1]!装备部位,0))</f>
        <v>5</v>
      </c>
      <c r="F299" s="1">
        <v>1</v>
      </c>
      <c r="G299" s="1">
        <v>65</v>
      </c>
      <c r="H299" s="10" t="s">
        <v>2320</v>
      </c>
      <c r="I299" s="1">
        <v>6800</v>
      </c>
      <c r="J299" s="1">
        <v>5</v>
      </c>
      <c r="K299" s="1">
        <v>0</v>
      </c>
      <c r="L299" s="1">
        <v>0</v>
      </c>
      <c r="M299" s="1" t="s">
        <v>1999</v>
      </c>
      <c r="N299" s="1" t="s">
        <v>698</v>
      </c>
      <c r="O299" s="1">
        <v>0</v>
      </c>
      <c r="P299" s="1" t="s">
        <v>2083</v>
      </c>
      <c r="Q299" s="7" t="s">
        <v>2057</v>
      </c>
    </row>
    <row r="300" spans="1:17" ht="14.25" thickBot="1">
      <c r="A300" s="1" t="s">
        <v>329</v>
      </c>
      <c r="B300" s="3">
        <v>1</v>
      </c>
      <c r="C300" s="9" t="s">
        <v>2299</v>
      </c>
      <c r="D300" s="1" t="s">
        <v>13</v>
      </c>
      <c r="E300" s="1">
        <f>INDEX([1]游戏类型定义!$C$20:$C$29,MATCH(D300,[1]!装备部位,0))</f>
        <v>6</v>
      </c>
      <c r="F300" s="1">
        <v>1</v>
      </c>
      <c r="G300" s="1">
        <v>65</v>
      </c>
      <c r="H300" s="10" t="s">
        <v>2320</v>
      </c>
      <c r="I300" s="1">
        <v>6500</v>
      </c>
      <c r="J300" s="1">
        <v>5</v>
      </c>
      <c r="K300" s="1">
        <v>0</v>
      </c>
      <c r="L300" s="1">
        <v>0</v>
      </c>
      <c r="M300" s="1" t="s">
        <v>2000</v>
      </c>
      <c r="N300" s="1" t="s">
        <v>698</v>
      </c>
      <c r="O300" s="1">
        <v>0</v>
      </c>
      <c r="P300" s="1" t="s">
        <v>2083</v>
      </c>
      <c r="Q300" s="7" t="s">
        <v>2517</v>
      </c>
    </row>
    <row r="301" spans="1:17" ht="14.25" thickBot="1">
      <c r="A301" s="1" t="s">
        <v>330</v>
      </c>
      <c r="B301" s="2">
        <v>0</v>
      </c>
      <c r="C301" s="9" t="s">
        <v>2044</v>
      </c>
      <c r="D301" s="1" t="s">
        <v>13</v>
      </c>
      <c r="E301" s="1">
        <f>INDEX([1]游戏类型定义!$C$20:$C$29,MATCH(D301,[1]!装备部位,0))</f>
        <v>6</v>
      </c>
      <c r="F301" s="1">
        <v>1</v>
      </c>
      <c r="G301" s="1">
        <v>65</v>
      </c>
      <c r="H301" s="10" t="s">
        <v>2320</v>
      </c>
      <c r="I301" s="1">
        <v>6800</v>
      </c>
      <c r="J301" s="1">
        <v>5</v>
      </c>
      <c r="K301" s="1">
        <v>0</v>
      </c>
      <c r="L301" s="1">
        <v>0</v>
      </c>
      <c r="M301" s="1" t="s">
        <v>2000</v>
      </c>
      <c r="N301" s="1" t="s">
        <v>698</v>
      </c>
      <c r="O301" s="1">
        <v>0</v>
      </c>
      <c r="P301" s="1" t="s">
        <v>2083</v>
      </c>
      <c r="Q301" s="7" t="s">
        <v>2058</v>
      </c>
    </row>
    <row r="302" spans="1:17" ht="14.25" thickBot="1">
      <c r="A302" s="1" t="s">
        <v>331</v>
      </c>
      <c r="B302" s="3">
        <v>1</v>
      </c>
      <c r="C302" s="1" t="s">
        <v>2306</v>
      </c>
      <c r="D302" s="1" t="s">
        <v>12</v>
      </c>
      <c r="E302" s="1">
        <f>INDEX([1]游戏类型定义!$C$20:$C$29,MATCH(D302,[1]!装备部位,0))</f>
        <v>5</v>
      </c>
      <c r="F302" s="1">
        <v>1</v>
      </c>
      <c r="G302" s="1">
        <v>65</v>
      </c>
      <c r="H302" s="10" t="s">
        <v>2321</v>
      </c>
      <c r="I302" s="1">
        <v>6500</v>
      </c>
      <c r="J302" s="1">
        <v>5</v>
      </c>
      <c r="K302" s="1">
        <v>0</v>
      </c>
      <c r="L302" s="1">
        <v>0</v>
      </c>
      <c r="M302" s="1" t="s">
        <v>2028</v>
      </c>
      <c r="N302" s="1" t="s">
        <v>698</v>
      </c>
      <c r="O302" s="1">
        <v>0</v>
      </c>
      <c r="P302" s="1" t="s">
        <v>2083</v>
      </c>
      <c r="Q302" s="7" t="s">
        <v>2518</v>
      </c>
    </row>
    <row r="303" spans="1:17" ht="14.25" thickBot="1">
      <c r="A303" s="1" t="s">
        <v>332</v>
      </c>
      <c r="B303" s="2">
        <v>0</v>
      </c>
      <c r="C303" s="1" t="s">
        <v>2303</v>
      </c>
      <c r="D303" s="1" t="s">
        <v>12</v>
      </c>
      <c r="E303" s="1">
        <f>INDEX([1]游戏类型定义!$C$20:$C$29,MATCH(D303,[1]!装备部位,0))</f>
        <v>5</v>
      </c>
      <c r="F303" s="1">
        <v>1</v>
      </c>
      <c r="G303" s="1">
        <v>65</v>
      </c>
      <c r="H303" s="10" t="s">
        <v>2321</v>
      </c>
      <c r="I303" s="1">
        <v>6800</v>
      </c>
      <c r="J303" s="1">
        <v>5</v>
      </c>
      <c r="K303" s="1">
        <v>0</v>
      </c>
      <c r="L303" s="1">
        <v>0</v>
      </c>
      <c r="M303" s="1" t="s">
        <v>1999</v>
      </c>
      <c r="N303" s="1" t="s">
        <v>698</v>
      </c>
      <c r="O303" s="1">
        <v>0</v>
      </c>
      <c r="P303" s="1" t="s">
        <v>2083</v>
      </c>
      <c r="Q303" s="7" t="s">
        <v>2059</v>
      </c>
    </row>
    <row r="304" spans="1:17" ht="14.25" thickBot="1">
      <c r="A304" s="1" t="s">
        <v>333</v>
      </c>
      <c r="B304" s="3">
        <v>1</v>
      </c>
      <c r="C304" s="9" t="s">
        <v>2307</v>
      </c>
      <c r="D304" s="1" t="s">
        <v>13</v>
      </c>
      <c r="E304" s="1">
        <f>INDEX([1]游戏类型定义!$C$20:$C$29,MATCH(D304,[1]!装备部位,0))</f>
        <v>6</v>
      </c>
      <c r="F304" s="1">
        <v>1</v>
      </c>
      <c r="G304" s="1">
        <v>65</v>
      </c>
      <c r="H304" s="10" t="s">
        <v>2321</v>
      </c>
      <c r="I304" s="1">
        <v>6500</v>
      </c>
      <c r="J304" s="1">
        <v>5</v>
      </c>
      <c r="K304" s="1">
        <v>0</v>
      </c>
      <c r="L304" s="1">
        <v>0</v>
      </c>
      <c r="M304" s="1" t="s">
        <v>2001</v>
      </c>
      <c r="N304" s="1" t="s">
        <v>698</v>
      </c>
      <c r="O304" s="1">
        <v>0</v>
      </c>
      <c r="P304" s="1" t="s">
        <v>2083</v>
      </c>
      <c r="Q304" s="7" t="s">
        <v>2519</v>
      </c>
    </row>
    <row r="305" spans="1:17" ht="14.25" thickBot="1">
      <c r="A305" s="1" t="s">
        <v>334</v>
      </c>
      <c r="B305" s="2">
        <v>0</v>
      </c>
      <c r="C305" s="9" t="s">
        <v>2042</v>
      </c>
      <c r="D305" s="1" t="s">
        <v>13</v>
      </c>
      <c r="E305" s="1">
        <f>INDEX([1]游戏类型定义!$C$20:$C$29,MATCH(D305,[1]!装备部位,0))</f>
        <v>6</v>
      </c>
      <c r="F305" s="1">
        <v>1</v>
      </c>
      <c r="G305" s="1">
        <v>65</v>
      </c>
      <c r="H305" s="10" t="s">
        <v>2321</v>
      </c>
      <c r="I305" s="1">
        <v>6800</v>
      </c>
      <c r="J305" s="1">
        <v>5</v>
      </c>
      <c r="K305" s="1">
        <v>0</v>
      </c>
      <c r="L305" s="1">
        <v>0</v>
      </c>
      <c r="M305" s="1" t="s">
        <v>2001</v>
      </c>
      <c r="N305" s="1" t="s">
        <v>698</v>
      </c>
      <c r="O305" s="1">
        <v>0</v>
      </c>
      <c r="P305" s="1" t="s">
        <v>2083</v>
      </c>
      <c r="Q305" s="7" t="s">
        <v>2060</v>
      </c>
    </row>
    <row r="306" spans="1:17" ht="14.25" thickBot="1">
      <c r="A306" s="1" t="s">
        <v>335</v>
      </c>
      <c r="B306" s="3">
        <v>1</v>
      </c>
      <c r="C306" s="9" t="s">
        <v>2294</v>
      </c>
      <c r="D306" s="1" t="s">
        <v>12</v>
      </c>
      <c r="E306" s="1">
        <f>INDEX([1]游戏类型定义!$C$20:$C$29,MATCH(D306,[1]!装备部位,0))</f>
        <v>5</v>
      </c>
      <c r="F306" s="1">
        <v>1</v>
      </c>
      <c r="G306" s="1">
        <v>65</v>
      </c>
      <c r="H306" s="10" t="s">
        <v>2322</v>
      </c>
      <c r="I306" s="1">
        <v>6500</v>
      </c>
      <c r="J306" s="1">
        <v>5</v>
      </c>
      <c r="K306" s="1">
        <v>0</v>
      </c>
      <c r="L306" s="1">
        <v>0</v>
      </c>
      <c r="M306" s="1" t="s">
        <v>2028</v>
      </c>
      <c r="N306" s="1" t="s">
        <v>698</v>
      </c>
      <c r="O306" s="1">
        <v>0</v>
      </c>
      <c r="P306" s="1" t="s">
        <v>2083</v>
      </c>
      <c r="Q306" s="7" t="s">
        <v>2520</v>
      </c>
    </row>
    <row r="307" spans="1:17" ht="14.25" thickBot="1">
      <c r="A307" s="1" t="s">
        <v>336</v>
      </c>
      <c r="B307" s="2">
        <v>0</v>
      </c>
      <c r="C307" s="9" t="s">
        <v>2048</v>
      </c>
      <c r="D307" s="1" t="s">
        <v>12</v>
      </c>
      <c r="E307" s="1">
        <f>INDEX([1]游戏类型定义!$C$20:$C$29,MATCH(D307,[1]!装备部位,0))</f>
        <v>5</v>
      </c>
      <c r="F307" s="1">
        <v>1</v>
      </c>
      <c r="G307" s="1">
        <v>65</v>
      </c>
      <c r="H307" s="10" t="s">
        <v>2322</v>
      </c>
      <c r="I307" s="1">
        <v>6800</v>
      </c>
      <c r="J307" s="1">
        <v>5</v>
      </c>
      <c r="K307" s="1">
        <v>0</v>
      </c>
      <c r="L307" s="1">
        <v>0</v>
      </c>
      <c r="M307" s="1" t="s">
        <v>1999</v>
      </c>
      <c r="N307" s="1" t="s">
        <v>698</v>
      </c>
      <c r="O307" s="1">
        <v>0</v>
      </c>
      <c r="P307" s="1" t="s">
        <v>2083</v>
      </c>
      <c r="Q307" s="7" t="s">
        <v>2061</v>
      </c>
    </row>
    <row r="308" spans="1:17" ht="14.25" thickBot="1">
      <c r="A308" s="1" t="s">
        <v>337</v>
      </c>
      <c r="B308" s="3">
        <v>1</v>
      </c>
      <c r="C308" s="9" t="s">
        <v>2284</v>
      </c>
      <c r="D308" s="1" t="s">
        <v>13</v>
      </c>
      <c r="E308" s="1">
        <f>INDEX([1]游戏类型定义!$C$20:$C$29,MATCH(D308,[1]!装备部位,0))</f>
        <v>6</v>
      </c>
      <c r="F308" s="1">
        <v>1</v>
      </c>
      <c r="G308" s="1">
        <v>65</v>
      </c>
      <c r="H308" s="10" t="s">
        <v>2322</v>
      </c>
      <c r="I308" s="1">
        <v>6500</v>
      </c>
      <c r="J308" s="1">
        <v>5</v>
      </c>
      <c r="K308" s="1">
        <v>0</v>
      </c>
      <c r="L308" s="1">
        <v>0</v>
      </c>
      <c r="M308" s="1" t="s">
        <v>2002</v>
      </c>
      <c r="N308" s="1" t="s">
        <v>698</v>
      </c>
      <c r="O308" s="1">
        <v>0</v>
      </c>
      <c r="P308" s="1" t="s">
        <v>2083</v>
      </c>
      <c r="Q308" s="7" t="s">
        <v>2521</v>
      </c>
    </row>
    <row r="309" spans="1:17" ht="14.25" thickBot="1">
      <c r="A309" s="1" t="s">
        <v>338</v>
      </c>
      <c r="B309" s="2">
        <v>0</v>
      </c>
      <c r="C309" s="9" t="s">
        <v>2050</v>
      </c>
      <c r="D309" s="1" t="s">
        <v>13</v>
      </c>
      <c r="E309" s="1">
        <f>INDEX([1]游戏类型定义!$C$20:$C$29,MATCH(D309,[1]!装备部位,0))</f>
        <v>6</v>
      </c>
      <c r="F309" s="1">
        <v>1</v>
      </c>
      <c r="G309" s="1">
        <v>65</v>
      </c>
      <c r="H309" s="10" t="s">
        <v>2322</v>
      </c>
      <c r="I309" s="1">
        <v>6800</v>
      </c>
      <c r="J309" s="1">
        <v>5</v>
      </c>
      <c r="K309" s="1">
        <v>0</v>
      </c>
      <c r="L309" s="1">
        <v>0</v>
      </c>
      <c r="M309" s="1" t="s">
        <v>2003</v>
      </c>
      <c r="N309" s="1" t="s">
        <v>698</v>
      </c>
      <c r="O309" s="1">
        <v>0</v>
      </c>
      <c r="P309" s="1" t="s">
        <v>2083</v>
      </c>
      <c r="Q309" s="7" t="s">
        <v>2062</v>
      </c>
    </row>
    <row r="310" spans="1:17" ht="14.25" thickBot="1">
      <c r="A310" s="1" t="s">
        <v>339</v>
      </c>
      <c r="B310" s="3">
        <v>1</v>
      </c>
      <c r="C310" s="1" t="s">
        <v>2175</v>
      </c>
      <c r="D310" s="1" t="s">
        <v>11</v>
      </c>
      <c r="E310" s="1">
        <f>INDEX([1]游戏类型定义!$C$20:$C$29,MATCH(D310,[1]!装备部位,0))</f>
        <v>4</v>
      </c>
      <c r="F310" s="1">
        <v>1</v>
      </c>
      <c r="G310" s="1">
        <v>65</v>
      </c>
      <c r="H310" s="10">
        <v>0</v>
      </c>
      <c r="I310" s="1">
        <v>6500</v>
      </c>
      <c r="J310" s="1">
        <v>5</v>
      </c>
      <c r="K310" s="1">
        <v>0</v>
      </c>
      <c r="L310" s="1">
        <v>0</v>
      </c>
      <c r="M310" s="1" t="s">
        <v>2004</v>
      </c>
      <c r="N310" s="1" t="s">
        <v>698</v>
      </c>
      <c r="O310" s="1">
        <v>0</v>
      </c>
      <c r="P310" s="1" t="s">
        <v>2083</v>
      </c>
      <c r="Q310" s="7" t="s">
        <v>2522</v>
      </c>
    </row>
    <row r="311" spans="1:17" ht="14.25" thickBot="1">
      <c r="A311" s="1" t="s">
        <v>340</v>
      </c>
      <c r="B311" s="2">
        <v>0</v>
      </c>
      <c r="C311" s="1" t="s">
        <v>2030</v>
      </c>
      <c r="D311" s="1" t="s">
        <v>11</v>
      </c>
      <c r="E311" s="1">
        <f>INDEX([1]游戏类型定义!$C$20:$C$29,MATCH(D311,[1]!装备部位,0))</f>
        <v>4</v>
      </c>
      <c r="F311" s="1">
        <v>1</v>
      </c>
      <c r="G311" s="1">
        <v>65</v>
      </c>
      <c r="H311" s="10">
        <v>0</v>
      </c>
      <c r="I311" s="1">
        <v>6800</v>
      </c>
      <c r="J311" s="1">
        <v>5</v>
      </c>
      <c r="K311" s="1">
        <v>0</v>
      </c>
      <c r="L311" s="1">
        <v>0</v>
      </c>
      <c r="M311" s="1" t="s">
        <v>2004</v>
      </c>
      <c r="N311" s="1" t="s">
        <v>698</v>
      </c>
      <c r="O311" s="1">
        <v>0</v>
      </c>
      <c r="P311" s="1" t="s">
        <v>2083</v>
      </c>
      <c r="Q311" s="7" t="s">
        <v>2063</v>
      </c>
    </row>
    <row r="312" spans="1:17" ht="14.25" thickBot="1">
      <c r="A312" s="1" t="s">
        <v>341</v>
      </c>
      <c r="B312" s="3">
        <v>1</v>
      </c>
      <c r="C312" s="1" t="s">
        <v>2192</v>
      </c>
      <c r="D312" s="1" t="s">
        <v>14</v>
      </c>
      <c r="E312" s="1">
        <f>INDEX([1]游戏类型定义!$C$20:$C$29,MATCH(D312,[1]!装备部位,0))</f>
        <v>7</v>
      </c>
      <c r="F312" s="1">
        <v>1</v>
      </c>
      <c r="G312" s="1">
        <v>65</v>
      </c>
      <c r="H312" s="10">
        <v>0</v>
      </c>
      <c r="I312" s="1">
        <v>6500</v>
      </c>
      <c r="J312" s="1">
        <v>5</v>
      </c>
      <c r="K312" s="1">
        <v>0</v>
      </c>
      <c r="L312" s="1">
        <v>0</v>
      </c>
      <c r="M312" s="1" t="s">
        <v>2005</v>
      </c>
      <c r="N312" s="1" t="s">
        <v>698</v>
      </c>
      <c r="O312" s="1">
        <v>0</v>
      </c>
      <c r="P312" s="1" t="s">
        <v>2083</v>
      </c>
      <c r="Q312" s="7" t="s">
        <v>2523</v>
      </c>
    </row>
    <row r="313" spans="1:17" ht="14.25" thickBot="1">
      <c r="A313" s="1" t="s">
        <v>342</v>
      </c>
      <c r="B313" s="2">
        <v>0</v>
      </c>
      <c r="C313" s="1" t="s">
        <v>2038</v>
      </c>
      <c r="D313" s="1" t="s">
        <v>14</v>
      </c>
      <c r="E313" s="1">
        <f>INDEX([1]游戏类型定义!$C$20:$C$29,MATCH(D313,[1]!装备部位,0))</f>
        <v>7</v>
      </c>
      <c r="F313" s="1">
        <v>1</v>
      </c>
      <c r="G313" s="1">
        <v>65</v>
      </c>
      <c r="H313" s="10">
        <v>0</v>
      </c>
      <c r="I313" s="1">
        <v>6800</v>
      </c>
      <c r="J313" s="1">
        <v>5</v>
      </c>
      <c r="K313" s="1">
        <v>0</v>
      </c>
      <c r="L313" s="1">
        <v>0</v>
      </c>
      <c r="M313" s="1" t="s">
        <v>2005</v>
      </c>
      <c r="N313" s="1" t="s">
        <v>698</v>
      </c>
      <c r="O313" s="1">
        <v>0</v>
      </c>
      <c r="P313" s="1" t="s">
        <v>2083</v>
      </c>
      <c r="Q313" s="7" t="s">
        <v>2064</v>
      </c>
    </row>
    <row r="314" spans="1:17" ht="14.25" thickBot="1">
      <c r="A314" s="1" t="s">
        <v>343</v>
      </c>
      <c r="B314" s="2">
        <v>0</v>
      </c>
      <c r="C314" s="1" t="s">
        <v>2130</v>
      </c>
      <c r="D314" s="1" t="s">
        <v>8</v>
      </c>
      <c r="E314" s="1">
        <f>INDEX([1]游戏类型定义!$C$20:$C$29,MATCH(D314,[1]!装备部位,0))</f>
        <v>1</v>
      </c>
      <c r="F314" s="1">
        <v>1</v>
      </c>
      <c r="G314" s="1">
        <v>70</v>
      </c>
      <c r="H314" s="10">
        <v>0</v>
      </c>
      <c r="I314" s="1">
        <v>7000</v>
      </c>
      <c r="J314" s="1">
        <v>5</v>
      </c>
      <c r="K314" s="1">
        <v>0</v>
      </c>
      <c r="L314" s="1">
        <v>0</v>
      </c>
      <c r="M314" s="1" t="s">
        <v>1798</v>
      </c>
      <c r="N314" s="1" t="s">
        <v>698</v>
      </c>
      <c r="O314" s="1">
        <v>0</v>
      </c>
      <c r="P314" s="1" t="s">
        <v>2084</v>
      </c>
      <c r="Q314" s="7" t="s">
        <v>2051</v>
      </c>
    </row>
    <row r="315" spans="1:17" ht="14.25" thickBot="1">
      <c r="A315" s="1" t="s">
        <v>344</v>
      </c>
      <c r="B315" s="2">
        <v>0</v>
      </c>
      <c r="C315" s="1" t="s">
        <v>2119</v>
      </c>
      <c r="D315" s="1" t="s">
        <v>9</v>
      </c>
      <c r="E315" s="1">
        <f>INDEX([1]游戏类型定义!$C$20:$C$29,MATCH(D315,[1]!装备部位,0))</f>
        <v>2</v>
      </c>
      <c r="F315" s="1">
        <v>1</v>
      </c>
      <c r="G315" s="1">
        <v>70</v>
      </c>
      <c r="H315" s="10">
        <v>0</v>
      </c>
      <c r="I315" s="1">
        <v>7000</v>
      </c>
      <c r="J315" s="1">
        <v>5</v>
      </c>
      <c r="K315" s="1">
        <v>0</v>
      </c>
      <c r="L315" s="1">
        <v>0</v>
      </c>
      <c r="M315" s="1" t="s">
        <v>2006</v>
      </c>
      <c r="N315" s="1" t="s">
        <v>698</v>
      </c>
      <c r="O315" s="1">
        <v>0</v>
      </c>
      <c r="P315" s="1" t="s">
        <v>2084</v>
      </c>
      <c r="Q315" s="7" t="s">
        <v>2052</v>
      </c>
    </row>
    <row r="316" spans="1:17" ht="14.25" thickBot="1">
      <c r="A316" s="1" t="s">
        <v>345</v>
      </c>
      <c r="B316" s="2">
        <v>0</v>
      </c>
      <c r="C316" s="1" t="s">
        <v>2129</v>
      </c>
      <c r="D316" s="1" t="s">
        <v>10</v>
      </c>
      <c r="E316" s="1">
        <f>INDEX([1]游戏类型定义!$C$20:$C$29,MATCH(D316,[1]!装备部位,0))</f>
        <v>3</v>
      </c>
      <c r="F316" s="1">
        <v>1</v>
      </c>
      <c r="G316" s="1">
        <v>70</v>
      </c>
      <c r="H316" s="10">
        <v>0</v>
      </c>
      <c r="I316" s="1">
        <v>7000</v>
      </c>
      <c r="J316" s="1">
        <v>5</v>
      </c>
      <c r="K316" s="1">
        <v>0</v>
      </c>
      <c r="L316" s="1">
        <v>0</v>
      </c>
      <c r="M316" s="1" t="s">
        <v>2007</v>
      </c>
      <c r="N316" s="1" t="s">
        <v>698</v>
      </c>
      <c r="O316" s="1">
        <v>0</v>
      </c>
      <c r="P316" s="1" t="s">
        <v>2084</v>
      </c>
      <c r="Q316" s="7" t="s">
        <v>2053</v>
      </c>
    </row>
    <row r="317" spans="1:17" ht="14.25" thickBot="1">
      <c r="A317" s="1" t="s">
        <v>346</v>
      </c>
      <c r="B317" s="2">
        <v>0</v>
      </c>
      <c r="C317" s="1" t="s">
        <v>2131</v>
      </c>
      <c r="D317" s="1" t="s">
        <v>15</v>
      </c>
      <c r="E317" s="1">
        <f>INDEX([1]游戏类型定义!$C$20:$C$29,MATCH(D317,[1]!装备部位,0))</f>
        <v>8</v>
      </c>
      <c r="F317" s="1">
        <v>1</v>
      </c>
      <c r="G317" s="1">
        <v>70</v>
      </c>
      <c r="H317" s="10">
        <v>0</v>
      </c>
      <c r="I317" s="1">
        <v>7000</v>
      </c>
      <c r="J317" s="1">
        <v>5</v>
      </c>
      <c r="K317" s="1">
        <v>0</v>
      </c>
      <c r="L317" s="1">
        <v>0</v>
      </c>
      <c r="M317" s="1" t="s">
        <v>2008</v>
      </c>
      <c r="N317" s="1" t="s">
        <v>698</v>
      </c>
      <c r="O317" s="1">
        <v>0</v>
      </c>
      <c r="P317" s="1" t="s">
        <v>2084</v>
      </c>
      <c r="Q317" s="7" t="s">
        <v>2054</v>
      </c>
    </row>
    <row r="318" spans="1:17" ht="14.25" thickBot="1">
      <c r="A318" s="1" t="s">
        <v>347</v>
      </c>
      <c r="B318" s="2">
        <v>0</v>
      </c>
      <c r="C318" s="1" t="s">
        <v>2145</v>
      </c>
      <c r="D318" s="1" t="s">
        <v>16</v>
      </c>
      <c r="E318" s="1">
        <f>INDEX([1]游戏类型定义!$C$20:$C$29,MATCH(D318,[1]!装备部位,0))</f>
        <v>9</v>
      </c>
      <c r="F318" s="1">
        <v>1</v>
      </c>
      <c r="G318" s="1">
        <v>70</v>
      </c>
      <c r="H318" s="10">
        <v>0</v>
      </c>
      <c r="I318" s="1">
        <v>7000</v>
      </c>
      <c r="J318" s="1">
        <v>5</v>
      </c>
      <c r="K318" s="1">
        <v>0</v>
      </c>
      <c r="L318" s="1">
        <v>0</v>
      </c>
      <c r="M318" s="1" t="s">
        <v>2009</v>
      </c>
      <c r="N318" s="1" t="s">
        <v>698</v>
      </c>
      <c r="O318" s="1">
        <v>0</v>
      </c>
      <c r="P318" s="1" t="s">
        <v>2084</v>
      </c>
      <c r="Q318" s="7" t="s">
        <v>2055</v>
      </c>
    </row>
    <row r="319" spans="1:17" ht="14.25" thickBot="1">
      <c r="A319" s="1" t="s">
        <v>348</v>
      </c>
      <c r="B319" s="2">
        <v>0</v>
      </c>
      <c r="C319" s="1" t="s">
        <v>2156</v>
      </c>
      <c r="D319" s="1" t="s">
        <v>17</v>
      </c>
      <c r="E319" s="1">
        <f>INDEX([1]游戏类型定义!$C$20:$C$29,MATCH(D319,[1]!装备部位,0))</f>
        <v>10</v>
      </c>
      <c r="F319" s="1">
        <v>1</v>
      </c>
      <c r="G319" s="1">
        <v>70</v>
      </c>
      <c r="H319" s="10">
        <v>0</v>
      </c>
      <c r="I319" s="1">
        <v>7000</v>
      </c>
      <c r="J319" s="1">
        <v>5</v>
      </c>
      <c r="K319" s="1">
        <v>0</v>
      </c>
      <c r="L319" s="1">
        <v>0</v>
      </c>
      <c r="M319" s="1" t="s">
        <v>1803</v>
      </c>
      <c r="N319" s="1" t="s">
        <v>698</v>
      </c>
      <c r="O319" s="1">
        <v>0</v>
      </c>
      <c r="P319" s="1" t="s">
        <v>2084</v>
      </c>
      <c r="Q319" s="7" t="s">
        <v>2056</v>
      </c>
    </row>
    <row r="320" spans="1:17" ht="14.25" thickBot="1">
      <c r="A320" s="1" t="s">
        <v>349</v>
      </c>
      <c r="B320" s="3">
        <v>1</v>
      </c>
      <c r="C320" s="9" t="s">
        <v>2298</v>
      </c>
      <c r="D320" s="1" t="s">
        <v>12</v>
      </c>
      <c r="E320" s="1">
        <f>INDEX([1]游戏类型定义!$C$20:$C$29,MATCH(D320,[1]!装备部位,0))</f>
        <v>5</v>
      </c>
      <c r="F320" s="1">
        <v>1</v>
      </c>
      <c r="G320" s="1">
        <v>70</v>
      </c>
      <c r="H320" s="10" t="s">
        <v>2320</v>
      </c>
      <c r="I320" s="1">
        <v>7000</v>
      </c>
      <c r="J320" s="1">
        <v>5</v>
      </c>
      <c r="K320" s="1">
        <v>0</v>
      </c>
      <c r="L320" s="1">
        <v>0</v>
      </c>
      <c r="M320" s="1" t="s">
        <v>2029</v>
      </c>
      <c r="N320" s="1" t="s">
        <v>698</v>
      </c>
      <c r="O320" s="1">
        <v>0</v>
      </c>
      <c r="P320" s="1" t="s">
        <v>2084</v>
      </c>
      <c r="Q320" s="7" t="s">
        <v>2524</v>
      </c>
    </row>
    <row r="321" spans="1:17" ht="14.25" thickBot="1">
      <c r="A321" s="1" t="s">
        <v>350</v>
      </c>
      <c r="B321" s="2">
        <v>0</v>
      </c>
      <c r="C321" s="9" t="s">
        <v>2309</v>
      </c>
      <c r="D321" s="1" t="s">
        <v>12</v>
      </c>
      <c r="E321" s="1">
        <f>INDEX([1]游戏类型定义!$C$20:$C$29,MATCH(D321,[1]!装备部位,0))</f>
        <v>5</v>
      </c>
      <c r="F321" s="1">
        <v>1</v>
      </c>
      <c r="G321" s="1">
        <v>70</v>
      </c>
      <c r="H321" s="10" t="s">
        <v>2320</v>
      </c>
      <c r="I321" s="1">
        <v>7300</v>
      </c>
      <c r="J321" s="1">
        <v>5</v>
      </c>
      <c r="K321" s="1">
        <v>0</v>
      </c>
      <c r="L321" s="1">
        <v>0</v>
      </c>
      <c r="M321" s="1" t="s">
        <v>2029</v>
      </c>
      <c r="N321" s="1" t="s">
        <v>698</v>
      </c>
      <c r="O321" s="1">
        <v>0</v>
      </c>
      <c r="P321" s="1" t="s">
        <v>2084</v>
      </c>
      <c r="Q321" s="7" t="s">
        <v>2057</v>
      </c>
    </row>
    <row r="322" spans="1:17" ht="14.25" thickBot="1">
      <c r="A322" s="1" t="s">
        <v>351</v>
      </c>
      <c r="B322" s="3">
        <v>1</v>
      </c>
      <c r="C322" s="9" t="s">
        <v>2310</v>
      </c>
      <c r="D322" s="1" t="s">
        <v>13</v>
      </c>
      <c r="E322" s="1">
        <f>INDEX([1]游戏类型定义!$C$20:$C$29,MATCH(D322,[1]!装备部位,0))</f>
        <v>6</v>
      </c>
      <c r="F322" s="1">
        <v>1</v>
      </c>
      <c r="G322" s="1">
        <v>70</v>
      </c>
      <c r="H322" s="10" t="s">
        <v>2320</v>
      </c>
      <c r="I322" s="1">
        <v>7000</v>
      </c>
      <c r="J322" s="1">
        <v>5</v>
      </c>
      <c r="K322" s="1">
        <v>0</v>
      </c>
      <c r="L322" s="1">
        <v>0</v>
      </c>
      <c r="M322" s="1" t="s">
        <v>2010</v>
      </c>
      <c r="N322" s="1" t="s">
        <v>698</v>
      </c>
      <c r="O322" s="1">
        <v>0</v>
      </c>
      <c r="P322" s="1" t="s">
        <v>2084</v>
      </c>
      <c r="Q322" s="7" t="s">
        <v>2525</v>
      </c>
    </row>
    <row r="323" spans="1:17" ht="14.25" thickBot="1">
      <c r="A323" s="1" t="s">
        <v>352</v>
      </c>
      <c r="B323" s="2">
        <v>0</v>
      </c>
      <c r="C323" s="9" t="s">
        <v>2308</v>
      </c>
      <c r="D323" s="1" t="s">
        <v>13</v>
      </c>
      <c r="E323" s="1">
        <f>INDEX([1]游戏类型定义!$C$20:$C$29,MATCH(D323,[1]!装备部位,0))</f>
        <v>6</v>
      </c>
      <c r="F323" s="1">
        <v>1</v>
      </c>
      <c r="G323" s="1">
        <v>70</v>
      </c>
      <c r="H323" s="10" t="s">
        <v>2320</v>
      </c>
      <c r="I323" s="1">
        <v>7300</v>
      </c>
      <c r="J323" s="1">
        <v>5</v>
      </c>
      <c r="K323" s="1">
        <v>0</v>
      </c>
      <c r="L323" s="1">
        <v>0</v>
      </c>
      <c r="M323" s="1" t="s">
        <v>2010</v>
      </c>
      <c r="N323" s="1" t="s">
        <v>698</v>
      </c>
      <c r="O323" s="1">
        <v>0</v>
      </c>
      <c r="P323" s="1" t="s">
        <v>2084</v>
      </c>
      <c r="Q323" s="7" t="s">
        <v>2058</v>
      </c>
    </row>
    <row r="324" spans="1:17" ht="14.25" thickBot="1">
      <c r="A324" s="1" t="s">
        <v>353</v>
      </c>
      <c r="B324" s="3">
        <v>1</v>
      </c>
      <c r="C324" s="1" t="s">
        <v>2303</v>
      </c>
      <c r="D324" s="1" t="s">
        <v>12</v>
      </c>
      <c r="E324" s="1">
        <f>INDEX([1]游戏类型定义!$C$20:$C$29,MATCH(D324,[1]!装备部位,0))</f>
        <v>5</v>
      </c>
      <c r="F324" s="1">
        <v>1</v>
      </c>
      <c r="G324" s="1">
        <v>70</v>
      </c>
      <c r="H324" s="10" t="s">
        <v>2321</v>
      </c>
      <c r="I324" s="1">
        <v>7000</v>
      </c>
      <c r="J324" s="1">
        <v>5</v>
      </c>
      <c r="K324" s="1">
        <v>0</v>
      </c>
      <c r="L324" s="1">
        <v>0</v>
      </c>
      <c r="M324" s="1" t="s">
        <v>2029</v>
      </c>
      <c r="N324" s="1" t="s">
        <v>698</v>
      </c>
      <c r="O324" s="1">
        <v>0</v>
      </c>
      <c r="P324" s="1" t="s">
        <v>2084</v>
      </c>
      <c r="Q324" s="7" t="s">
        <v>2526</v>
      </c>
    </row>
    <row r="325" spans="1:17" ht="14.25" thickBot="1">
      <c r="A325" s="1" t="s">
        <v>354</v>
      </c>
      <c r="B325" s="2">
        <v>0</v>
      </c>
      <c r="C325" s="1" t="s">
        <v>2302</v>
      </c>
      <c r="D325" s="1" t="s">
        <v>12</v>
      </c>
      <c r="E325" s="1">
        <f>INDEX([1]游戏类型定义!$C$20:$C$29,MATCH(D325,[1]!装备部位,0))</f>
        <v>5</v>
      </c>
      <c r="F325" s="1">
        <v>1</v>
      </c>
      <c r="G325" s="1">
        <v>70</v>
      </c>
      <c r="H325" s="10" t="s">
        <v>2321</v>
      </c>
      <c r="I325" s="1">
        <v>7300</v>
      </c>
      <c r="J325" s="1">
        <v>5</v>
      </c>
      <c r="K325" s="1">
        <v>0</v>
      </c>
      <c r="L325" s="1">
        <v>0</v>
      </c>
      <c r="M325" s="1" t="s">
        <v>2029</v>
      </c>
      <c r="N325" s="1" t="s">
        <v>698</v>
      </c>
      <c r="O325" s="1">
        <v>0</v>
      </c>
      <c r="P325" s="1" t="s">
        <v>2084</v>
      </c>
      <c r="Q325" s="7" t="s">
        <v>2059</v>
      </c>
    </row>
    <row r="326" spans="1:17" ht="14.25" thickBot="1">
      <c r="A326" s="1" t="s">
        <v>355</v>
      </c>
      <c r="B326" s="3">
        <v>1</v>
      </c>
      <c r="C326" s="9" t="s">
        <v>2293</v>
      </c>
      <c r="D326" s="1" t="s">
        <v>13</v>
      </c>
      <c r="E326" s="1">
        <f>INDEX([1]游戏类型定义!$C$20:$C$29,MATCH(D326,[1]!装备部位,0))</f>
        <v>6</v>
      </c>
      <c r="F326" s="1">
        <v>1</v>
      </c>
      <c r="G326" s="1">
        <v>70</v>
      </c>
      <c r="H326" s="10" t="s">
        <v>2321</v>
      </c>
      <c r="I326" s="1">
        <v>7000</v>
      </c>
      <c r="J326" s="1">
        <v>5</v>
      </c>
      <c r="K326" s="1">
        <v>0</v>
      </c>
      <c r="L326" s="1">
        <v>0</v>
      </c>
      <c r="M326" s="1" t="s">
        <v>2011</v>
      </c>
      <c r="N326" s="1" t="s">
        <v>698</v>
      </c>
      <c r="O326" s="1">
        <v>0</v>
      </c>
      <c r="P326" s="1" t="s">
        <v>2084</v>
      </c>
      <c r="Q326" s="7" t="s">
        <v>2527</v>
      </c>
    </row>
    <row r="327" spans="1:17" ht="14.25" thickBot="1">
      <c r="A327" s="1" t="s">
        <v>356</v>
      </c>
      <c r="B327" s="2">
        <v>0</v>
      </c>
      <c r="C327" s="9" t="s">
        <v>2042</v>
      </c>
      <c r="D327" s="1" t="s">
        <v>13</v>
      </c>
      <c r="E327" s="1">
        <f>INDEX([1]游戏类型定义!$C$20:$C$29,MATCH(D327,[1]!装备部位,0))</f>
        <v>6</v>
      </c>
      <c r="F327" s="1">
        <v>1</v>
      </c>
      <c r="G327" s="1">
        <v>70</v>
      </c>
      <c r="H327" s="10" t="s">
        <v>2321</v>
      </c>
      <c r="I327" s="1">
        <v>7300</v>
      </c>
      <c r="J327" s="1">
        <v>5</v>
      </c>
      <c r="K327" s="1">
        <v>0</v>
      </c>
      <c r="L327" s="1">
        <v>0</v>
      </c>
      <c r="M327" s="1" t="s">
        <v>2011</v>
      </c>
      <c r="N327" s="1" t="s">
        <v>698</v>
      </c>
      <c r="O327" s="1">
        <v>0</v>
      </c>
      <c r="P327" s="1" t="s">
        <v>2084</v>
      </c>
      <c r="Q327" s="7" t="s">
        <v>2060</v>
      </c>
    </row>
    <row r="328" spans="1:17" ht="14.25" thickBot="1">
      <c r="A328" s="1" t="s">
        <v>357</v>
      </c>
      <c r="B328" s="3">
        <v>1</v>
      </c>
      <c r="C328" s="9" t="s">
        <v>2300</v>
      </c>
      <c r="D328" s="1" t="s">
        <v>12</v>
      </c>
      <c r="E328" s="1">
        <f>INDEX([1]游戏类型定义!$C$20:$C$29,MATCH(D328,[1]!装备部位,0))</f>
        <v>5</v>
      </c>
      <c r="F328" s="1">
        <v>1</v>
      </c>
      <c r="G328" s="1">
        <v>70</v>
      </c>
      <c r="H328" s="10" t="s">
        <v>2322</v>
      </c>
      <c r="I328" s="1">
        <v>7000</v>
      </c>
      <c r="J328" s="1">
        <v>5</v>
      </c>
      <c r="K328" s="1">
        <v>0</v>
      </c>
      <c r="L328" s="1">
        <v>0</v>
      </c>
      <c r="M328" s="1" t="s">
        <v>2029</v>
      </c>
      <c r="N328" s="1" t="s">
        <v>698</v>
      </c>
      <c r="O328" s="1">
        <v>0</v>
      </c>
      <c r="P328" s="1" t="s">
        <v>2084</v>
      </c>
      <c r="Q328" s="7" t="s">
        <v>2528</v>
      </c>
    </row>
    <row r="329" spans="1:17" ht="14.25" thickBot="1">
      <c r="A329" s="1" t="s">
        <v>358</v>
      </c>
      <c r="B329" s="2">
        <v>0</v>
      </c>
      <c r="C329" s="9" t="s">
        <v>2301</v>
      </c>
      <c r="D329" s="1" t="s">
        <v>12</v>
      </c>
      <c r="E329" s="1">
        <f>INDEX([1]游戏类型定义!$C$20:$C$29,MATCH(D329,[1]!装备部位,0))</f>
        <v>5</v>
      </c>
      <c r="F329" s="1">
        <v>1</v>
      </c>
      <c r="G329" s="1">
        <v>70</v>
      </c>
      <c r="H329" s="10" t="s">
        <v>2322</v>
      </c>
      <c r="I329" s="1">
        <v>7300</v>
      </c>
      <c r="J329" s="1">
        <v>5</v>
      </c>
      <c r="K329" s="1">
        <v>0</v>
      </c>
      <c r="L329" s="1">
        <v>0</v>
      </c>
      <c r="M329" s="1" t="s">
        <v>2029</v>
      </c>
      <c r="N329" s="1" t="s">
        <v>698</v>
      </c>
      <c r="O329" s="1">
        <v>0</v>
      </c>
      <c r="P329" s="1" t="s">
        <v>2084</v>
      </c>
      <c r="Q329" s="7" t="s">
        <v>2061</v>
      </c>
    </row>
    <row r="330" spans="1:17" ht="14.25" thickBot="1">
      <c r="A330" s="1" t="s">
        <v>359</v>
      </c>
      <c r="B330" s="3">
        <v>1</v>
      </c>
      <c r="C330" s="9" t="s">
        <v>2304</v>
      </c>
      <c r="D330" s="1" t="s">
        <v>13</v>
      </c>
      <c r="E330" s="1">
        <f>INDEX([1]游戏类型定义!$C$20:$C$29,MATCH(D330,[1]!装备部位,0))</f>
        <v>6</v>
      </c>
      <c r="F330" s="1">
        <v>1</v>
      </c>
      <c r="G330" s="1">
        <v>70</v>
      </c>
      <c r="H330" s="10" t="s">
        <v>2322</v>
      </c>
      <c r="I330" s="1">
        <v>7000</v>
      </c>
      <c r="J330" s="1">
        <v>5</v>
      </c>
      <c r="K330" s="1">
        <v>0</v>
      </c>
      <c r="L330" s="1">
        <v>0</v>
      </c>
      <c r="M330" s="1" t="s">
        <v>2012</v>
      </c>
      <c r="N330" s="1" t="s">
        <v>698</v>
      </c>
      <c r="O330" s="1">
        <v>0</v>
      </c>
      <c r="P330" s="1" t="s">
        <v>2084</v>
      </c>
      <c r="Q330" s="7" t="s">
        <v>2529</v>
      </c>
    </row>
    <row r="331" spans="1:17" ht="14.25" thickBot="1">
      <c r="A331" s="1" t="s">
        <v>360</v>
      </c>
      <c r="B331" s="2">
        <v>0</v>
      </c>
      <c r="C331" s="9" t="s">
        <v>2305</v>
      </c>
      <c r="D331" s="1" t="s">
        <v>13</v>
      </c>
      <c r="E331" s="1">
        <f>INDEX([1]游戏类型定义!$C$20:$C$29,MATCH(D331,[1]!装备部位,0))</f>
        <v>6</v>
      </c>
      <c r="F331" s="1">
        <v>1</v>
      </c>
      <c r="G331" s="1">
        <v>70</v>
      </c>
      <c r="H331" s="10" t="s">
        <v>2322</v>
      </c>
      <c r="I331" s="1">
        <v>7300</v>
      </c>
      <c r="J331" s="1">
        <v>5</v>
      </c>
      <c r="K331" s="1">
        <v>0</v>
      </c>
      <c r="L331" s="1">
        <v>0</v>
      </c>
      <c r="M331" s="1" t="s">
        <v>2013</v>
      </c>
      <c r="N331" s="1" t="s">
        <v>698</v>
      </c>
      <c r="O331" s="1">
        <v>0</v>
      </c>
      <c r="P331" s="1" t="s">
        <v>2084</v>
      </c>
      <c r="Q331" s="7" t="s">
        <v>2062</v>
      </c>
    </row>
    <row r="332" spans="1:17" ht="14.25" thickBot="1">
      <c r="A332" s="1" t="s">
        <v>361</v>
      </c>
      <c r="B332" s="2">
        <v>0</v>
      </c>
      <c r="C332" s="1" t="s">
        <v>2176</v>
      </c>
      <c r="D332" s="1" t="s">
        <v>11</v>
      </c>
      <c r="E332" s="1">
        <f>INDEX([1]游戏类型定义!$C$20:$C$29,MATCH(D332,[1]!装备部位,0))</f>
        <v>4</v>
      </c>
      <c r="F332" s="1">
        <v>1</v>
      </c>
      <c r="G332" s="1">
        <v>70</v>
      </c>
      <c r="H332" s="10">
        <v>0</v>
      </c>
      <c r="I332" s="1">
        <v>7000</v>
      </c>
      <c r="J332" s="1">
        <v>5</v>
      </c>
      <c r="K332" s="1">
        <v>0</v>
      </c>
      <c r="L332" s="1">
        <v>0</v>
      </c>
      <c r="M332" s="1" t="s">
        <v>1812</v>
      </c>
      <c r="N332" s="1" t="s">
        <v>698</v>
      </c>
      <c r="O332" s="1">
        <v>0</v>
      </c>
      <c r="P332" s="1" t="s">
        <v>2084</v>
      </c>
      <c r="Q332" s="7" t="s">
        <v>2063</v>
      </c>
    </row>
    <row r="333" spans="1:17" ht="14.25" thickBot="1">
      <c r="A333" s="1" t="s">
        <v>362</v>
      </c>
      <c r="B333" s="2">
        <v>0</v>
      </c>
      <c r="C333" s="1" t="s">
        <v>2173</v>
      </c>
      <c r="D333" s="1" t="s">
        <v>11</v>
      </c>
      <c r="E333" s="1">
        <f>INDEX([1]游戏类型定义!$C$20:$C$29,MATCH(D333,[1]!装备部位,0))</f>
        <v>4</v>
      </c>
      <c r="F333" s="1">
        <v>1</v>
      </c>
      <c r="G333" s="1">
        <v>70</v>
      </c>
      <c r="H333" s="10">
        <v>0</v>
      </c>
      <c r="I333" s="1">
        <v>7300</v>
      </c>
      <c r="J333" s="1">
        <v>5</v>
      </c>
      <c r="K333" s="1">
        <v>0</v>
      </c>
      <c r="L333" s="1">
        <v>0</v>
      </c>
      <c r="M333" s="1" t="s">
        <v>1812</v>
      </c>
      <c r="N333" s="1" t="s">
        <v>698</v>
      </c>
      <c r="O333" s="1">
        <v>0</v>
      </c>
      <c r="P333" s="1" t="s">
        <v>2084</v>
      </c>
      <c r="Q333" s="7" t="s">
        <v>2063</v>
      </c>
    </row>
    <row r="334" spans="1:17" ht="14.25" thickBot="1">
      <c r="A334" s="1" t="s">
        <v>363</v>
      </c>
      <c r="B334" s="2">
        <v>0</v>
      </c>
      <c r="C334" s="1" t="s">
        <v>2193</v>
      </c>
      <c r="D334" s="1" t="s">
        <v>14</v>
      </c>
      <c r="E334" s="1">
        <f>INDEX([1]游戏类型定义!$C$20:$C$29,MATCH(D334,[1]!装备部位,0))</f>
        <v>7</v>
      </c>
      <c r="F334" s="1">
        <v>1</v>
      </c>
      <c r="G334" s="1">
        <v>70</v>
      </c>
      <c r="H334" s="10">
        <v>0</v>
      </c>
      <c r="I334" s="1">
        <v>7000</v>
      </c>
      <c r="J334" s="1">
        <v>5</v>
      </c>
      <c r="K334" s="1">
        <v>0</v>
      </c>
      <c r="L334" s="1">
        <v>0</v>
      </c>
      <c r="M334" s="1" t="s">
        <v>1812</v>
      </c>
      <c r="N334" s="1" t="s">
        <v>698</v>
      </c>
      <c r="O334" s="1">
        <v>0</v>
      </c>
      <c r="P334" s="1" t="s">
        <v>2084</v>
      </c>
      <c r="Q334" s="7" t="s">
        <v>2064</v>
      </c>
    </row>
    <row r="335" spans="1:17" ht="14.25" thickBot="1">
      <c r="A335" s="1" t="s">
        <v>364</v>
      </c>
      <c r="B335" s="2">
        <v>0</v>
      </c>
      <c r="C335" s="1" t="s">
        <v>2194</v>
      </c>
      <c r="D335" s="1" t="s">
        <v>14</v>
      </c>
      <c r="E335" s="1">
        <f>INDEX([1]游戏类型定义!$C$20:$C$29,MATCH(D335,[1]!装备部位,0))</f>
        <v>7</v>
      </c>
      <c r="F335" s="1">
        <v>1</v>
      </c>
      <c r="G335" s="1">
        <v>70</v>
      </c>
      <c r="H335" s="10">
        <v>0</v>
      </c>
      <c r="I335" s="1">
        <v>7300</v>
      </c>
      <c r="J335" s="1">
        <v>5</v>
      </c>
      <c r="K335" s="1">
        <v>0</v>
      </c>
      <c r="L335" s="1">
        <v>0</v>
      </c>
      <c r="M335" s="1" t="s">
        <v>1812</v>
      </c>
      <c r="N335" s="1" t="s">
        <v>698</v>
      </c>
      <c r="O335" s="1">
        <v>0</v>
      </c>
      <c r="P335" s="1" t="s">
        <v>2084</v>
      </c>
      <c r="Q335" s="7" t="s">
        <v>2064</v>
      </c>
    </row>
    <row r="336" spans="1:17" ht="14.25" thickBot="1">
      <c r="A336" s="1" t="s">
        <v>368</v>
      </c>
      <c r="B336" s="2">
        <v>0</v>
      </c>
      <c r="C336" s="1" t="s">
        <v>2031</v>
      </c>
      <c r="D336" s="1" t="str">
        <f t="shared" ref="D336:D355" si="0">D6</f>
        <v>头盔</v>
      </c>
      <c r="E336" s="1">
        <f>INDEX([1]游戏类型定义!$C$20:$C$29,MATCH(D336,[1]!装备部位,0))</f>
        <v>1</v>
      </c>
      <c r="F336" s="1">
        <v>2</v>
      </c>
      <c r="G336" s="1">
        <f t="shared" ref="G336:G355" si="1">G6</f>
        <v>1</v>
      </c>
      <c r="H336" s="10">
        <v>0</v>
      </c>
      <c r="I336" s="1">
        <v>200</v>
      </c>
      <c r="J336" s="1">
        <v>10</v>
      </c>
      <c r="K336" s="1">
        <v>0</v>
      </c>
      <c r="L336" s="1">
        <v>0</v>
      </c>
      <c r="M336" s="1" t="s">
        <v>1798</v>
      </c>
      <c r="N336" s="1" t="s">
        <v>699</v>
      </c>
      <c r="O336" s="1">
        <v>0</v>
      </c>
      <c r="P336" s="1" t="s">
        <v>2070</v>
      </c>
      <c r="Q336" s="7" t="s">
        <v>2051</v>
      </c>
    </row>
    <row r="337" spans="1:17" ht="14.25" thickBot="1">
      <c r="A337" s="1" t="s">
        <v>369</v>
      </c>
      <c r="B337" s="2">
        <v>0</v>
      </c>
      <c r="C337" s="1" t="s">
        <v>2032</v>
      </c>
      <c r="D337" s="1" t="str">
        <f t="shared" si="0"/>
        <v>戒指</v>
      </c>
      <c r="E337" s="1">
        <f>INDEX([1]游戏类型定义!$C$20:$C$29,MATCH(D337,[1]!装备部位,0))</f>
        <v>2</v>
      </c>
      <c r="F337" s="1">
        <v>2</v>
      </c>
      <c r="G337" s="1">
        <f t="shared" si="1"/>
        <v>1</v>
      </c>
      <c r="H337" s="10">
        <v>0</v>
      </c>
      <c r="I337" s="1">
        <v>200</v>
      </c>
      <c r="J337" s="1">
        <v>10</v>
      </c>
      <c r="K337" s="1">
        <v>0</v>
      </c>
      <c r="L337" s="1">
        <v>0</v>
      </c>
      <c r="M337" s="1" t="s">
        <v>1799</v>
      </c>
      <c r="N337" s="1" t="s">
        <v>699</v>
      </c>
      <c r="O337" s="1">
        <v>0</v>
      </c>
      <c r="P337" s="1" t="s">
        <v>2070</v>
      </c>
      <c r="Q337" s="7" t="s">
        <v>2052</v>
      </c>
    </row>
    <row r="338" spans="1:17" ht="14.25" thickBot="1">
      <c r="A338" s="1" t="s">
        <v>370</v>
      </c>
      <c r="B338" s="2">
        <v>0</v>
      </c>
      <c r="C338" s="1" t="s">
        <v>2033</v>
      </c>
      <c r="D338" s="1" t="str">
        <f t="shared" si="0"/>
        <v>腰带</v>
      </c>
      <c r="E338" s="1">
        <f>INDEX([1]游戏类型定义!$C$20:$C$29,MATCH(D338,[1]!装备部位,0))</f>
        <v>3</v>
      </c>
      <c r="F338" s="1">
        <v>2</v>
      </c>
      <c r="G338" s="1">
        <f t="shared" si="1"/>
        <v>1</v>
      </c>
      <c r="H338" s="10">
        <v>0</v>
      </c>
      <c r="I338" s="1">
        <v>200</v>
      </c>
      <c r="J338" s="1">
        <v>10</v>
      </c>
      <c r="K338" s="1">
        <v>0</v>
      </c>
      <c r="L338" s="1">
        <v>0</v>
      </c>
      <c r="M338" s="1" t="s">
        <v>1800</v>
      </c>
      <c r="N338" s="1" t="s">
        <v>699</v>
      </c>
      <c r="O338" s="1">
        <v>0</v>
      </c>
      <c r="P338" s="1" t="s">
        <v>2070</v>
      </c>
      <c r="Q338" s="7" t="s">
        <v>2053</v>
      </c>
    </row>
    <row r="339" spans="1:17" ht="14.25" thickBot="1">
      <c r="A339" s="1" t="s">
        <v>371</v>
      </c>
      <c r="B339" s="3">
        <v>1</v>
      </c>
      <c r="C339" s="1" t="s">
        <v>2036</v>
      </c>
      <c r="D339" s="1" t="str">
        <f t="shared" si="0"/>
        <v>鞋子</v>
      </c>
      <c r="E339" s="1">
        <f>INDEX([1]游戏类型定义!$C$20:$C$29,MATCH(D339,[1]!装备部位,0))</f>
        <v>8</v>
      </c>
      <c r="F339" s="1">
        <v>2</v>
      </c>
      <c r="G339" s="1">
        <f t="shared" si="1"/>
        <v>1</v>
      </c>
      <c r="H339" s="10">
        <v>0</v>
      </c>
      <c r="I339" s="1">
        <v>200</v>
      </c>
      <c r="J339" s="1">
        <v>10</v>
      </c>
      <c r="K339" s="1">
        <v>0</v>
      </c>
      <c r="L339" s="1">
        <v>0</v>
      </c>
      <c r="M339" s="1" t="s">
        <v>1801</v>
      </c>
      <c r="N339" s="1" t="s">
        <v>699</v>
      </c>
      <c r="O339" s="1">
        <v>0</v>
      </c>
      <c r="P339" s="1" t="s">
        <v>2070</v>
      </c>
      <c r="Q339" s="7" t="s">
        <v>2054</v>
      </c>
    </row>
    <row r="340" spans="1:17" ht="14.25" thickBot="1">
      <c r="A340" s="1" t="s">
        <v>372</v>
      </c>
      <c r="B340" s="3">
        <v>1</v>
      </c>
      <c r="C340" s="1" t="s">
        <v>2035</v>
      </c>
      <c r="D340" s="1" t="str">
        <f t="shared" si="0"/>
        <v>手套</v>
      </c>
      <c r="E340" s="1">
        <f>INDEX([1]游戏类型定义!$C$20:$C$29,MATCH(D340,[1]!装备部位,0))</f>
        <v>9</v>
      </c>
      <c r="F340" s="1">
        <v>2</v>
      </c>
      <c r="G340" s="1">
        <f t="shared" si="1"/>
        <v>1</v>
      </c>
      <c r="H340" s="10">
        <v>0</v>
      </c>
      <c r="I340" s="1">
        <v>200</v>
      </c>
      <c r="J340" s="1">
        <v>10</v>
      </c>
      <c r="K340" s="1">
        <v>0</v>
      </c>
      <c r="L340" s="1">
        <v>0</v>
      </c>
      <c r="M340" s="1" t="s">
        <v>1802</v>
      </c>
      <c r="N340" s="1" t="s">
        <v>699</v>
      </c>
      <c r="O340" s="1">
        <v>0</v>
      </c>
      <c r="P340" s="1" t="s">
        <v>2070</v>
      </c>
      <c r="Q340" s="7" t="s">
        <v>2055</v>
      </c>
    </row>
    <row r="341" spans="1:17" ht="14.25" thickBot="1">
      <c r="A341" s="1" t="s">
        <v>373</v>
      </c>
      <c r="B341" s="2">
        <v>0</v>
      </c>
      <c r="C341" s="1" t="s">
        <v>2034</v>
      </c>
      <c r="D341" s="1" t="str">
        <f t="shared" si="0"/>
        <v>项链</v>
      </c>
      <c r="E341" s="1">
        <f>INDEX([1]游戏类型定义!$C$20:$C$29,MATCH(D341,[1]!装备部位,0))</f>
        <v>10</v>
      </c>
      <c r="F341" s="1">
        <v>2</v>
      </c>
      <c r="G341" s="1">
        <f t="shared" si="1"/>
        <v>1</v>
      </c>
      <c r="H341" s="10">
        <v>0</v>
      </c>
      <c r="I341" s="1">
        <v>200</v>
      </c>
      <c r="J341" s="1">
        <v>10</v>
      </c>
      <c r="K341" s="1">
        <v>0</v>
      </c>
      <c r="L341" s="1">
        <v>0</v>
      </c>
      <c r="M341" s="1" t="s">
        <v>1803</v>
      </c>
      <c r="N341" s="1" t="s">
        <v>699</v>
      </c>
      <c r="O341" s="1">
        <v>0</v>
      </c>
      <c r="P341" s="1" t="s">
        <v>2070</v>
      </c>
      <c r="Q341" s="7" t="s">
        <v>2056</v>
      </c>
    </row>
    <row r="342" spans="1:17" ht="14.25" thickBot="1">
      <c r="A342" s="1" t="s">
        <v>374</v>
      </c>
      <c r="B342" s="3">
        <v>1</v>
      </c>
      <c r="C342" s="9" t="s">
        <v>2045</v>
      </c>
      <c r="D342" s="1" t="str">
        <f t="shared" si="0"/>
        <v>主手武器</v>
      </c>
      <c r="E342" s="1">
        <f>INDEX([1]游戏类型定义!$C$20:$C$29,MATCH(D342,[1]!装备部位,0))</f>
        <v>5</v>
      </c>
      <c r="F342" s="1">
        <v>2</v>
      </c>
      <c r="G342" s="1">
        <f t="shared" si="1"/>
        <v>1</v>
      </c>
      <c r="H342" s="10" t="s">
        <v>2320</v>
      </c>
      <c r="I342" s="1">
        <v>200</v>
      </c>
      <c r="J342" s="1">
        <v>10</v>
      </c>
      <c r="K342" s="1">
        <v>0</v>
      </c>
      <c r="L342" s="1">
        <v>0</v>
      </c>
      <c r="M342" s="1" t="s">
        <v>2014</v>
      </c>
      <c r="N342" s="1" t="s">
        <v>700</v>
      </c>
      <c r="O342" s="1">
        <v>0</v>
      </c>
      <c r="P342" s="1" t="s">
        <v>2070</v>
      </c>
      <c r="Q342" s="7" t="s">
        <v>2057</v>
      </c>
    </row>
    <row r="343" spans="1:17" ht="14.25" thickBot="1">
      <c r="A343" s="1" t="s">
        <v>375</v>
      </c>
      <c r="B343" s="3">
        <v>1</v>
      </c>
      <c r="C343" s="9" t="s">
        <v>2046</v>
      </c>
      <c r="D343" s="1" t="str">
        <f t="shared" si="0"/>
        <v>主手武器</v>
      </c>
      <c r="E343" s="1">
        <f>INDEX([1]游戏类型定义!$C$20:$C$29,MATCH(D343,[1]!装备部位,0))</f>
        <v>5</v>
      </c>
      <c r="F343" s="1">
        <v>2</v>
      </c>
      <c r="G343" s="1">
        <f t="shared" si="1"/>
        <v>1</v>
      </c>
      <c r="H343" s="10" t="s">
        <v>2320</v>
      </c>
      <c r="I343" s="1">
        <v>800</v>
      </c>
      <c r="J343" s="1">
        <v>10</v>
      </c>
      <c r="K343" s="1">
        <v>0</v>
      </c>
      <c r="L343" s="1">
        <v>0</v>
      </c>
      <c r="M343" s="1" t="s">
        <v>2015</v>
      </c>
      <c r="N343" s="1" t="s">
        <v>700</v>
      </c>
      <c r="O343" s="1">
        <v>0</v>
      </c>
      <c r="P343" s="1" t="s">
        <v>2070</v>
      </c>
      <c r="Q343" s="7" t="s">
        <v>2325</v>
      </c>
    </row>
    <row r="344" spans="1:17" ht="14.25" thickBot="1">
      <c r="A344" s="1" t="s">
        <v>376</v>
      </c>
      <c r="B344" s="3">
        <v>1</v>
      </c>
      <c r="C344" s="9" t="s">
        <v>2043</v>
      </c>
      <c r="D344" s="1" t="str">
        <f t="shared" si="0"/>
        <v>副手武器</v>
      </c>
      <c r="E344" s="1">
        <f>INDEX([1]游戏类型定义!$C$20:$C$29,MATCH(D344,[1]!装备部位,0))</f>
        <v>6</v>
      </c>
      <c r="F344" s="1">
        <v>2</v>
      </c>
      <c r="G344" s="1">
        <f t="shared" si="1"/>
        <v>1</v>
      </c>
      <c r="H344" s="10" t="s">
        <v>2320</v>
      </c>
      <c r="I344" s="1">
        <v>200</v>
      </c>
      <c r="J344" s="1">
        <v>10</v>
      </c>
      <c r="K344" s="1">
        <v>0</v>
      </c>
      <c r="L344" s="1">
        <v>0</v>
      </c>
      <c r="M344" s="1" t="s">
        <v>1804</v>
      </c>
      <c r="N344" s="1" t="s">
        <v>700</v>
      </c>
      <c r="O344" s="1">
        <v>0</v>
      </c>
      <c r="P344" s="1" t="s">
        <v>2070</v>
      </c>
      <c r="Q344" s="7" t="s">
        <v>2058</v>
      </c>
    </row>
    <row r="345" spans="1:17" ht="14.25" thickBot="1">
      <c r="A345" s="1" t="s">
        <v>377</v>
      </c>
      <c r="B345" s="2">
        <v>0</v>
      </c>
      <c r="C345" s="9" t="s">
        <v>2044</v>
      </c>
      <c r="D345" s="1" t="str">
        <f t="shared" si="0"/>
        <v>副手武器</v>
      </c>
      <c r="E345" s="1">
        <f>INDEX([1]游戏类型定义!$C$20:$C$29,MATCH(D345,[1]!装备部位,0))</f>
        <v>6</v>
      </c>
      <c r="F345" s="1">
        <v>2</v>
      </c>
      <c r="G345" s="1">
        <f t="shared" si="1"/>
        <v>1</v>
      </c>
      <c r="H345" s="10" t="s">
        <v>2320</v>
      </c>
      <c r="I345" s="1">
        <v>800</v>
      </c>
      <c r="J345" s="1">
        <v>10</v>
      </c>
      <c r="K345" s="1">
        <v>0</v>
      </c>
      <c r="L345" s="1">
        <v>0</v>
      </c>
      <c r="M345" s="1" t="s">
        <v>1805</v>
      </c>
      <c r="N345" s="1" t="s">
        <v>700</v>
      </c>
      <c r="O345" s="1">
        <v>0</v>
      </c>
      <c r="P345" s="1" t="s">
        <v>2070</v>
      </c>
      <c r="Q345" s="7" t="s">
        <v>2058</v>
      </c>
    </row>
    <row r="346" spans="1:17" ht="14.25" thickBot="1">
      <c r="A346" s="1" t="s">
        <v>378</v>
      </c>
      <c r="B346" s="3">
        <v>1</v>
      </c>
      <c r="C346" s="1" t="s">
        <v>2039</v>
      </c>
      <c r="D346" s="1" t="str">
        <f t="shared" si="0"/>
        <v>主手武器</v>
      </c>
      <c r="E346" s="1">
        <f>INDEX([1]游戏类型定义!$C$20:$C$29,MATCH(D346,[1]!装备部位,0))</f>
        <v>5</v>
      </c>
      <c r="F346" s="1">
        <v>2</v>
      </c>
      <c r="G346" s="1">
        <f t="shared" si="1"/>
        <v>1</v>
      </c>
      <c r="H346" s="10" t="s">
        <v>2321</v>
      </c>
      <c r="I346" s="1">
        <v>200</v>
      </c>
      <c r="J346" s="1">
        <v>10</v>
      </c>
      <c r="K346" s="1">
        <v>0</v>
      </c>
      <c r="L346" s="1">
        <v>0</v>
      </c>
      <c r="M346" s="1" t="s">
        <v>2014</v>
      </c>
      <c r="N346" s="1" t="s">
        <v>700</v>
      </c>
      <c r="O346" s="1">
        <v>0</v>
      </c>
      <c r="P346" s="1" t="s">
        <v>2070</v>
      </c>
      <c r="Q346" s="7" t="s">
        <v>2059</v>
      </c>
    </row>
    <row r="347" spans="1:17" ht="14.25" thickBot="1">
      <c r="A347" s="1" t="s">
        <v>379</v>
      </c>
      <c r="B347" s="3">
        <v>1</v>
      </c>
      <c r="C347" s="1" t="s">
        <v>2040</v>
      </c>
      <c r="D347" s="1" t="str">
        <f t="shared" si="0"/>
        <v>主手武器</v>
      </c>
      <c r="E347" s="1">
        <f>INDEX([1]游戏类型定义!$C$20:$C$29,MATCH(D347,[1]!装备部位,0))</f>
        <v>5</v>
      </c>
      <c r="F347" s="1">
        <v>2</v>
      </c>
      <c r="G347" s="1">
        <f t="shared" si="1"/>
        <v>1</v>
      </c>
      <c r="H347" s="10" t="s">
        <v>2321</v>
      </c>
      <c r="I347" s="1">
        <v>800</v>
      </c>
      <c r="J347" s="1">
        <v>10</v>
      </c>
      <c r="K347" s="1">
        <v>0</v>
      </c>
      <c r="L347" s="1">
        <v>0</v>
      </c>
      <c r="M347" s="1" t="s">
        <v>2015</v>
      </c>
      <c r="N347" s="1" t="s">
        <v>700</v>
      </c>
      <c r="O347" s="1">
        <v>0</v>
      </c>
      <c r="P347" s="1" t="s">
        <v>2070</v>
      </c>
      <c r="Q347" s="7" t="s">
        <v>2326</v>
      </c>
    </row>
    <row r="348" spans="1:17" ht="14.25" thickBot="1">
      <c r="A348" s="1" t="s">
        <v>380</v>
      </c>
      <c r="B348" s="3">
        <v>1</v>
      </c>
      <c r="C348" s="9" t="s">
        <v>2041</v>
      </c>
      <c r="D348" s="1" t="str">
        <f t="shared" si="0"/>
        <v>副手武器</v>
      </c>
      <c r="E348" s="1">
        <f>INDEX([1]游戏类型定义!$C$20:$C$29,MATCH(D348,[1]!装备部位,0))</f>
        <v>6</v>
      </c>
      <c r="F348" s="1">
        <v>2</v>
      </c>
      <c r="G348" s="1">
        <f t="shared" si="1"/>
        <v>1</v>
      </c>
      <c r="H348" s="10" t="s">
        <v>2321</v>
      </c>
      <c r="I348" s="1">
        <v>200</v>
      </c>
      <c r="J348" s="1">
        <v>10</v>
      </c>
      <c r="K348" s="1">
        <v>0</v>
      </c>
      <c r="L348" s="1">
        <v>0</v>
      </c>
      <c r="M348" s="1" t="s">
        <v>1806</v>
      </c>
      <c r="N348" s="1" t="s">
        <v>700</v>
      </c>
      <c r="O348" s="1">
        <v>0</v>
      </c>
      <c r="P348" s="1" t="s">
        <v>2070</v>
      </c>
      <c r="Q348" s="7" t="s">
        <v>2060</v>
      </c>
    </row>
    <row r="349" spans="1:17" ht="14.25" thickBot="1">
      <c r="A349" s="1" t="s">
        <v>381</v>
      </c>
      <c r="B349" s="2">
        <v>0</v>
      </c>
      <c r="C349" s="9" t="s">
        <v>2042</v>
      </c>
      <c r="D349" s="1" t="str">
        <f t="shared" si="0"/>
        <v>副手武器</v>
      </c>
      <c r="E349" s="1">
        <f>INDEX([1]游戏类型定义!$C$20:$C$29,MATCH(D349,[1]!装备部位,0))</f>
        <v>6</v>
      </c>
      <c r="F349" s="1">
        <v>2</v>
      </c>
      <c r="G349" s="1">
        <f t="shared" si="1"/>
        <v>1</v>
      </c>
      <c r="H349" s="10" t="s">
        <v>2321</v>
      </c>
      <c r="I349" s="1">
        <v>800</v>
      </c>
      <c r="J349" s="1">
        <v>10</v>
      </c>
      <c r="K349" s="1">
        <v>0</v>
      </c>
      <c r="L349" s="1">
        <v>0</v>
      </c>
      <c r="M349" s="1" t="s">
        <v>1807</v>
      </c>
      <c r="N349" s="1" t="s">
        <v>700</v>
      </c>
      <c r="O349" s="1">
        <v>0</v>
      </c>
      <c r="P349" s="1" t="s">
        <v>2070</v>
      </c>
      <c r="Q349" s="7" t="s">
        <v>2060</v>
      </c>
    </row>
    <row r="350" spans="1:17" ht="14.25" thickBot="1">
      <c r="A350" s="1" t="s">
        <v>382</v>
      </c>
      <c r="B350" s="3">
        <v>1</v>
      </c>
      <c r="C350" s="9" t="s">
        <v>2047</v>
      </c>
      <c r="D350" s="1" t="str">
        <f t="shared" si="0"/>
        <v>主手武器</v>
      </c>
      <c r="E350" s="1">
        <f>INDEX([1]游戏类型定义!$C$20:$C$29,MATCH(D350,[1]!装备部位,0))</f>
        <v>5</v>
      </c>
      <c r="F350" s="1">
        <v>2</v>
      </c>
      <c r="G350" s="1">
        <f t="shared" si="1"/>
        <v>1</v>
      </c>
      <c r="H350" s="10" t="s">
        <v>2322</v>
      </c>
      <c r="I350" s="1">
        <v>200</v>
      </c>
      <c r="J350" s="1">
        <v>10</v>
      </c>
      <c r="K350" s="1">
        <v>0</v>
      </c>
      <c r="L350" s="1">
        <v>0</v>
      </c>
      <c r="M350" s="1" t="s">
        <v>2014</v>
      </c>
      <c r="N350" s="1" t="s">
        <v>700</v>
      </c>
      <c r="O350" s="1">
        <v>0</v>
      </c>
      <c r="P350" s="1" t="s">
        <v>2070</v>
      </c>
      <c r="Q350" s="7" t="s">
        <v>2061</v>
      </c>
    </row>
    <row r="351" spans="1:17" ht="14.25" thickBot="1">
      <c r="A351" s="1" t="s">
        <v>383</v>
      </c>
      <c r="B351" s="3">
        <v>1</v>
      </c>
      <c r="C351" s="9" t="s">
        <v>2048</v>
      </c>
      <c r="D351" s="1" t="str">
        <f t="shared" si="0"/>
        <v>主手武器</v>
      </c>
      <c r="E351" s="1">
        <f>INDEX([1]游戏类型定义!$C$20:$C$29,MATCH(D351,[1]!装备部位,0))</f>
        <v>5</v>
      </c>
      <c r="F351" s="1">
        <v>2</v>
      </c>
      <c r="G351" s="1">
        <f t="shared" si="1"/>
        <v>1</v>
      </c>
      <c r="H351" s="10" t="s">
        <v>2322</v>
      </c>
      <c r="I351" s="1">
        <v>800</v>
      </c>
      <c r="J351" s="1">
        <v>10</v>
      </c>
      <c r="K351" s="1">
        <v>0</v>
      </c>
      <c r="L351" s="1">
        <v>0</v>
      </c>
      <c r="M351" s="1" t="s">
        <v>2015</v>
      </c>
      <c r="N351" s="1" t="s">
        <v>700</v>
      </c>
      <c r="O351" s="1">
        <v>0</v>
      </c>
      <c r="P351" s="1" t="s">
        <v>2070</v>
      </c>
      <c r="Q351" s="7" t="s">
        <v>2327</v>
      </c>
    </row>
    <row r="352" spans="1:17" ht="14.25" thickBot="1">
      <c r="A352" s="1" t="s">
        <v>384</v>
      </c>
      <c r="B352" s="3">
        <v>1</v>
      </c>
      <c r="C352" s="9" t="s">
        <v>2049</v>
      </c>
      <c r="D352" s="1" t="str">
        <f t="shared" si="0"/>
        <v>副手武器</v>
      </c>
      <c r="E352" s="1">
        <f>INDEX([1]游戏类型定义!$C$20:$C$29,MATCH(D352,[1]!装备部位,0))</f>
        <v>6</v>
      </c>
      <c r="F352" s="1">
        <v>2</v>
      </c>
      <c r="G352" s="1">
        <f t="shared" si="1"/>
        <v>1</v>
      </c>
      <c r="H352" s="10" t="s">
        <v>2322</v>
      </c>
      <c r="I352" s="1">
        <v>200</v>
      </c>
      <c r="J352" s="1">
        <v>10</v>
      </c>
      <c r="K352" s="1">
        <v>0</v>
      </c>
      <c r="L352" s="1">
        <v>0</v>
      </c>
      <c r="M352" s="1" t="s">
        <v>1808</v>
      </c>
      <c r="N352" s="1" t="s">
        <v>700</v>
      </c>
      <c r="O352" s="1">
        <v>0</v>
      </c>
      <c r="P352" s="1" t="s">
        <v>2070</v>
      </c>
      <c r="Q352" s="7" t="s">
        <v>2062</v>
      </c>
    </row>
    <row r="353" spans="1:17" ht="14.25" thickBot="1">
      <c r="A353" s="1" t="s">
        <v>385</v>
      </c>
      <c r="B353" s="2">
        <v>0</v>
      </c>
      <c r="C353" s="9" t="s">
        <v>2050</v>
      </c>
      <c r="D353" s="1" t="str">
        <f t="shared" si="0"/>
        <v>副手武器</v>
      </c>
      <c r="E353" s="1">
        <f>INDEX([1]游戏类型定义!$C$20:$C$29,MATCH(D353,[1]!装备部位,0))</f>
        <v>6</v>
      </c>
      <c r="F353" s="1">
        <v>2</v>
      </c>
      <c r="G353" s="1">
        <f t="shared" si="1"/>
        <v>1</v>
      </c>
      <c r="H353" s="10" t="s">
        <v>2322</v>
      </c>
      <c r="I353" s="1">
        <v>800</v>
      </c>
      <c r="J353" s="1">
        <v>10</v>
      </c>
      <c r="K353" s="1">
        <v>0</v>
      </c>
      <c r="L353" s="1">
        <v>0</v>
      </c>
      <c r="M353" s="1" t="s">
        <v>1809</v>
      </c>
      <c r="N353" s="1" t="s">
        <v>700</v>
      </c>
      <c r="O353" s="1">
        <v>0</v>
      </c>
      <c r="P353" s="1" t="s">
        <v>2070</v>
      </c>
      <c r="Q353" s="7" t="s">
        <v>2062</v>
      </c>
    </row>
    <row r="354" spans="1:17" ht="14.25" thickBot="1">
      <c r="A354" s="1" t="s">
        <v>386</v>
      </c>
      <c r="B354" s="3">
        <v>1</v>
      </c>
      <c r="C354" s="1" t="s">
        <v>2030</v>
      </c>
      <c r="D354" s="1" t="str">
        <f t="shared" si="0"/>
        <v>胸甲</v>
      </c>
      <c r="E354" s="1">
        <f>INDEX([1]游戏类型定义!$C$20:$C$29,MATCH(D354,[1]!装备部位,0))</f>
        <v>4</v>
      </c>
      <c r="F354" s="1">
        <v>2</v>
      </c>
      <c r="G354" s="1">
        <f t="shared" si="1"/>
        <v>1</v>
      </c>
      <c r="H354" s="10">
        <v>0</v>
      </c>
      <c r="I354" s="1">
        <v>200</v>
      </c>
      <c r="J354" s="1">
        <v>10</v>
      </c>
      <c r="K354" s="1">
        <v>0</v>
      </c>
      <c r="L354" s="1">
        <v>0</v>
      </c>
      <c r="M354" s="1" t="s">
        <v>1810</v>
      </c>
      <c r="N354" s="1" t="s">
        <v>699</v>
      </c>
      <c r="O354" s="1">
        <v>0</v>
      </c>
      <c r="P354" s="1" t="s">
        <v>2070</v>
      </c>
      <c r="Q354" s="7" t="s">
        <v>2063</v>
      </c>
    </row>
    <row r="355" spans="1:17" ht="14.25" thickBot="1">
      <c r="A355" s="1" t="s">
        <v>387</v>
      </c>
      <c r="B355" s="2">
        <v>0</v>
      </c>
      <c r="C355" s="1" t="s">
        <v>2030</v>
      </c>
      <c r="D355" s="1" t="str">
        <f t="shared" si="0"/>
        <v>胸甲</v>
      </c>
      <c r="E355" s="1">
        <f>INDEX([1]游戏类型定义!$C$20:$C$29,MATCH(D355,[1]!装备部位,0))</f>
        <v>4</v>
      </c>
      <c r="F355" s="1">
        <v>2</v>
      </c>
      <c r="G355" s="1">
        <f t="shared" si="1"/>
        <v>1</v>
      </c>
      <c r="H355" s="10">
        <v>0</v>
      </c>
      <c r="I355" s="1">
        <v>800</v>
      </c>
      <c r="J355" s="1">
        <v>10</v>
      </c>
      <c r="K355" s="1">
        <v>0</v>
      </c>
      <c r="L355" s="1">
        <v>0</v>
      </c>
      <c r="M355" s="1" t="s">
        <v>1811</v>
      </c>
      <c r="N355" s="1" t="s">
        <v>699</v>
      </c>
      <c r="O355" s="1">
        <v>0</v>
      </c>
      <c r="P355" s="1" t="s">
        <v>2070</v>
      </c>
      <c r="Q355" s="7" t="s">
        <v>2063</v>
      </c>
    </row>
    <row r="356" spans="1:17" ht="14.25" thickBot="1">
      <c r="A356" s="1" t="s">
        <v>388</v>
      </c>
      <c r="B356" s="2">
        <v>0</v>
      </c>
      <c r="C356" s="1" t="s">
        <v>2037</v>
      </c>
      <c r="D356" s="1" t="str">
        <f t="shared" ref="D356:D375" si="2">D26</f>
        <v>护腿</v>
      </c>
      <c r="E356" s="1">
        <f>INDEX([1]游戏类型定义!$C$20:$C$29,MATCH(D356,[1]!装备部位,0))</f>
        <v>7</v>
      </c>
      <c r="F356" s="1">
        <v>2</v>
      </c>
      <c r="G356" s="1">
        <f t="shared" ref="G356:G375" si="3">G26</f>
        <v>1</v>
      </c>
      <c r="H356" s="10">
        <v>0</v>
      </c>
      <c r="I356" s="1">
        <v>200</v>
      </c>
      <c r="J356" s="1">
        <v>10</v>
      </c>
      <c r="K356" s="1">
        <v>0</v>
      </c>
      <c r="L356" s="1">
        <v>0</v>
      </c>
      <c r="M356" s="1" t="s">
        <v>1812</v>
      </c>
      <c r="N356" s="1" t="s">
        <v>699</v>
      </c>
      <c r="O356" s="1">
        <v>0</v>
      </c>
      <c r="P356" s="1" t="s">
        <v>2070</v>
      </c>
      <c r="Q356" s="7" t="s">
        <v>2064</v>
      </c>
    </row>
    <row r="357" spans="1:17" ht="14.25" thickBot="1">
      <c r="A357" s="1" t="s">
        <v>389</v>
      </c>
      <c r="B357" s="2">
        <v>0</v>
      </c>
      <c r="C357" s="1" t="s">
        <v>2038</v>
      </c>
      <c r="D357" s="1" t="str">
        <f t="shared" si="2"/>
        <v>护腿</v>
      </c>
      <c r="E357" s="1">
        <f>INDEX([1]游戏类型定义!$C$20:$C$29,MATCH(D357,[1]!装备部位,0))</f>
        <v>7</v>
      </c>
      <c r="F357" s="1">
        <v>2</v>
      </c>
      <c r="G357" s="1">
        <f t="shared" si="3"/>
        <v>1</v>
      </c>
      <c r="H357" s="10">
        <v>0</v>
      </c>
      <c r="I357" s="1">
        <v>800</v>
      </c>
      <c r="J357" s="1">
        <v>10</v>
      </c>
      <c r="K357" s="1">
        <v>0</v>
      </c>
      <c r="L357" s="1">
        <v>0</v>
      </c>
      <c r="M357" s="1" t="s">
        <v>1813</v>
      </c>
      <c r="N357" s="1" t="s">
        <v>699</v>
      </c>
      <c r="O357" s="1">
        <v>0</v>
      </c>
      <c r="P357" s="1" t="s">
        <v>2070</v>
      </c>
      <c r="Q357" s="7" t="s">
        <v>2064</v>
      </c>
    </row>
    <row r="358" spans="1:17" ht="14.25" thickBot="1">
      <c r="A358" s="1" t="s">
        <v>390</v>
      </c>
      <c r="B358" s="3">
        <v>1</v>
      </c>
      <c r="C358" s="1" t="s">
        <v>2031</v>
      </c>
      <c r="D358" s="1" t="str">
        <f t="shared" si="2"/>
        <v>头盔</v>
      </c>
      <c r="E358" s="1">
        <f>INDEX([1]游戏类型定义!$C$20:$C$29,MATCH(D358,[1]!装备部位,0))</f>
        <v>1</v>
      </c>
      <c r="F358" s="1">
        <v>2</v>
      </c>
      <c r="G358" s="1">
        <f t="shared" si="3"/>
        <v>5</v>
      </c>
      <c r="H358" s="10">
        <v>0</v>
      </c>
      <c r="I358" s="1">
        <v>1000</v>
      </c>
      <c r="J358" s="1">
        <v>10</v>
      </c>
      <c r="K358" s="1">
        <v>0</v>
      </c>
      <c r="L358" s="1">
        <v>0</v>
      </c>
      <c r="M358" s="1" t="s">
        <v>1814</v>
      </c>
      <c r="N358" s="1" t="s">
        <v>701</v>
      </c>
      <c r="O358" s="1">
        <v>0</v>
      </c>
      <c r="P358" s="1" t="s">
        <v>2071</v>
      </c>
      <c r="Q358" s="7" t="s">
        <v>2051</v>
      </c>
    </row>
    <row r="359" spans="1:17" ht="14.25" thickBot="1">
      <c r="A359" s="1" t="s">
        <v>391</v>
      </c>
      <c r="B359" s="3">
        <v>1</v>
      </c>
      <c r="C359" s="1" t="s">
        <v>2032</v>
      </c>
      <c r="D359" s="1" t="str">
        <f t="shared" si="2"/>
        <v>戒指</v>
      </c>
      <c r="E359" s="1">
        <f>INDEX([1]游戏类型定义!$C$20:$C$29,MATCH(D359,[1]!装备部位,0))</f>
        <v>2</v>
      </c>
      <c r="F359" s="1">
        <v>2</v>
      </c>
      <c r="G359" s="1">
        <f t="shared" si="3"/>
        <v>5</v>
      </c>
      <c r="H359" s="10">
        <v>0</v>
      </c>
      <c r="I359" s="1">
        <v>1000</v>
      </c>
      <c r="J359" s="1">
        <v>10</v>
      </c>
      <c r="K359" s="1">
        <v>0</v>
      </c>
      <c r="L359" s="1">
        <v>0</v>
      </c>
      <c r="M359" s="1" t="s">
        <v>1815</v>
      </c>
      <c r="N359" s="1" t="s">
        <v>701</v>
      </c>
      <c r="O359" s="1">
        <v>0</v>
      </c>
      <c r="P359" s="1" t="s">
        <v>2071</v>
      </c>
      <c r="Q359" s="7" t="s">
        <v>2052</v>
      </c>
    </row>
    <row r="360" spans="1:17" ht="14.25" thickBot="1">
      <c r="A360" s="1" t="s">
        <v>392</v>
      </c>
      <c r="B360" s="3">
        <v>1</v>
      </c>
      <c r="C360" s="1" t="s">
        <v>2033</v>
      </c>
      <c r="D360" s="1" t="str">
        <f t="shared" si="2"/>
        <v>腰带</v>
      </c>
      <c r="E360" s="1">
        <f>INDEX([1]游戏类型定义!$C$20:$C$29,MATCH(D360,[1]!装备部位,0))</f>
        <v>3</v>
      </c>
      <c r="F360" s="1">
        <v>2</v>
      </c>
      <c r="G360" s="1">
        <f t="shared" si="3"/>
        <v>5</v>
      </c>
      <c r="H360" s="10">
        <v>0</v>
      </c>
      <c r="I360" s="1">
        <v>1000</v>
      </c>
      <c r="J360" s="1">
        <v>10</v>
      </c>
      <c r="K360" s="1">
        <v>0</v>
      </c>
      <c r="L360" s="1">
        <v>0</v>
      </c>
      <c r="M360" s="1" t="s">
        <v>2324</v>
      </c>
      <c r="N360" s="1" t="s">
        <v>701</v>
      </c>
      <c r="O360" s="1">
        <v>0</v>
      </c>
      <c r="P360" s="1" t="s">
        <v>2071</v>
      </c>
      <c r="Q360" s="7" t="s">
        <v>2053</v>
      </c>
    </row>
    <row r="361" spans="1:17" ht="14.25" thickBot="1">
      <c r="A361" s="1" t="s">
        <v>393</v>
      </c>
      <c r="B361" s="2">
        <v>0</v>
      </c>
      <c r="C361" s="1" t="s">
        <v>2036</v>
      </c>
      <c r="D361" s="1" t="str">
        <f t="shared" si="2"/>
        <v>鞋子</v>
      </c>
      <c r="E361" s="1">
        <f>INDEX([1]游戏类型定义!$C$20:$C$29,MATCH(D361,[1]!装备部位,0))</f>
        <v>8</v>
      </c>
      <c r="F361" s="1">
        <v>2</v>
      </c>
      <c r="G361" s="1">
        <f t="shared" si="3"/>
        <v>5</v>
      </c>
      <c r="H361" s="10">
        <v>0</v>
      </c>
      <c r="I361" s="1">
        <v>1000</v>
      </c>
      <c r="J361" s="1">
        <v>10</v>
      </c>
      <c r="K361" s="1">
        <v>0</v>
      </c>
      <c r="L361" s="1">
        <v>0</v>
      </c>
      <c r="M361" s="1" t="s">
        <v>1816</v>
      </c>
      <c r="N361" s="1" t="s">
        <v>701</v>
      </c>
      <c r="O361" s="1">
        <v>0</v>
      </c>
      <c r="P361" s="1" t="s">
        <v>2071</v>
      </c>
      <c r="Q361" s="7" t="s">
        <v>2054</v>
      </c>
    </row>
    <row r="362" spans="1:17" ht="14.25" thickBot="1">
      <c r="A362" s="1" t="s">
        <v>394</v>
      </c>
      <c r="B362" s="2">
        <v>0</v>
      </c>
      <c r="C362" s="1" t="s">
        <v>2035</v>
      </c>
      <c r="D362" s="1" t="str">
        <f t="shared" si="2"/>
        <v>手套</v>
      </c>
      <c r="E362" s="1">
        <f>INDEX([1]游戏类型定义!$C$20:$C$29,MATCH(D362,[1]!装备部位,0))</f>
        <v>9</v>
      </c>
      <c r="F362" s="1">
        <v>2</v>
      </c>
      <c r="G362" s="1">
        <f t="shared" si="3"/>
        <v>5</v>
      </c>
      <c r="H362" s="10">
        <v>0</v>
      </c>
      <c r="I362" s="1">
        <v>1000</v>
      </c>
      <c r="J362" s="1">
        <v>10</v>
      </c>
      <c r="K362" s="1">
        <v>0</v>
      </c>
      <c r="L362" s="1">
        <v>0</v>
      </c>
      <c r="M362" s="1" t="s">
        <v>1817</v>
      </c>
      <c r="N362" s="1" t="s">
        <v>701</v>
      </c>
      <c r="O362" s="1">
        <v>0</v>
      </c>
      <c r="P362" s="1" t="s">
        <v>2071</v>
      </c>
      <c r="Q362" s="7" t="s">
        <v>2055</v>
      </c>
    </row>
    <row r="363" spans="1:17" ht="14.25" thickBot="1">
      <c r="A363" s="1" t="s">
        <v>395</v>
      </c>
      <c r="B363" s="3">
        <v>1</v>
      </c>
      <c r="C363" s="1" t="s">
        <v>2034</v>
      </c>
      <c r="D363" s="1" t="str">
        <f t="shared" si="2"/>
        <v>项链</v>
      </c>
      <c r="E363" s="1">
        <f>INDEX([1]游戏类型定义!$C$20:$C$29,MATCH(D363,[1]!装备部位,0))</f>
        <v>10</v>
      </c>
      <c r="F363" s="1">
        <v>2</v>
      </c>
      <c r="G363" s="1">
        <f t="shared" si="3"/>
        <v>5</v>
      </c>
      <c r="H363" s="10">
        <v>0</v>
      </c>
      <c r="I363" s="1">
        <v>1000</v>
      </c>
      <c r="J363" s="1">
        <v>10</v>
      </c>
      <c r="K363" s="1">
        <v>0</v>
      </c>
      <c r="L363" s="1">
        <v>0</v>
      </c>
      <c r="M363" s="1" t="s">
        <v>1818</v>
      </c>
      <c r="N363" s="1" t="s">
        <v>701</v>
      </c>
      <c r="O363" s="1">
        <v>0</v>
      </c>
      <c r="P363" s="1" t="s">
        <v>2071</v>
      </c>
      <c r="Q363" s="7" t="s">
        <v>2056</v>
      </c>
    </row>
    <row r="364" spans="1:17" ht="14.25" thickBot="1">
      <c r="A364" s="1" t="s">
        <v>396</v>
      </c>
      <c r="B364" s="3">
        <v>1</v>
      </c>
      <c r="C364" s="9" t="s">
        <v>2195</v>
      </c>
      <c r="D364" s="1" t="str">
        <f t="shared" si="2"/>
        <v>主手武器</v>
      </c>
      <c r="E364" s="1">
        <f>INDEX([1]游戏类型定义!$C$20:$C$29,MATCH(D364,[1]!装备部位,0))</f>
        <v>5</v>
      </c>
      <c r="F364" s="1">
        <v>2</v>
      </c>
      <c r="G364" s="1">
        <f t="shared" si="3"/>
        <v>5</v>
      </c>
      <c r="H364" s="10" t="s">
        <v>2320</v>
      </c>
      <c r="I364" s="1">
        <v>1000</v>
      </c>
      <c r="J364" s="1">
        <v>10</v>
      </c>
      <c r="K364" s="1">
        <v>0</v>
      </c>
      <c r="L364" s="1">
        <v>0</v>
      </c>
      <c r="M364" s="1" t="s">
        <v>1819</v>
      </c>
      <c r="N364" s="1" t="s">
        <v>702</v>
      </c>
      <c r="O364" s="1">
        <v>0</v>
      </c>
      <c r="P364" s="1" t="s">
        <v>2071</v>
      </c>
      <c r="Q364" s="7" t="s">
        <v>2328</v>
      </c>
    </row>
    <row r="365" spans="1:17" ht="14.25" thickBot="1">
      <c r="A365" s="1" t="s">
        <v>397</v>
      </c>
      <c r="B365" s="3">
        <v>1</v>
      </c>
      <c r="C365" s="9" t="s">
        <v>2197</v>
      </c>
      <c r="D365" s="1" t="str">
        <f t="shared" si="2"/>
        <v>主手武器</v>
      </c>
      <c r="E365" s="1">
        <f>INDEX([1]游戏类型定义!$C$20:$C$29,MATCH(D365,[1]!装备部位,0))</f>
        <v>5</v>
      </c>
      <c r="F365" s="1">
        <v>2</v>
      </c>
      <c r="G365" s="1">
        <f t="shared" si="3"/>
        <v>5</v>
      </c>
      <c r="H365" s="10" t="s">
        <v>2320</v>
      </c>
      <c r="I365" s="1">
        <v>1600</v>
      </c>
      <c r="J365" s="1">
        <v>10</v>
      </c>
      <c r="K365" s="1">
        <v>0</v>
      </c>
      <c r="L365" s="1">
        <v>0</v>
      </c>
      <c r="M365" s="1" t="s">
        <v>2016</v>
      </c>
      <c r="N365" s="1" t="s">
        <v>702</v>
      </c>
      <c r="O365" s="1">
        <v>0</v>
      </c>
      <c r="P365" s="1" t="s">
        <v>2071</v>
      </c>
      <c r="Q365" s="7" t="s">
        <v>2329</v>
      </c>
    </row>
    <row r="366" spans="1:17" ht="14.25" thickBot="1">
      <c r="A366" s="1" t="s">
        <v>398</v>
      </c>
      <c r="B366" s="3">
        <v>1</v>
      </c>
      <c r="C366" s="9" t="s">
        <v>2086</v>
      </c>
      <c r="D366" s="1" t="str">
        <f t="shared" si="2"/>
        <v>副手武器</v>
      </c>
      <c r="E366" s="1">
        <f>INDEX([1]游戏类型定义!$C$20:$C$29,MATCH(D366,[1]!装备部位,0))</f>
        <v>6</v>
      </c>
      <c r="F366" s="1">
        <v>2</v>
      </c>
      <c r="G366" s="1">
        <f t="shared" si="3"/>
        <v>5</v>
      </c>
      <c r="H366" s="10" t="s">
        <v>2320</v>
      </c>
      <c r="I366" s="1">
        <v>1000</v>
      </c>
      <c r="J366" s="1">
        <v>10</v>
      </c>
      <c r="K366" s="1">
        <v>0</v>
      </c>
      <c r="L366" s="1">
        <v>0</v>
      </c>
      <c r="M366" s="1" t="s">
        <v>1820</v>
      </c>
      <c r="N366" s="1" t="s">
        <v>702</v>
      </c>
      <c r="O366" s="1">
        <v>0</v>
      </c>
      <c r="P366" s="1" t="s">
        <v>2071</v>
      </c>
      <c r="Q366" s="7" t="s">
        <v>2330</v>
      </c>
    </row>
    <row r="367" spans="1:17" ht="14.25" thickBot="1">
      <c r="A367" s="1" t="s">
        <v>399</v>
      </c>
      <c r="B367" s="2">
        <v>0</v>
      </c>
      <c r="C367" s="9" t="s">
        <v>2044</v>
      </c>
      <c r="D367" s="1" t="str">
        <f t="shared" si="2"/>
        <v>副手武器</v>
      </c>
      <c r="E367" s="1">
        <f>INDEX([1]游戏类型定义!$C$20:$C$29,MATCH(D367,[1]!装备部位,0))</f>
        <v>6</v>
      </c>
      <c r="F367" s="1">
        <v>2</v>
      </c>
      <c r="G367" s="1">
        <f t="shared" si="3"/>
        <v>5</v>
      </c>
      <c r="H367" s="10" t="s">
        <v>2320</v>
      </c>
      <c r="I367" s="1">
        <v>1600</v>
      </c>
      <c r="J367" s="1">
        <v>10</v>
      </c>
      <c r="K367" s="1">
        <v>0</v>
      </c>
      <c r="L367" s="1">
        <v>0</v>
      </c>
      <c r="M367" s="1" t="s">
        <v>1821</v>
      </c>
      <c r="N367" s="1" t="s">
        <v>702</v>
      </c>
      <c r="O367" s="1">
        <v>0</v>
      </c>
      <c r="P367" s="1" t="s">
        <v>2071</v>
      </c>
      <c r="Q367" s="7" t="s">
        <v>2058</v>
      </c>
    </row>
    <row r="368" spans="1:17" ht="14.25" thickBot="1">
      <c r="A368" s="1" t="s">
        <v>400</v>
      </c>
      <c r="B368" s="3">
        <v>1</v>
      </c>
      <c r="C368" s="1" t="s">
        <v>2201</v>
      </c>
      <c r="D368" s="1" t="str">
        <f t="shared" si="2"/>
        <v>主手武器</v>
      </c>
      <c r="E368" s="1">
        <f>INDEX([1]游戏类型定义!$C$20:$C$29,MATCH(D368,[1]!装备部位,0))</f>
        <v>5</v>
      </c>
      <c r="F368" s="1">
        <v>2</v>
      </c>
      <c r="G368" s="1">
        <f t="shared" si="3"/>
        <v>5</v>
      </c>
      <c r="H368" s="10" t="s">
        <v>2321</v>
      </c>
      <c r="I368" s="1">
        <v>1000</v>
      </c>
      <c r="J368" s="1">
        <v>10</v>
      </c>
      <c r="K368" s="1">
        <v>0</v>
      </c>
      <c r="L368" s="1">
        <v>0</v>
      </c>
      <c r="M368" s="1" t="s">
        <v>1819</v>
      </c>
      <c r="N368" s="1" t="s">
        <v>702</v>
      </c>
      <c r="O368" s="1">
        <v>0</v>
      </c>
      <c r="P368" s="1" t="s">
        <v>2071</v>
      </c>
      <c r="Q368" s="7" t="s">
        <v>2530</v>
      </c>
    </row>
    <row r="369" spans="1:17" ht="14.25" thickBot="1">
      <c r="A369" s="1" t="s">
        <v>401</v>
      </c>
      <c r="B369" s="3">
        <v>1</v>
      </c>
      <c r="C369" s="1" t="s">
        <v>2202</v>
      </c>
      <c r="D369" s="1" t="str">
        <f t="shared" si="2"/>
        <v>主手武器</v>
      </c>
      <c r="E369" s="1">
        <f>INDEX([1]游戏类型定义!$C$20:$C$29,MATCH(D369,[1]!装备部位,0))</f>
        <v>5</v>
      </c>
      <c r="F369" s="1">
        <v>2</v>
      </c>
      <c r="G369" s="1">
        <f t="shared" si="3"/>
        <v>5</v>
      </c>
      <c r="H369" s="10" t="s">
        <v>2321</v>
      </c>
      <c r="I369" s="1">
        <v>1600</v>
      </c>
      <c r="J369" s="1">
        <v>10</v>
      </c>
      <c r="K369" s="1">
        <v>0</v>
      </c>
      <c r="L369" s="1">
        <v>0</v>
      </c>
      <c r="M369" s="1" t="s">
        <v>2016</v>
      </c>
      <c r="N369" s="1" t="s">
        <v>702</v>
      </c>
      <c r="O369" s="1">
        <v>0</v>
      </c>
      <c r="P369" s="1" t="s">
        <v>2071</v>
      </c>
      <c r="Q369" s="7" t="s">
        <v>2531</v>
      </c>
    </row>
    <row r="370" spans="1:17" ht="14.25" thickBot="1">
      <c r="A370" s="1" t="s">
        <v>402</v>
      </c>
      <c r="B370" s="3">
        <v>1</v>
      </c>
      <c r="C370" s="9" t="s">
        <v>2203</v>
      </c>
      <c r="D370" s="1" t="str">
        <f t="shared" si="2"/>
        <v>副手武器</v>
      </c>
      <c r="E370" s="1">
        <f>INDEX([1]游戏类型定义!$C$20:$C$29,MATCH(D370,[1]!装备部位,0))</f>
        <v>6</v>
      </c>
      <c r="F370" s="1">
        <v>2</v>
      </c>
      <c r="G370" s="1">
        <f t="shared" si="3"/>
        <v>5</v>
      </c>
      <c r="H370" s="10" t="s">
        <v>2321</v>
      </c>
      <c r="I370" s="1">
        <v>1000</v>
      </c>
      <c r="J370" s="1">
        <v>10</v>
      </c>
      <c r="K370" s="1">
        <v>0</v>
      </c>
      <c r="L370" s="1">
        <v>0</v>
      </c>
      <c r="M370" s="1" t="s">
        <v>1822</v>
      </c>
      <c r="N370" s="1" t="s">
        <v>702</v>
      </c>
      <c r="O370" s="1">
        <v>0</v>
      </c>
      <c r="P370" s="1" t="s">
        <v>2071</v>
      </c>
      <c r="Q370" s="7" t="s">
        <v>2331</v>
      </c>
    </row>
    <row r="371" spans="1:17" ht="14.25" thickBot="1">
      <c r="A371" s="1" t="s">
        <v>403</v>
      </c>
      <c r="B371" s="2">
        <v>0</v>
      </c>
      <c r="C371" s="9" t="s">
        <v>2042</v>
      </c>
      <c r="D371" s="1" t="str">
        <f t="shared" si="2"/>
        <v>副手武器</v>
      </c>
      <c r="E371" s="1">
        <f>INDEX([1]游戏类型定义!$C$20:$C$29,MATCH(D371,[1]!装备部位,0))</f>
        <v>6</v>
      </c>
      <c r="F371" s="1">
        <v>2</v>
      </c>
      <c r="G371" s="1">
        <f t="shared" si="3"/>
        <v>5</v>
      </c>
      <c r="H371" s="10" t="s">
        <v>2321</v>
      </c>
      <c r="I371" s="1">
        <v>1600</v>
      </c>
      <c r="J371" s="1">
        <v>10</v>
      </c>
      <c r="K371" s="1">
        <v>0</v>
      </c>
      <c r="L371" s="1">
        <v>0</v>
      </c>
      <c r="M371" s="1" t="s">
        <v>1823</v>
      </c>
      <c r="N371" s="1" t="s">
        <v>702</v>
      </c>
      <c r="O371" s="1">
        <v>0</v>
      </c>
      <c r="P371" s="1" t="s">
        <v>2071</v>
      </c>
      <c r="Q371" s="7" t="s">
        <v>2060</v>
      </c>
    </row>
    <row r="372" spans="1:17" ht="14.25" thickBot="1">
      <c r="A372" s="1" t="s">
        <v>404</v>
      </c>
      <c r="B372" s="3">
        <v>1</v>
      </c>
      <c r="C372" s="9" t="s">
        <v>2204</v>
      </c>
      <c r="D372" s="1" t="str">
        <f t="shared" si="2"/>
        <v>主手武器</v>
      </c>
      <c r="E372" s="1">
        <f>INDEX([1]游戏类型定义!$C$20:$C$29,MATCH(D372,[1]!装备部位,0))</f>
        <v>5</v>
      </c>
      <c r="F372" s="1">
        <v>2</v>
      </c>
      <c r="G372" s="1">
        <f t="shared" si="3"/>
        <v>5</v>
      </c>
      <c r="H372" s="10" t="s">
        <v>2322</v>
      </c>
      <c r="I372" s="1">
        <v>1000</v>
      </c>
      <c r="J372" s="1">
        <v>10</v>
      </c>
      <c r="K372" s="1">
        <v>0</v>
      </c>
      <c r="L372" s="1">
        <v>0</v>
      </c>
      <c r="M372" s="1" t="s">
        <v>1819</v>
      </c>
      <c r="N372" s="1" t="s">
        <v>702</v>
      </c>
      <c r="O372" s="1">
        <v>0</v>
      </c>
      <c r="P372" s="1" t="s">
        <v>2071</v>
      </c>
      <c r="Q372" s="7" t="s">
        <v>2332</v>
      </c>
    </row>
    <row r="373" spans="1:17" ht="14.25" thickBot="1">
      <c r="A373" s="1" t="s">
        <v>405</v>
      </c>
      <c r="B373" s="3">
        <v>1</v>
      </c>
      <c r="C373" s="9" t="s">
        <v>2205</v>
      </c>
      <c r="D373" s="1" t="str">
        <f t="shared" si="2"/>
        <v>主手武器</v>
      </c>
      <c r="E373" s="1">
        <f>INDEX([1]游戏类型定义!$C$20:$C$29,MATCH(D373,[1]!装备部位,0))</f>
        <v>5</v>
      </c>
      <c r="F373" s="1">
        <v>2</v>
      </c>
      <c r="G373" s="1">
        <f t="shared" si="3"/>
        <v>5</v>
      </c>
      <c r="H373" s="10" t="s">
        <v>2322</v>
      </c>
      <c r="I373" s="1">
        <v>1600</v>
      </c>
      <c r="J373" s="1">
        <v>10</v>
      </c>
      <c r="K373" s="1">
        <v>0</v>
      </c>
      <c r="L373" s="1">
        <v>0</v>
      </c>
      <c r="M373" s="1" t="s">
        <v>2016</v>
      </c>
      <c r="N373" s="1" t="s">
        <v>702</v>
      </c>
      <c r="O373" s="1">
        <v>0</v>
      </c>
      <c r="P373" s="1" t="s">
        <v>2071</v>
      </c>
      <c r="Q373" s="7" t="s">
        <v>2333</v>
      </c>
    </row>
    <row r="374" spans="1:17" ht="14.25" thickBot="1">
      <c r="A374" s="1" t="s">
        <v>406</v>
      </c>
      <c r="B374" s="3">
        <v>1</v>
      </c>
      <c r="C374" s="9" t="s">
        <v>2206</v>
      </c>
      <c r="D374" s="1" t="str">
        <f t="shared" si="2"/>
        <v>副手武器</v>
      </c>
      <c r="E374" s="1">
        <f>INDEX([1]游戏类型定义!$C$20:$C$29,MATCH(D374,[1]!装备部位,0))</f>
        <v>6</v>
      </c>
      <c r="F374" s="1">
        <v>2</v>
      </c>
      <c r="G374" s="1">
        <f t="shared" si="3"/>
        <v>5</v>
      </c>
      <c r="H374" s="10" t="s">
        <v>2322</v>
      </c>
      <c r="I374" s="1">
        <v>1000</v>
      </c>
      <c r="J374" s="1">
        <v>10</v>
      </c>
      <c r="K374" s="1">
        <v>0</v>
      </c>
      <c r="L374" s="1">
        <v>0</v>
      </c>
      <c r="M374" s="1" t="s">
        <v>1824</v>
      </c>
      <c r="N374" s="1" t="s">
        <v>702</v>
      </c>
      <c r="O374" s="1">
        <v>0</v>
      </c>
      <c r="P374" s="1" t="s">
        <v>2071</v>
      </c>
      <c r="Q374" s="7" t="s">
        <v>2334</v>
      </c>
    </row>
    <row r="375" spans="1:17" ht="14.25" thickBot="1">
      <c r="A375" s="1" t="s">
        <v>407</v>
      </c>
      <c r="B375" s="2">
        <v>0</v>
      </c>
      <c r="C375" s="9" t="s">
        <v>2050</v>
      </c>
      <c r="D375" s="1" t="str">
        <f t="shared" si="2"/>
        <v>副手武器</v>
      </c>
      <c r="E375" s="1">
        <f>INDEX([1]游戏类型定义!$C$20:$C$29,MATCH(D375,[1]!装备部位,0))</f>
        <v>6</v>
      </c>
      <c r="F375" s="1">
        <v>2</v>
      </c>
      <c r="G375" s="1">
        <f t="shared" si="3"/>
        <v>5</v>
      </c>
      <c r="H375" s="10" t="s">
        <v>2322</v>
      </c>
      <c r="I375" s="1">
        <v>1600</v>
      </c>
      <c r="J375" s="1">
        <v>10</v>
      </c>
      <c r="K375" s="1">
        <v>0</v>
      </c>
      <c r="L375" s="1">
        <v>0</v>
      </c>
      <c r="M375" s="1" t="s">
        <v>1825</v>
      </c>
      <c r="N375" s="1" t="s">
        <v>702</v>
      </c>
      <c r="O375" s="1">
        <v>0</v>
      </c>
      <c r="P375" s="1" t="s">
        <v>2071</v>
      </c>
      <c r="Q375" s="7" t="s">
        <v>2062</v>
      </c>
    </row>
    <row r="376" spans="1:17" ht="14.25" thickBot="1">
      <c r="A376" s="1" t="s">
        <v>408</v>
      </c>
      <c r="B376" s="3">
        <v>1</v>
      </c>
      <c r="C376" s="1" t="s">
        <v>2157</v>
      </c>
      <c r="D376" s="1" t="str">
        <f t="shared" ref="D376:D395" si="4">D46</f>
        <v>胸甲</v>
      </c>
      <c r="E376" s="1">
        <f>INDEX([1]游戏类型定义!$C$20:$C$29,MATCH(D376,[1]!装备部位,0))</f>
        <v>4</v>
      </c>
      <c r="F376" s="1">
        <v>2</v>
      </c>
      <c r="G376" s="1">
        <f t="shared" ref="G376:G395" si="5">G46</f>
        <v>5</v>
      </c>
      <c r="H376" s="10">
        <v>0</v>
      </c>
      <c r="I376" s="1">
        <v>1000</v>
      </c>
      <c r="J376" s="1">
        <v>10</v>
      </c>
      <c r="K376" s="1">
        <v>0</v>
      </c>
      <c r="L376" s="1">
        <v>0</v>
      </c>
      <c r="M376" s="1" t="s">
        <v>1826</v>
      </c>
      <c r="N376" s="1" t="s">
        <v>701</v>
      </c>
      <c r="O376" s="1">
        <v>0</v>
      </c>
      <c r="P376" s="1" t="s">
        <v>2071</v>
      </c>
      <c r="Q376" s="7" t="s">
        <v>2335</v>
      </c>
    </row>
    <row r="377" spans="1:17" ht="14.25" thickBot="1">
      <c r="A377" s="1" t="s">
        <v>409</v>
      </c>
      <c r="B377" s="3">
        <v>1</v>
      </c>
      <c r="C377" s="1" t="s">
        <v>2158</v>
      </c>
      <c r="D377" s="1" t="str">
        <f t="shared" si="4"/>
        <v>胸甲</v>
      </c>
      <c r="E377" s="1">
        <f>INDEX([1]游戏类型定义!$C$20:$C$29,MATCH(D377,[1]!装备部位,0))</f>
        <v>4</v>
      </c>
      <c r="F377" s="1">
        <v>2</v>
      </c>
      <c r="G377" s="1">
        <f t="shared" si="5"/>
        <v>5</v>
      </c>
      <c r="H377" s="10">
        <v>0</v>
      </c>
      <c r="I377" s="1">
        <v>1600</v>
      </c>
      <c r="J377" s="1">
        <v>10</v>
      </c>
      <c r="K377" s="1">
        <v>0</v>
      </c>
      <c r="L377" s="1">
        <v>0</v>
      </c>
      <c r="M377" s="1" t="s">
        <v>1827</v>
      </c>
      <c r="N377" s="1" t="s">
        <v>701</v>
      </c>
      <c r="O377" s="1">
        <v>0</v>
      </c>
      <c r="P377" s="1" t="s">
        <v>2071</v>
      </c>
      <c r="Q377" s="7" t="s">
        <v>2336</v>
      </c>
    </row>
    <row r="378" spans="1:17" ht="14.25" thickBot="1">
      <c r="A378" s="1" t="s">
        <v>410</v>
      </c>
      <c r="B378" s="3">
        <v>1</v>
      </c>
      <c r="C378" s="1" t="s">
        <v>2037</v>
      </c>
      <c r="D378" s="1" t="str">
        <f t="shared" si="4"/>
        <v>护腿</v>
      </c>
      <c r="E378" s="1">
        <f>INDEX([1]游戏类型定义!$C$20:$C$29,MATCH(D378,[1]!装备部位,0))</f>
        <v>7</v>
      </c>
      <c r="F378" s="1">
        <v>2</v>
      </c>
      <c r="G378" s="1">
        <f t="shared" si="5"/>
        <v>5</v>
      </c>
      <c r="H378" s="10">
        <v>0</v>
      </c>
      <c r="I378" s="1">
        <v>1000</v>
      </c>
      <c r="J378" s="1">
        <v>10</v>
      </c>
      <c r="K378" s="1">
        <v>0</v>
      </c>
      <c r="L378" s="1">
        <v>0</v>
      </c>
      <c r="M378" s="1" t="s">
        <v>1810</v>
      </c>
      <c r="N378" s="1" t="s">
        <v>701</v>
      </c>
      <c r="O378" s="1">
        <v>0</v>
      </c>
      <c r="P378" s="1" t="s">
        <v>2071</v>
      </c>
      <c r="Q378" s="7" t="s">
        <v>2064</v>
      </c>
    </row>
    <row r="379" spans="1:17" ht="14.25" thickBot="1">
      <c r="A379" s="1" t="s">
        <v>411</v>
      </c>
      <c r="B379" s="3">
        <v>1</v>
      </c>
      <c r="C379" s="1" t="s">
        <v>2174</v>
      </c>
      <c r="D379" s="1" t="str">
        <f t="shared" si="4"/>
        <v>护腿</v>
      </c>
      <c r="E379" s="1">
        <f>INDEX([1]游戏类型定义!$C$20:$C$29,MATCH(D379,[1]!装备部位,0))</f>
        <v>7</v>
      </c>
      <c r="F379" s="1">
        <v>2</v>
      </c>
      <c r="G379" s="1">
        <f t="shared" si="5"/>
        <v>5</v>
      </c>
      <c r="H379" s="10">
        <v>0</v>
      </c>
      <c r="I379" s="1">
        <v>1600</v>
      </c>
      <c r="J379" s="1">
        <v>10</v>
      </c>
      <c r="K379" s="1">
        <v>0</v>
      </c>
      <c r="L379" s="1">
        <v>0</v>
      </c>
      <c r="M379" s="1" t="s">
        <v>1828</v>
      </c>
      <c r="N379" s="1" t="s">
        <v>701</v>
      </c>
      <c r="O379" s="1">
        <v>0</v>
      </c>
      <c r="P379" s="1" t="s">
        <v>2071</v>
      </c>
      <c r="Q379" s="7" t="s">
        <v>2337</v>
      </c>
    </row>
    <row r="380" spans="1:17" ht="14.25" thickBot="1">
      <c r="A380" s="1" t="s">
        <v>412</v>
      </c>
      <c r="B380" s="3">
        <v>1</v>
      </c>
      <c r="C380" s="1" t="s">
        <v>2102</v>
      </c>
      <c r="D380" s="1" t="str">
        <f t="shared" si="4"/>
        <v>头盔</v>
      </c>
      <c r="E380" s="1">
        <f>INDEX([1]游戏类型定义!$C$20:$C$29,MATCH(D380,[1]!装备部位,0))</f>
        <v>1</v>
      </c>
      <c r="F380" s="1">
        <v>2</v>
      </c>
      <c r="G380" s="1">
        <f t="shared" si="5"/>
        <v>10</v>
      </c>
      <c r="H380" s="10">
        <v>0</v>
      </c>
      <c r="I380" s="1">
        <v>2000</v>
      </c>
      <c r="J380" s="1">
        <v>10</v>
      </c>
      <c r="K380" s="1">
        <v>0</v>
      </c>
      <c r="L380" s="1">
        <v>0</v>
      </c>
      <c r="M380" s="1" t="s">
        <v>1829</v>
      </c>
      <c r="N380" s="1" t="s">
        <v>703</v>
      </c>
      <c r="O380" s="1">
        <v>0</v>
      </c>
      <c r="P380" s="1" t="s">
        <v>2072</v>
      </c>
      <c r="Q380" s="7" t="s">
        <v>2338</v>
      </c>
    </row>
    <row r="381" spans="1:17" ht="14.25" thickBot="1">
      <c r="A381" s="1" t="s">
        <v>413</v>
      </c>
      <c r="B381" s="3">
        <v>1</v>
      </c>
      <c r="C381" s="1" t="s">
        <v>2108</v>
      </c>
      <c r="D381" s="1" t="str">
        <f t="shared" si="4"/>
        <v>戒指</v>
      </c>
      <c r="E381" s="1">
        <f>INDEX([1]游戏类型定义!$C$20:$C$29,MATCH(D381,[1]!装备部位,0))</f>
        <v>2</v>
      </c>
      <c r="F381" s="1">
        <v>2</v>
      </c>
      <c r="G381" s="1">
        <f t="shared" si="5"/>
        <v>10</v>
      </c>
      <c r="H381" s="10">
        <v>0</v>
      </c>
      <c r="I381" s="1">
        <v>2000</v>
      </c>
      <c r="J381" s="1">
        <v>10</v>
      </c>
      <c r="K381" s="1">
        <v>0</v>
      </c>
      <c r="L381" s="1">
        <v>0</v>
      </c>
      <c r="M381" s="1" t="s">
        <v>1830</v>
      </c>
      <c r="N381" s="1" t="s">
        <v>703</v>
      </c>
      <c r="O381" s="1">
        <v>0</v>
      </c>
      <c r="P381" s="1" t="s">
        <v>2072</v>
      </c>
      <c r="Q381" s="7" t="s">
        <v>2339</v>
      </c>
    </row>
    <row r="382" spans="1:17" ht="14.25" thickBot="1">
      <c r="A382" s="1" t="s">
        <v>414</v>
      </c>
      <c r="B382" s="3">
        <v>1</v>
      </c>
      <c r="C382" s="1" t="s">
        <v>2087</v>
      </c>
      <c r="D382" s="1" t="str">
        <f t="shared" si="4"/>
        <v>腰带</v>
      </c>
      <c r="E382" s="1">
        <f>INDEX([1]游戏类型定义!$C$20:$C$29,MATCH(D382,[1]!装备部位,0))</f>
        <v>3</v>
      </c>
      <c r="F382" s="1">
        <v>2</v>
      </c>
      <c r="G382" s="1">
        <f t="shared" si="5"/>
        <v>10</v>
      </c>
      <c r="H382" s="10">
        <v>0</v>
      </c>
      <c r="I382" s="1">
        <v>2000</v>
      </c>
      <c r="J382" s="1">
        <v>10</v>
      </c>
      <c r="K382" s="1">
        <v>0</v>
      </c>
      <c r="L382" s="1">
        <v>0</v>
      </c>
      <c r="M382" s="1" t="s">
        <v>1831</v>
      </c>
      <c r="N382" s="1" t="s">
        <v>703</v>
      </c>
      <c r="O382" s="1">
        <v>0</v>
      </c>
      <c r="P382" s="1" t="s">
        <v>2072</v>
      </c>
      <c r="Q382" s="7" t="s">
        <v>2340</v>
      </c>
    </row>
    <row r="383" spans="1:17" ht="14.25" thickBot="1">
      <c r="A383" s="1" t="s">
        <v>415</v>
      </c>
      <c r="B383" s="3">
        <v>1</v>
      </c>
      <c r="C383" s="1" t="s">
        <v>2120</v>
      </c>
      <c r="D383" s="1" t="str">
        <f t="shared" si="4"/>
        <v>鞋子</v>
      </c>
      <c r="E383" s="1">
        <f>INDEX([1]游戏类型定义!$C$20:$C$29,MATCH(D383,[1]!装备部位,0))</f>
        <v>8</v>
      </c>
      <c r="F383" s="1">
        <v>2</v>
      </c>
      <c r="G383" s="1">
        <f t="shared" si="5"/>
        <v>10</v>
      </c>
      <c r="H383" s="10">
        <v>0</v>
      </c>
      <c r="I383" s="1">
        <v>2000</v>
      </c>
      <c r="J383" s="1">
        <v>10</v>
      </c>
      <c r="K383" s="1">
        <v>0</v>
      </c>
      <c r="L383" s="1">
        <v>0</v>
      </c>
      <c r="M383" s="1" t="s">
        <v>1832</v>
      </c>
      <c r="N383" s="1" t="s">
        <v>703</v>
      </c>
      <c r="O383" s="1">
        <v>0</v>
      </c>
      <c r="P383" s="1" t="s">
        <v>2072</v>
      </c>
      <c r="Q383" s="7" t="s">
        <v>2341</v>
      </c>
    </row>
    <row r="384" spans="1:17" ht="14.25" thickBot="1">
      <c r="A384" s="1" t="s">
        <v>416</v>
      </c>
      <c r="B384" s="3">
        <v>1</v>
      </c>
      <c r="C384" s="1" t="s">
        <v>2132</v>
      </c>
      <c r="D384" s="1" t="str">
        <f t="shared" si="4"/>
        <v>手套</v>
      </c>
      <c r="E384" s="1">
        <f>INDEX([1]游戏类型定义!$C$20:$C$29,MATCH(D384,[1]!装备部位,0))</f>
        <v>9</v>
      </c>
      <c r="F384" s="1">
        <v>2</v>
      </c>
      <c r="G384" s="1">
        <f t="shared" si="5"/>
        <v>10</v>
      </c>
      <c r="H384" s="10">
        <v>0</v>
      </c>
      <c r="I384" s="1">
        <v>2000</v>
      </c>
      <c r="J384" s="1">
        <v>10</v>
      </c>
      <c r="K384" s="1">
        <v>0</v>
      </c>
      <c r="L384" s="1">
        <v>0</v>
      </c>
      <c r="M384" s="1" t="s">
        <v>1833</v>
      </c>
      <c r="N384" s="1" t="s">
        <v>703</v>
      </c>
      <c r="O384" s="1">
        <v>0</v>
      </c>
      <c r="P384" s="1" t="s">
        <v>2072</v>
      </c>
      <c r="Q384" s="7" t="s">
        <v>2342</v>
      </c>
    </row>
    <row r="385" spans="1:17" ht="14.25" thickBot="1">
      <c r="A385" s="1" t="s">
        <v>417</v>
      </c>
      <c r="B385" s="2">
        <v>0</v>
      </c>
      <c r="C385" s="1" t="s">
        <v>2034</v>
      </c>
      <c r="D385" s="1" t="str">
        <f t="shared" si="4"/>
        <v>项链</v>
      </c>
      <c r="E385" s="1">
        <f>INDEX([1]游戏类型定义!$C$20:$C$29,MATCH(D385,[1]!装备部位,0))</f>
        <v>10</v>
      </c>
      <c r="F385" s="1">
        <v>2</v>
      </c>
      <c r="G385" s="1">
        <f t="shared" si="5"/>
        <v>10</v>
      </c>
      <c r="H385" s="10">
        <v>0</v>
      </c>
      <c r="I385" s="1">
        <v>2000</v>
      </c>
      <c r="J385" s="1">
        <v>10</v>
      </c>
      <c r="K385" s="1">
        <v>0</v>
      </c>
      <c r="L385" s="1">
        <v>0</v>
      </c>
      <c r="M385" s="1" t="s">
        <v>1818</v>
      </c>
      <c r="N385" s="1" t="s">
        <v>703</v>
      </c>
      <c r="O385" s="1">
        <v>0</v>
      </c>
      <c r="P385" s="1" t="s">
        <v>2072</v>
      </c>
      <c r="Q385" s="7" t="s">
        <v>2056</v>
      </c>
    </row>
    <row r="386" spans="1:17" ht="14.25" thickBot="1">
      <c r="A386" s="1" t="s">
        <v>418</v>
      </c>
      <c r="B386" s="3">
        <v>1</v>
      </c>
      <c r="C386" s="9" t="s">
        <v>2207</v>
      </c>
      <c r="D386" s="1" t="str">
        <f t="shared" si="4"/>
        <v>主手武器</v>
      </c>
      <c r="E386" s="1">
        <f>INDEX([1]游戏类型定义!$C$20:$C$29,MATCH(D386,[1]!装备部位,0))</f>
        <v>5</v>
      </c>
      <c r="F386" s="1">
        <v>2</v>
      </c>
      <c r="G386" s="1">
        <f t="shared" si="5"/>
        <v>10</v>
      </c>
      <c r="H386" s="10" t="s">
        <v>2320</v>
      </c>
      <c r="I386" s="1">
        <v>2000</v>
      </c>
      <c r="J386" s="1">
        <v>10</v>
      </c>
      <c r="K386" s="1">
        <v>0</v>
      </c>
      <c r="L386" s="1">
        <v>0</v>
      </c>
      <c r="M386" s="1" t="s">
        <v>1834</v>
      </c>
      <c r="N386" s="1" t="s">
        <v>704</v>
      </c>
      <c r="O386" s="1">
        <v>0</v>
      </c>
      <c r="P386" s="1" t="s">
        <v>2072</v>
      </c>
      <c r="Q386" s="7" t="s">
        <v>2343</v>
      </c>
    </row>
    <row r="387" spans="1:17" ht="14.25" thickBot="1">
      <c r="A387" s="1" t="s">
        <v>419</v>
      </c>
      <c r="B387" s="3">
        <v>1</v>
      </c>
      <c r="C387" s="9" t="s">
        <v>2208</v>
      </c>
      <c r="D387" s="1" t="str">
        <f t="shared" si="4"/>
        <v>主手武器</v>
      </c>
      <c r="E387" s="1">
        <f>INDEX([1]游戏类型定义!$C$20:$C$29,MATCH(D387,[1]!装备部位,0))</f>
        <v>5</v>
      </c>
      <c r="F387" s="1">
        <v>2</v>
      </c>
      <c r="G387" s="1">
        <f t="shared" si="5"/>
        <v>10</v>
      </c>
      <c r="H387" s="10" t="s">
        <v>2320</v>
      </c>
      <c r="I387" s="1">
        <v>2600</v>
      </c>
      <c r="J387" s="1">
        <v>10</v>
      </c>
      <c r="K387" s="1">
        <v>0</v>
      </c>
      <c r="L387" s="1">
        <v>0</v>
      </c>
      <c r="M387" s="1" t="s">
        <v>1835</v>
      </c>
      <c r="N387" s="1" t="s">
        <v>704</v>
      </c>
      <c r="O387" s="1">
        <v>0</v>
      </c>
      <c r="P387" s="1" t="s">
        <v>2072</v>
      </c>
      <c r="Q387" s="7" t="s">
        <v>2344</v>
      </c>
    </row>
    <row r="388" spans="1:17" ht="14.25" thickBot="1">
      <c r="A388" s="1" t="s">
        <v>420</v>
      </c>
      <c r="B388" s="3">
        <v>1</v>
      </c>
      <c r="C388" s="9" t="s">
        <v>2199</v>
      </c>
      <c r="D388" s="1" t="str">
        <f t="shared" si="4"/>
        <v>副手武器</v>
      </c>
      <c r="E388" s="1">
        <f>INDEX([1]游戏类型定义!$C$20:$C$29,MATCH(D388,[1]!装备部位,0))</f>
        <v>6</v>
      </c>
      <c r="F388" s="1">
        <v>2</v>
      </c>
      <c r="G388" s="1">
        <f t="shared" si="5"/>
        <v>10</v>
      </c>
      <c r="H388" s="10" t="s">
        <v>2320</v>
      </c>
      <c r="I388" s="1">
        <v>2000</v>
      </c>
      <c r="J388" s="1">
        <v>10</v>
      </c>
      <c r="K388" s="1">
        <v>0</v>
      </c>
      <c r="L388" s="1">
        <v>0</v>
      </c>
      <c r="M388" s="1" t="s">
        <v>1836</v>
      </c>
      <c r="N388" s="1" t="s">
        <v>704</v>
      </c>
      <c r="O388" s="1">
        <v>0</v>
      </c>
      <c r="P388" s="1" t="s">
        <v>2072</v>
      </c>
      <c r="Q388" s="7" t="s">
        <v>2345</v>
      </c>
    </row>
    <row r="389" spans="1:17" ht="14.25" thickBot="1">
      <c r="A389" s="1" t="s">
        <v>421</v>
      </c>
      <c r="B389" s="2">
        <v>0</v>
      </c>
      <c r="C389" s="9" t="s">
        <v>2044</v>
      </c>
      <c r="D389" s="1" t="str">
        <f t="shared" si="4"/>
        <v>副手武器</v>
      </c>
      <c r="E389" s="1">
        <f>INDEX([1]游戏类型定义!$C$20:$C$29,MATCH(D389,[1]!装备部位,0))</f>
        <v>6</v>
      </c>
      <c r="F389" s="1">
        <v>2</v>
      </c>
      <c r="G389" s="1">
        <f t="shared" si="5"/>
        <v>10</v>
      </c>
      <c r="H389" s="10" t="s">
        <v>2320</v>
      </c>
      <c r="I389" s="1">
        <v>2600</v>
      </c>
      <c r="J389" s="1">
        <v>10</v>
      </c>
      <c r="K389" s="1">
        <v>0</v>
      </c>
      <c r="L389" s="1">
        <v>0</v>
      </c>
      <c r="M389" s="1" t="s">
        <v>1837</v>
      </c>
      <c r="N389" s="1" t="s">
        <v>704</v>
      </c>
      <c r="O389" s="1">
        <v>0</v>
      </c>
      <c r="P389" s="1" t="s">
        <v>2072</v>
      </c>
      <c r="Q389" s="7" t="s">
        <v>2058</v>
      </c>
    </row>
    <row r="390" spans="1:17" ht="14.25" thickBot="1">
      <c r="A390" s="1" t="s">
        <v>422</v>
      </c>
      <c r="B390" s="3">
        <v>1</v>
      </c>
      <c r="C390" s="1" t="s">
        <v>2209</v>
      </c>
      <c r="D390" s="1" t="str">
        <f t="shared" si="4"/>
        <v>主手武器</v>
      </c>
      <c r="E390" s="1">
        <f>INDEX([1]游戏类型定义!$C$20:$C$29,MATCH(D390,[1]!装备部位,0))</f>
        <v>5</v>
      </c>
      <c r="F390" s="1">
        <v>2</v>
      </c>
      <c r="G390" s="1">
        <f t="shared" si="5"/>
        <v>10</v>
      </c>
      <c r="H390" s="10" t="s">
        <v>2321</v>
      </c>
      <c r="I390" s="1">
        <v>2000</v>
      </c>
      <c r="J390" s="1">
        <v>10</v>
      </c>
      <c r="K390" s="1">
        <v>0</v>
      </c>
      <c r="L390" s="1">
        <v>0</v>
      </c>
      <c r="M390" s="1" t="s">
        <v>1834</v>
      </c>
      <c r="N390" s="1" t="s">
        <v>704</v>
      </c>
      <c r="O390" s="1">
        <v>0</v>
      </c>
      <c r="P390" s="1" t="s">
        <v>2072</v>
      </c>
      <c r="Q390" s="7" t="s">
        <v>2346</v>
      </c>
    </row>
    <row r="391" spans="1:17" ht="14.25" thickBot="1">
      <c r="A391" s="1" t="s">
        <v>423</v>
      </c>
      <c r="B391" s="3">
        <v>1</v>
      </c>
      <c r="C391" s="1" t="s">
        <v>2210</v>
      </c>
      <c r="D391" s="1" t="str">
        <f t="shared" si="4"/>
        <v>主手武器</v>
      </c>
      <c r="E391" s="1">
        <f>INDEX([1]游戏类型定义!$C$20:$C$29,MATCH(D391,[1]!装备部位,0))</f>
        <v>5</v>
      </c>
      <c r="F391" s="1">
        <v>2</v>
      </c>
      <c r="G391" s="1">
        <f t="shared" si="5"/>
        <v>10</v>
      </c>
      <c r="H391" s="10" t="s">
        <v>2321</v>
      </c>
      <c r="I391" s="1">
        <v>2600</v>
      </c>
      <c r="J391" s="1">
        <v>10</v>
      </c>
      <c r="K391" s="1">
        <v>0</v>
      </c>
      <c r="L391" s="1">
        <v>0</v>
      </c>
      <c r="M391" s="1" t="s">
        <v>1835</v>
      </c>
      <c r="N391" s="1" t="s">
        <v>704</v>
      </c>
      <c r="O391" s="1">
        <v>0</v>
      </c>
      <c r="P391" s="1" t="s">
        <v>2072</v>
      </c>
      <c r="Q391" s="7" t="s">
        <v>2347</v>
      </c>
    </row>
    <row r="392" spans="1:17" ht="14.25" thickBot="1">
      <c r="A392" s="1" t="s">
        <v>424</v>
      </c>
      <c r="B392" s="3">
        <v>1</v>
      </c>
      <c r="C392" s="9" t="s">
        <v>2211</v>
      </c>
      <c r="D392" s="1" t="str">
        <f t="shared" si="4"/>
        <v>副手武器</v>
      </c>
      <c r="E392" s="1">
        <f>INDEX([1]游戏类型定义!$C$20:$C$29,MATCH(D392,[1]!装备部位,0))</f>
        <v>6</v>
      </c>
      <c r="F392" s="1">
        <v>2</v>
      </c>
      <c r="G392" s="1">
        <f t="shared" si="5"/>
        <v>10</v>
      </c>
      <c r="H392" s="10" t="s">
        <v>2321</v>
      </c>
      <c r="I392" s="1">
        <v>2000</v>
      </c>
      <c r="J392" s="1">
        <v>10</v>
      </c>
      <c r="K392" s="1">
        <v>0</v>
      </c>
      <c r="L392" s="1">
        <v>0</v>
      </c>
      <c r="M392" s="1" t="s">
        <v>1838</v>
      </c>
      <c r="N392" s="1" t="s">
        <v>704</v>
      </c>
      <c r="O392" s="1">
        <v>0</v>
      </c>
      <c r="P392" s="1" t="s">
        <v>2072</v>
      </c>
      <c r="Q392" s="7" t="s">
        <v>2348</v>
      </c>
    </row>
    <row r="393" spans="1:17" ht="14.25" thickBot="1">
      <c r="A393" s="1" t="s">
        <v>425</v>
      </c>
      <c r="B393" s="2">
        <v>0</v>
      </c>
      <c r="C393" s="9" t="s">
        <v>2042</v>
      </c>
      <c r="D393" s="1" t="str">
        <f t="shared" si="4"/>
        <v>副手武器</v>
      </c>
      <c r="E393" s="1">
        <f>INDEX([1]游戏类型定义!$C$20:$C$29,MATCH(D393,[1]!装备部位,0))</f>
        <v>6</v>
      </c>
      <c r="F393" s="1">
        <v>2</v>
      </c>
      <c r="G393" s="1">
        <f t="shared" si="5"/>
        <v>10</v>
      </c>
      <c r="H393" s="10" t="s">
        <v>2321</v>
      </c>
      <c r="I393" s="1">
        <v>2600</v>
      </c>
      <c r="J393" s="1">
        <v>10</v>
      </c>
      <c r="K393" s="1">
        <v>0</v>
      </c>
      <c r="L393" s="1">
        <v>0</v>
      </c>
      <c r="M393" s="1" t="s">
        <v>1839</v>
      </c>
      <c r="N393" s="1" t="s">
        <v>704</v>
      </c>
      <c r="O393" s="1">
        <v>0</v>
      </c>
      <c r="P393" s="1" t="s">
        <v>2072</v>
      </c>
      <c r="Q393" s="7" t="s">
        <v>2060</v>
      </c>
    </row>
    <row r="394" spans="1:17" ht="14.25" thickBot="1">
      <c r="A394" s="1" t="s">
        <v>426</v>
      </c>
      <c r="B394" s="3">
        <v>1</v>
      </c>
      <c r="C394" s="9" t="s">
        <v>2213</v>
      </c>
      <c r="D394" s="1" t="str">
        <f t="shared" si="4"/>
        <v>主手武器</v>
      </c>
      <c r="E394" s="1">
        <f>INDEX([1]游戏类型定义!$C$20:$C$29,MATCH(D394,[1]!装备部位,0))</f>
        <v>5</v>
      </c>
      <c r="F394" s="1">
        <v>2</v>
      </c>
      <c r="G394" s="1">
        <f t="shared" si="5"/>
        <v>10</v>
      </c>
      <c r="H394" s="10" t="s">
        <v>2322</v>
      </c>
      <c r="I394" s="1">
        <v>2000</v>
      </c>
      <c r="J394" s="1">
        <v>10</v>
      </c>
      <c r="K394" s="1">
        <v>0</v>
      </c>
      <c r="L394" s="1">
        <v>0</v>
      </c>
      <c r="M394" s="1" t="s">
        <v>1834</v>
      </c>
      <c r="N394" s="1" t="s">
        <v>704</v>
      </c>
      <c r="O394" s="1">
        <v>0</v>
      </c>
      <c r="P394" s="1" t="s">
        <v>2072</v>
      </c>
      <c r="Q394" s="7" t="s">
        <v>2349</v>
      </c>
    </row>
    <row r="395" spans="1:17" ht="14.25" thickBot="1">
      <c r="A395" s="1" t="s">
        <v>427</v>
      </c>
      <c r="B395" s="3">
        <v>1</v>
      </c>
      <c r="C395" s="9" t="s">
        <v>2212</v>
      </c>
      <c r="D395" s="1" t="str">
        <f t="shared" si="4"/>
        <v>主手武器</v>
      </c>
      <c r="E395" s="1">
        <f>INDEX([1]游戏类型定义!$C$20:$C$29,MATCH(D395,[1]!装备部位,0))</f>
        <v>5</v>
      </c>
      <c r="F395" s="1">
        <v>2</v>
      </c>
      <c r="G395" s="1">
        <f t="shared" si="5"/>
        <v>10</v>
      </c>
      <c r="H395" s="10" t="s">
        <v>2322</v>
      </c>
      <c r="I395" s="1">
        <v>2600</v>
      </c>
      <c r="J395" s="1">
        <v>10</v>
      </c>
      <c r="K395" s="1">
        <v>0</v>
      </c>
      <c r="L395" s="1">
        <v>0</v>
      </c>
      <c r="M395" s="1" t="s">
        <v>1835</v>
      </c>
      <c r="N395" s="1" t="s">
        <v>704</v>
      </c>
      <c r="O395" s="1">
        <v>0</v>
      </c>
      <c r="P395" s="1" t="s">
        <v>2072</v>
      </c>
      <c r="Q395" s="7" t="s">
        <v>2350</v>
      </c>
    </row>
    <row r="396" spans="1:17" ht="14.25" thickBot="1">
      <c r="A396" s="1" t="s">
        <v>428</v>
      </c>
      <c r="B396" s="3">
        <v>1</v>
      </c>
      <c r="C396" s="9" t="s">
        <v>2214</v>
      </c>
      <c r="D396" s="1" t="str">
        <f t="shared" ref="D396:D415" si="6">D66</f>
        <v>副手武器</v>
      </c>
      <c r="E396" s="1">
        <f>INDEX([1]游戏类型定义!$C$20:$C$29,MATCH(D396,[1]!装备部位,0))</f>
        <v>6</v>
      </c>
      <c r="F396" s="1">
        <v>2</v>
      </c>
      <c r="G396" s="1">
        <f t="shared" ref="G396:G415" si="7">G66</f>
        <v>10</v>
      </c>
      <c r="H396" s="10" t="s">
        <v>2322</v>
      </c>
      <c r="I396" s="1">
        <v>2000</v>
      </c>
      <c r="J396" s="1">
        <v>10</v>
      </c>
      <c r="K396" s="1">
        <v>0</v>
      </c>
      <c r="L396" s="1">
        <v>0</v>
      </c>
      <c r="M396" s="1" t="s">
        <v>1840</v>
      </c>
      <c r="N396" s="1" t="s">
        <v>704</v>
      </c>
      <c r="O396" s="1">
        <v>0</v>
      </c>
      <c r="P396" s="1" t="s">
        <v>2072</v>
      </c>
      <c r="Q396" s="7" t="s">
        <v>2351</v>
      </c>
    </row>
    <row r="397" spans="1:17" ht="14.25" thickBot="1">
      <c r="A397" s="1" t="s">
        <v>429</v>
      </c>
      <c r="B397" s="2">
        <v>0</v>
      </c>
      <c r="C397" s="9" t="s">
        <v>2050</v>
      </c>
      <c r="D397" s="1" t="str">
        <f t="shared" si="6"/>
        <v>副手武器</v>
      </c>
      <c r="E397" s="1">
        <f>INDEX([1]游戏类型定义!$C$20:$C$29,MATCH(D397,[1]!装备部位,0))</f>
        <v>6</v>
      </c>
      <c r="F397" s="1">
        <v>2</v>
      </c>
      <c r="G397" s="1">
        <f t="shared" si="7"/>
        <v>10</v>
      </c>
      <c r="H397" s="10" t="s">
        <v>2322</v>
      </c>
      <c r="I397" s="1">
        <v>2600</v>
      </c>
      <c r="J397" s="1">
        <v>10</v>
      </c>
      <c r="K397" s="1">
        <v>0</v>
      </c>
      <c r="L397" s="1">
        <v>0</v>
      </c>
      <c r="M397" s="1" t="s">
        <v>1841</v>
      </c>
      <c r="N397" s="1" t="s">
        <v>704</v>
      </c>
      <c r="O397" s="1">
        <v>0</v>
      </c>
      <c r="P397" s="1" t="s">
        <v>2072</v>
      </c>
      <c r="Q397" s="7" t="s">
        <v>2062</v>
      </c>
    </row>
    <row r="398" spans="1:17" ht="14.25" thickBot="1">
      <c r="A398" s="1" t="s">
        <v>430</v>
      </c>
      <c r="B398" s="3">
        <v>1</v>
      </c>
      <c r="C398" s="1" t="s">
        <v>2159</v>
      </c>
      <c r="D398" s="1" t="str">
        <f t="shared" si="6"/>
        <v>胸甲</v>
      </c>
      <c r="E398" s="1">
        <f>INDEX([1]游戏类型定义!$C$20:$C$29,MATCH(D398,[1]!装备部位,0))</f>
        <v>4</v>
      </c>
      <c r="F398" s="1">
        <v>2</v>
      </c>
      <c r="G398" s="1">
        <f t="shared" si="7"/>
        <v>10</v>
      </c>
      <c r="H398" s="10">
        <v>0</v>
      </c>
      <c r="I398" s="1">
        <v>2000</v>
      </c>
      <c r="J398" s="1">
        <v>10</v>
      </c>
      <c r="K398" s="1">
        <v>0</v>
      </c>
      <c r="L398" s="1">
        <v>0</v>
      </c>
      <c r="M398" s="1" t="s">
        <v>1842</v>
      </c>
      <c r="N398" s="1" t="s">
        <v>703</v>
      </c>
      <c r="O398" s="1">
        <v>0</v>
      </c>
      <c r="P398" s="1" t="s">
        <v>2072</v>
      </c>
      <c r="Q398" s="7" t="s">
        <v>2336</v>
      </c>
    </row>
    <row r="399" spans="1:17" ht="14.25" thickBot="1">
      <c r="A399" s="1" t="s">
        <v>431</v>
      </c>
      <c r="B399" s="2">
        <v>0</v>
      </c>
      <c r="C399" s="1" t="s">
        <v>2030</v>
      </c>
      <c r="D399" s="1" t="str">
        <f t="shared" si="6"/>
        <v>胸甲</v>
      </c>
      <c r="E399" s="1">
        <f>INDEX([1]游戏类型定义!$C$20:$C$29,MATCH(D399,[1]!装备部位,0))</f>
        <v>4</v>
      </c>
      <c r="F399" s="1">
        <v>2</v>
      </c>
      <c r="G399" s="1">
        <f t="shared" si="7"/>
        <v>10</v>
      </c>
      <c r="H399" s="10">
        <v>0</v>
      </c>
      <c r="I399" s="1">
        <v>2600</v>
      </c>
      <c r="J399" s="1">
        <v>10</v>
      </c>
      <c r="K399" s="1">
        <v>0</v>
      </c>
      <c r="L399" s="1">
        <v>0</v>
      </c>
      <c r="M399" s="1" t="s">
        <v>1843</v>
      </c>
      <c r="N399" s="1" t="s">
        <v>703</v>
      </c>
      <c r="O399" s="1">
        <v>0</v>
      </c>
      <c r="P399" s="1" t="s">
        <v>2072</v>
      </c>
      <c r="Q399" s="7" t="s">
        <v>2063</v>
      </c>
    </row>
    <row r="400" spans="1:17" ht="14.25" thickBot="1">
      <c r="A400" s="1" t="s">
        <v>432</v>
      </c>
      <c r="B400" s="3">
        <v>1</v>
      </c>
      <c r="C400" s="1" t="s">
        <v>2177</v>
      </c>
      <c r="D400" s="1" t="str">
        <f t="shared" si="6"/>
        <v>护腿</v>
      </c>
      <c r="E400" s="1">
        <f>INDEX([1]游戏类型定义!$C$20:$C$29,MATCH(D400,[1]!装备部位,0))</f>
        <v>7</v>
      </c>
      <c r="F400" s="1">
        <v>2</v>
      </c>
      <c r="G400" s="1">
        <f t="shared" si="7"/>
        <v>10</v>
      </c>
      <c r="H400" s="10">
        <v>0</v>
      </c>
      <c r="I400" s="1">
        <v>2000</v>
      </c>
      <c r="J400" s="1">
        <v>10</v>
      </c>
      <c r="K400" s="1">
        <v>0</v>
      </c>
      <c r="L400" s="1">
        <v>0</v>
      </c>
      <c r="M400" s="1" t="s">
        <v>1842</v>
      </c>
      <c r="N400" s="1" t="s">
        <v>703</v>
      </c>
      <c r="O400" s="1">
        <v>0</v>
      </c>
      <c r="P400" s="1" t="s">
        <v>2072</v>
      </c>
      <c r="Q400" s="7" t="s">
        <v>2352</v>
      </c>
    </row>
    <row r="401" spans="1:17" ht="14.25" thickBot="1">
      <c r="A401" s="1" t="s">
        <v>433</v>
      </c>
      <c r="B401" s="2">
        <v>0</v>
      </c>
      <c r="C401" s="1" t="s">
        <v>2038</v>
      </c>
      <c r="D401" s="1" t="str">
        <f t="shared" si="6"/>
        <v>护腿</v>
      </c>
      <c r="E401" s="1">
        <f>INDEX([1]游戏类型定义!$C$20:$C$29,MATCH(D401,[1]!装备部位,0))</f>
        <v>7</v>
      </c>
      <c r="F401" s="1">
        <v>2</v>
      </c>
      <c r="G401" s="1">
        <f t="shared" si="7"/>
        <v>10</v>
      </c>
      <c r="H401" s="10">
        <v>0</v>
      </c>
      <c r="I401" s="1">
        <v>2600</v>
      </c>
      <c r="J401" s="1">
        <v>10</v>
      </c>
      <c r="K401" s="1">
        <v>0</v>
      </c>
      <c r="L401" s="1">
        <v>0</v>
      </c>
      <c r="M401" s="1" t="s">
        <v>1843</v>
      </c>
      <c r="N401" s="1" t="s">
        <v>703</v>
      </c>
      <c r="O401" s="1">
        <v>0</v>
      </c>
      <c r="P401" s="1" t="s">
        <v>2072</v>
      </c>
      <c r="Q401" s="7" t="s">
        <v>2064</v>
      </c>
    </row>
    <row r="402" spans="1:17" ht="14.25" thickBot="1">
      <c r="A402" s="1" t="s">
        <v>434</v>
      </c>
      <c r="B402" s="2">
        <v>0</v>
      </c>
      <c r="C402" s="1" t="s">
        <v>2031</v>
      </c>
      <c r="D402" s="1" t="str">
        <f t="shared" si="6"/>
        <v>头盔</v>
      </c>
      <c r="E402" s="1">
        <f>INDEX([1]游戏类型定义!$C$20:$C$29,MATCH(D402,[1]!装备部位,0))</f>
        <v>1</v>
      </c>
      <c r="F402" s="1">
        <v>2</v>
      </c>
      <c r="G402" s="1">
        <f t="shared" si="7"/>
        <v>15</v>
      </c>
      <c r="H402" s="10">
        <v>0</v>
      </c>
      <c r="I402" s="1">
        <v>3000</v>
      </c>
      <c r="J402" s="1">
        <v>10</v>
      </c>
      <c r="K402" s="1">
        <v>0</v>
      </c>
      <c r="L402" s="1">
        <v>0</v>
      </c>
      <c r="M402" s="1" t="s">
        <v>1829</v>
      </c>
      <c r="N402" s="1" t="s">
        <v>705</v>
      </c>
      <c r="O402" s="1">
        <v>0</v>
      </c>
      <c r="P402" s="1" t="s">
        <v>2073</v>
      </c>
      <c r="Q402" s="7" t="s">
        <v>2051</v>
      </c>
    </row>
    <row r="403" spans="1:17" ht="14.25" thickBot="1">
      <c r="A403" s="1" t="s">
        <v>435</v>
      </c>
      <c r="B403" s="2">
        <v>0</v>
      </c>
      <c r="C403" s="1" t="s">
        <v>2032</v>
      </c>
      <c r="D403" s="1" t="str">
        <f t="shared" si="6"/>
        <v>戒指</v>
      </c>
      <c r="E403" s="1">
        <f>INDEX([1]游戏类型定义!$C$20:$C$29,MATCH(D403,[1]!装备部位,0))</f>
        <v>2</v>
      </c>
      <c r="F403" s="1">
        <v>2</v>
      </c>
      <c r="G403" s="1">
        <f t="shared" si="7"/>
        <v>15</v>
      </c>
      <c r="H403" s="10">
        <v>0</v>
      </c>
      <c r="I403" s="1">
        <v>3000</v>
      </c>
      <c r="J403" s="1">
        <v>10</v>
      </c>
      <c r="K403" s="1">
        <v>0</v>
      </c>
      <c r="L403" s="1">
        <v>0</v>
      </c>
      <c r="M403" s="1" t="s">
        <v>1844</v>
      </c>
      <c r="N403" s="1" t="s">
        <v>705</v>
      </c>
      <c r="O403" s="1">
        <v>0</v>
      </c>
      <c r="P403" s="1" t="s">
        <v>2073</v>
      </c>
      <c r="Q403" s="7" t="s">
        <v>2052</v>
      </c>
    </row>
    <row r="404" spans="1:17" ht="14.25" thickBot="1">
      <c r="A404" s="1" t="s">
        <v>436</v>
      </c>
      <c r="B404" s="3">
        <v>1</v>
      </c>
      <c r="C404" s="1" t="s">
        <v>2088</v>
      </c>
      <c r="D404" s="1" t="str">
        <f t="shared" si="6"/>
        <v>腰带</v>
      </c>
      <c r="E404" s="1">
        <f>INDEX([1]游戏类型定义!$C$20:$C$29,MATCH(D404,[1]!装备部位,0))</f>
        <v>3</v>
      </c>
      <c r="F404" s="1">
        <v>2</v>
      </c>
      <c r="G404" s="1">
        <f t="shared" si="7"/>
        <v>15</v>
      </c>
      <c r="H404" s="10">
        <v>0</v>
      </c>
      <c r="I404" s="1">
        <v>3000</v>
      </c>
      <c r="J404" s="1">
        <v>10</v>
      </c>
      <c r="K404" s="1">
        <v>0</v>
      </c>
      <c r="L404" s="1">
        <v>0</v>
      </c>
      <c r="M404" s="1" t="s">
        <v>1845</v>
      </c>
      <c r="N404" s="1" t="s">
        <v>705</v>
      </c>
      <c r="O404" s="1">
        <v>0</v>
      </c>
      <c r="P404" s="1" t="s">
        <v>2073</v>
      </c>
      <c r="Q404" s="7" t="s">
        <v>2353</v>
      </c>
    </row>
    <row r="405" spans="1:17" ht="14.25" thickBot="1">
      <c r="A405" s="1" t="s">
        <v>437</v>
      </c>
      <c r="B405" s="3">
        <v>1</v>
      </c>
      <c r="C405" s="1" t="s">
        <v>2121</v>
      </c>
      <c r="D405" s="1" t="str">
        <f t="shared" si="6"/>
        <v>鞋子</v>
      </c>
      <c r="E405" s="1">
        <f>INDEX([1]游戏类型定义!$C$20:$C$29,MATCH(D405,[1]!装备部位,0))</f>
        <v>8</v>
      </c>
      <c r="F405" s="1">
        <v>2</v>
      </c>
      <c r="G405" s="1">
        <f t="shared" si="7"/>
        <v>15</v>
      </c>
      <c r="H405" s="10">
        <v>0</v>
      </c>
      <c r="I405" s="1">
        <v>3000</v>
      </c>
      <c r="J405" s="1">
        <v>10</v>
      </c>
      <c r="K405" s="1">
        <v>0</v>
      </c>
      <c r="L405" s="1">
        <v>0</v>
      </c>
      <c r="M405" s="1" t="s">
        <v>1846</v>
      </c>
      <c r="N405" s="1" t="s">
        <v>705</v>
      </c>
      <c r="O405" s="1">
        <v>0</v>
      </c>
      <c r="P405" s="1" t="s">
        <v>2073</v>
      </c>
      <c r="Q405" s="7" t="s">
        <v>2354</v>
      </c>
    </row>
    <row r="406" spans="1:17" ht="14.25" thickBot="1">
      <c r="A406" s="1" t="s">
        <v>438</v>
      </c>
      <c r="B406" s="3">
        <v>1</v>
      </c>
      <c r="C406" s="1" t="s">
        <v>2133</v>
      </c>
      <c r="D406" s="1" t="str">
        <f t="shared" si="6"/>
        <v>手套</v>
      </c>
      <c r="E406" s="1">
        <f>INDEX([1]游戏类型定义!$C$20:$C$29,MATCH(D406,[1]!装备部位,0))</f>
        <v>9</v>
      </c>
      <c r="F406" s="1">
        <v>2</v>
      </c>
      <c r="G406" s="1">
        <f t="shared" si="7"/>
        <v>15</v>
      </c>
      <c r="H406" s="10">
        <v>0</v>
      </c>
      <c r="I406" s="1">
        <v>3000</v>
      </c>
      <c r="J406" s="1">
        <v>10</v>
      </c>
      <c r="K406" s="1">
        <v>0</v>
      </c>
      <c r="L406" s="1">
        <v>0</v>
      </c>
      <c r="M406" s="1" t="s">
        <v>1847</v>
      </c>
      <c r="N406" s="1" t="s">
        <v>705</v>
      </c>
      <c r="O406" s="1">
        <v>0</v>
      </c>
      <c r="P406" s="1" t="s">
        <v>2073</v>
      </c>
      <c r="Q406" s="7" t="s">
        <v>2355</v>
      </c>
    </row>
    <row r="407" spans="1:17" ht="14.25" thickBot="1">
      <c r="A407" s="1" t="s">
        <v>439</v>
      </c>
      <c r="B407" s="3">
        <v>1</v>
      </c>
      <c r="C407" s="1" t="s">
        <v>2146</v>
      </c>
      <c r="D407" s="1" t="str">
        <f t="shared" si="6"/>
        <v>项链</v>
      </c>
      <c r="E407" s="1">
        <f>INDEX([1]游戏类型定义!$C$20:$C$29,MATCH(D407,[1]!装备部位,0))</f>
        <v>10</v>
      </c>
      <c r="F407" s="1">
        <v>2</v>
      </c>
      <c r="G407" s="1">
        <f t="shared" si="7"/>
        <v>15</v>
      </c>
      <c r="H407" s="10">
        <v>0</v>
      </c>
      <c r="I407" s="1">
        <v>3000</v>
      </c>
      <c r="J407" s="1">
        <v>10</v>
      </c>
      <c r="K407" s="1">
        <v>0</v>
      </c>
      <c r="L407" s="1">
        <v>0</v>
      </c>
      <c r="M407" s="1" t="s">
        <v>1848</v>
      </c>
      <c r="N407" s="1" t="s">
        <v>705</v>
      </c>
      <c r="O407" s="1">
        <v>0</v>
      </c>
      <c r="P407" s="1" t="s">
        <v>2073</v>
      </c>
      <c r="Q407" s="7" t="s">
        <v>2356</v>
      </c>
    </row>
    <row r="408" spans="1:17" ht="14.25" thickBot="1">
      <c r="A408" s="1" t="s">
        <v>440</v>
      </c>
      <c r="B408" s="3">
        <v>1</v>
      </c>
      <c r="C408" s="9" t="s">
        <v>2196</v>
      </c>
      <c r="D408" s="1" t="str">
        <f t="shared" si="6"/>
        <v>主手武器</v>
      </c>
      <c r="E408" s="1">
        <f>INDEX([1]游戏类型定义!$C$20:$C$29,MATCH(D408,[1]!装备部位,0))</f>
        <v>5</v>
      </c>
      <c r="F408" s="1">
        <v>2</v>
      </c>
      <c r="G408" s="1">
        <f t="shared" si="7"/>
        <v>15</v>
      </c>
      <c r="H408" s="10" t="s">
        <v>2320</v>
      </c>
      <c r="I408" s="1">
        <v>3000</v>
      </c>
      <c r="J408" s="1">
        <v>10</v>
      </c>
      <c r="K408" s="1">
        <v>0</v>
      </c>
      <c r="L408" s="1">
        <v>0</v>
      </c>
      <c r="M408" s="1" t="s">
        <v>1849</v>
      </c>
      <c r="N408" s="1" t="s">
        <v>706</v>
      </c>
      <c r="O408" s="1">
        <v>0</v>
      </c>
      <c r="P408" s="1" t="s">
        <v>2073</v>
      </c>
      <c r="Q408" s="7" t="s">
        <v>2357</v>
      </c>
    </row>
    <row r="409" spans="1:17" ht="14.25" thickBot="1">
      <c r="A409" s="1" t="s">
        <v>441</v>
      </c>
      <c r="B409" s="3">
        <v>1</v>
      </c>
      <c r="C409" s="9" t="s">
        <v>2215</v>
      </c>
      <c r="D409" s="1" t="str">
        <f t="shared" si="6"/>
        <v>主手武器</v>
      </c>
      <c r="E409" s="1">
        <f>INDEX([1]游戏类型定义!$C$20:$C$29,MATCH(D409,[1]!装备部位,0))</f>
        <v>5</v>
      </c>
      <c r="F409" s="1">
        <v>2</v>
      </c>
      <c r="G409" s="1">
        <f t="shared" si="7"/>
        <v>15</v>
      </c>
      <c r="H409" s="10" t="s">
        <v>2320</v>
      </c>
      <c r="I409" s="1">
        <v>3600</v>
      </c>
      <c r="J409" s="1">
        <v>10</v>
      </c>
      <c r="K409" s="1">
        <v>0</v>
      </c>
      <c r="L409" s="1">
        <v>0</v>
      </c>
      <c r="M409" s="1" t="s">
        <v>2017</v>
      </c>
      <c r="N409" s="1" t="s">
        <v>706</v>
      </c>
      <c r="O409" s="1">
        <v>0</v>
      </c>
      <c r="P409" s="1" t="s">
        <v>2073</v>
      </c>
      <c r="Q409" s="7" t="s">
        <v>2358</v>
      </c>
    </row>
    <row r="410" spans="1:17" ht="14.25" thickBot="1">
      <c r="A410" s="1" t="s">
        <v>442</v>
      </c>
      <c r="B410" s="3">
        <v>1</v>
      </c>
      <c r="C410" s="9" t="s">
        <v>2198</v>
      </c>
      <c r="D410" s="1" t="str">
        <f t="shared" si="6"/>
        <v>副手武器</v>
      </c>
      <c r="E410" s="1">
        <f>INDEX([1]游戏类型定义!$C$20:$C$29,MATCH(D410,[1]!装备部位,0))</f>
        <v>6</v>
      </c>
      <c r="F410" s="1">
        <v>2</v>
      </c>
      <c r="G410" s="1">
        <f t="shared" si="7"/>
        <v>15</v>
      </c>
      <c r="H410" s="10" t="s">
        <v>2320</v>
      </c>
      <c r="I410" s="1">
        <v>3000</v>
      </c>
      <c r="J410" s="1">
        <v>10</v>
      </c>
      <c r="K410" s="1">
        <v>0</v>
      </c>
      <c r="L410" s="1">
        <v>0</v>
      </c>
      <c r="M410" s="1" t="s">
        <v>1850</v>
      </c>
      <c r="N410" s="1" t="s">
        <v>706</v>
      </c>
      <c r="O410" s="1">
        <v>0</v>
      </c>
      <c r="P410" s="1" t="s">
        <v>2073</v>
      </c>
      <c r="Q410" s="7" t="s">
        <v>2359</v>
      </c>
    </row>
    <row r="411" spans="1:17" ht="14.25" thickBot="1">
      <c r="A411" s="1" t="s">
        <v>443</v>
      </c>
      <c r="B411" s="2">
        <v>0</v>
      </c>
      <c r="C411" s="9" t="s">
        <v>2044</v>
      </c>
      <c r="D411" s="1" t="str">
        <f t="shared" si="6"/>
        <v>副手武器</v>
      </c>
      <c r="E411" s="1">
        <f>INDEX([1]游戏类型定义!$C$20:$C$29,MATCH(D411,[1]!装备部位,0))</f>
        <v>6</v>
      </c>
      <c r="F411" s="1">
        <v>2</v>
      </c>
      <c r="G411" s="1">
        <f t="shared" si="7"/>
        <v>15</v>
      </c>
      <c r="H411" s="10" t="s">
        <v>2320</v>
      </c>
      <c r="I411" s="1">
        <v>3600</v>
      </c>
      <c r="J411" s="1">
        <v>10</v>
      </c>
      <c r="K411" s="1">
        <v>0</v>
      </c>
      <c r="L411" s="1">
        <v>0</v>
      </c>
      <c r="M411" s="1" t="s">
        <v>1851</v>
      </c>
      <c r="N411" s="1" t="s">
        <v>706</v>
      </c>
      <c r="O411" s="1">
        <v>0</v>
      </c>
      <c r="P411" s="1" t="s">
        <v>2073</v>
      </c>
      <c r="Q411" s="7" t="s">
        <v>2058</v>
      </c>
    </row>
    <row r="412" spans="1:17" ht="14.25" thickBot="1">
      <c r="A412" s="1" t="s">
        <v>444</v>
      </c>
      <c r="B412" s="3">
        <v>1</v>
      </c>
      <c r="C412" s="1" t="s">
        <v>2217</v>
      </c>
      <c r="D412" s="1" t="str">
        <f t="shared" si="6"/>
        <v>主手武器</v>
      </c>
      <c r="E412" s="1">
        <f>INDEX([1]游戏类型定义!$C$20:$C$29,MATCH(D412,[1]!装备部位,0))</f>
        <v>5</v>
      </c>
      <c r="F412" s="1">
        <v>2</v>
      </c>
      <c r="G412" s="1">
        <f t="shared" si="7"/>
        <v>15</v>
      </c>
      <c r="H412" s="10" t="s">
        <v>2321</v>
      </c>
      <c r="I412" s="1">
        <v>3000</v>
      </c>
      <c r="J412" s="1">
        <v>10</v>
      </c>
      <c r="K412" s="1">
        <v>0</v>
      </c>
      <c r="L412" s="1">
        <v>0</v>
      </c>
      <c r="M412" s="1" t="s">
        <v>1849</v>
      </c>
      <c r="N412" s="1" t="s">
        <v>706</v>
      </c>
      <c r="O412" s="1">
        <v>0</v>
      </c>
      <c r="P412" s="1" t="s">
        <v>2073</v>
      </c>
      <c r="Q412" s="7" t="s">
        <v>2360</v>
      </c>
    </row>
    <row r="413" spans="1:17" ht="14.25" thickBot="1">
      <c r="A413" s="1" t="s">
        <v>445</v>
      </c>
      <c r="B413" s="3">
        <v>1</v>
      </c>
      <c r="C413" s="1" t="s">
        <v>2216</v>
      </c>
      <c r="D413" s="1" t="str">
        <f t="shared" si="6"/>
        <v>主手武器</v>
      </c>
      <c r="E413" s="1">
        <f>INDEX([1]游戏类型定义!$C$20:$C$29,MATCH(D413,[1]!装备部位,0))</f>
        <v>5</v>
      </c>
      <c r="F413" s="1">
        <v>2</v>
      </c>
      <c r="G413" s="1">
        <f t="shared" si="7"/>
        <v>15</v>
      </c>
      <c r="H413" s="10" t="s">
        <v>2321</v>
      </c>
      <c r="I413" s="1">
        <v>3600</v>
      </c>
      <c r="J413" s="1">
        <v>10</v>
      </c>
      <c r="K413" s="1">
        <v>0</v>
      </c>
      <c r="L413" s="1">
        <v>0</v>
      </c>
      <c r="M413" s="1" t="s">
        <v>2017</v>
      </c>
      <c r="N413" s="1" t="s">
        <v>706</v>
      </c>
      <c r="O413" s="1">
        <v>0</v>
      </c>
      <c r="P413" s="1" t="s">
        <v>2073</v>
      </c>
      <c r="Q413" s="7" t="s">
        <v>2361</v>
      </c>
    </row>
    <row r="414" spans="1:17" ht="14.25" thickBot="1">
      <c r="A414" s="1" t="s">
        <v>446</v>
      </c>
      <c r="B414" s="3">
        <v>1</v>
      </c>
      <c r="C414" s="9" t="s">
        <v>2218</v>
      </c>
      <c r="D414" s="1" t="str">
        <f t="shared" si="6"/>
        <v>副手武器</v>
      </c>
      <c r="E414" s="1">
        <f>INDEX([1]游戏类型定义!$C$20:$C$29,MATCH(D414,[1]!装备部位,0))</f>
        <v>6</v>
      </c>
      <c r="F414" s="1">
        <v>2</v>
      </c>
      <c r="G414" s="1">
        <f t="shared" si="7"/>
        <v>15</v>
      </c>
      <c r="H414" s="10" t="s">
        <v>2321</v>
      </c>
      <c r="I414" s="1">
        <v>3000</v>
      </c>
      <c r="J414" s="1">
        <v>10</v>
      </c>
      <c r="K414" s="1">
        <v>0</v>
      </c>
      <c r="L414" s="1">
        <v>0</v>
      </c>
      <c r="M414" s="1" t="s">
        <v>1852</v>
      </c>
      <c r="N414" s="1" t="s">
        <v>706</v>
      </c>
      <c r="O414" s="1">
        <v>0</v>
      </c>
      <c r="P414" s="1" t="s">
        <v>2073</v>
      </c>
      <c r="Q414" s="7" t="s">
        <v>2362</v>
      </c>
    </row>
    <row r="415" spans="1:17" ht="14.25" thickBot="1">
      <c r="A415" s="1" t="s">
        <v>447</v>
      </c>
      <c r="B415" s="2">
        <v>0</v>
      </c>
      <c r="C415" s="9" t="s">
        <v>2042</v>
      </c>
      <c r="D415" s="1" t="str">
        <f t="shared" si="6"/>
        <v>副手武器</v>
      </c>
      <c r="E415" s="1">
        <f>INDEX([1]游戏类型定义!$C$20:$C$29,MATCH(D415,[1]!装备部位,0))</f>
        <v>6</v>
      </c>
      <c r="F415" s="1">
        <v>2</v>
      </c>
      <c r="G415" s="1">
        <f t="shared" si="7"/>
        <v>15</v>
      </c>
      <c r="H415" s="10" t="s">
        <v>2321</v>
      </c>
      <c r="I415" s="1">
        <v>3600</v>
      </c>
      <c r="J415" s="1">
        <v>10</v>
      </c>
      <c r="K415" s="1">
        <v>0</v>
      </c>
      <c r="L415" s="1">
        <v>0</v>
      </c>
      <c r="M415" s="1" t="s">
        <v>1853</v>
      </c>
      <c r="N415" s="1" t="s">
        <v>706</v>
      </c>
      <c r="O415" s="1">
        <v>0</v>
      </c>
      <c r="P415" s="1" t="s">
        <v>2073</v>
      </c>
      <c r="Q415" s="7" t="s">
        <v>2060</v>
      </c>
    </row>
    <row r="416" spans="1:17" ht="14.25" thickBot="1">
      <c r="A416" s="1" t="s">
        <v>448</v>
      </c>
      <c r="B416" s="3">
        <v>1</v>
      </c>
      <c r="C416" s="9" t="s">
        <v>2219</v>
      </c>
      <c r="D416" s="1" t="str">
        <f t="shared" ref="D416:D435" si="8">D86</f>
        <v>主手武器</v>
      </c>
      <c r="E416" s="1">
        <f>INDEX([1]游戏类型定义!$C$20:$C$29,MATCH(D416,[1]!装备部位,0))</f>
        <v>5</v>
      </c>
      <c r="F416" s="1">
        <v>2</v>
      </c>
      <c r="G416" s="1">
        <f t="shared" ref="G416:G435" si="9">G86</f>
        <v>15</v>
      </c>
      <c r="H416" s="10" t="s">
        <v>2322</v>
      </c>
      <c r="I416" s="1">
        <v>3000</v>
      </c>
      <c r="J416" s="1">
        <v>10</v>
      </c>
      <c r="K416" s="1">
        <v>0</v>
      </c>
      <c r="L416" s="1">
        <v>0</v>
      </c>
      <c r="M416" s="1" t="s">
        <v>1849</v>
      </c>
      <c r="N416" s="1" t="s">
        <v>706</v>
      </c>
      <c r="O416" s="1">
        <v>0</v>
      </c>
      <c r="P416" s="1" t="s">
        <v>2073</v>
      </c>
      <c r="Q416" s="7" t="s">
        <v>2363</v>
      </c>
    </row>
    <row r="417" spans="1:17" ht="14.25" thickBot="1">
      <c r="A417" s="1" t="s">
        <v>449</v>
      </c>
      <c r="B417" s="3">
        <v>1</v>
      </c>
      <c r="C417" s="9" t="s">
        <v>2220</v>
      </c>
      <c r="D417" s="1" t="str">
        <f t="shared" si="8"/>
        <v>主手武器</v>
      </c>
      <c r="E417" s="1">
        <f>INDEX([1]游戏类型定义!$C$20:$C$29,MATCH(D417,[1]!装备部位,0))</f>
        <v>5</v>
      </c>
      <c r="F417" s="1">
        <v>2</v>
      </c>
      <c r="G417" s="1">
        <f t="shared" si="9"/>
        <v>15</v>
      </c>
      <c r="H417" s="10" t="s">
        <v>2322</v>
      </c>
      <c r="I417" s="1">
        <v>3600</v>
      </c>
      <c r="J417" s="1">
        <v>10</v>
      </c>
      <c r="K417" s="1">
        <v>0</v>
      </c>
      <c r="L417" s="1">
        <v>0</v>
      </c>
      <c r="M417" s="1" t="s">
        <v>2017</v>
      </c>
      <c r="N417" s="1" t="s">
        <v>706</v>
      </c>
      <c r="O417" s="1">
        <v>0</v>
      </c>
      <c r="P417" s="1" t="s">
        <v>2073</v>
      </c>
      <c r="Q417" s="7" t="s">
        <v>2364</v>
      </c>
    </row>
    <row r="418" spans="1:17" ht="14.25" thickBot="1">
      <c r="A418" s="1" t="s">
        <v>450</v>
      </c>
      <c r="B418" s="3">
        <v>1</v>
      </c>
      <c r="C418" s="9" t="s">
        <v>2221</v>
      </c>
      <c r="D418" s="1" t="str">
        <f t="shared" si="8"/>
        <v>副手武器</v>
      </c>
      <c r="E418" s="1">
        <f>INDEX([1]游戏类型定义!$C$20:$C$29,MATCH(D418,[1]!装备部位,0))</f>
        <v>6</v>
      </c>
      <c r="F418" s="1">
        <v>2</v>
      </c>
      <c r="G418" s="1">
        <f t="shared" si="9"/>
        <v>15</v>
      </c>
      <c r="H418" s="10" t="s">
        <v>2322</v>
      </c>
      <c r="I418" s="1">
        <v>3000</v>
      </c>
      <c r="J418" s="1">
        <v>10</v>
      </c>
      <c r="K418" s="1">
        <v>0</v>
      </c>
      <c r="L418" s="1">
        <v>0</v>
      </c>
      <c r="M418" s="1" t="s">
        <v>1854</v>
      </c>
      <c r="N418" s="1" t="s">
        <v>706</v>
      </c>
      <c r="O418" s="1">
        <v>0</v>
      </c>
      <c r="P418" s="1" t="s">
        <v>2073</v>
      </c>
      <c r="Q418" s="7" t="s">
        <v>2365</v>
      </c>
    </row>
    <row r="419" spans="1:17" ht="14.25" thickBot="1">
      <c r="A419" s="1" t="s">
        <v>451</v>
      </c>
      <c r="B419" s="2">
        <v>0</v>
      </c>
      <c r="C419" s="9" t="s">
        <v>2050</v>
      </c>
      <c r="D419" s="1" t="str">
        <f t="shared" si="8"/>
        <v>副手武器</v>
      </c>
      <c r="E419" s="1">
        <f>INDEX([1]游戏类型定义!$C$20:$C$29,MATCH(D419,[1]!装备部位,0))</f>
        <v>6</v>
      </c>
      <c r="F419" s="1">
        <v>2</v>
      </c>
      <c r="G419" s="1">
        <f t="shared" si="9"/>
        <v>15</v>
      </c>
      <c r="H419" s="10" t="s">
        <v>2322</v>
      </c>
      <c r="I419" s="1">
        <v>3600</v>
      </c>
      <c r="J419" s="1">
        <v>10</v>
      </c>
      <c r="K419" s="1">
        <v>0</v>
      </c>
      <c r="L419" s="1">
        <v>0</v>
      </c>
      <c r="M419" s="1" t="s">
        <v>1855</v>
      </c>
      <c r="N419" s="1" t="s">
        <v>706</v>
      </c>
      <c r="O419" s="1">
        <v>0</v>
      </c>
      <c r="P419" s="1" t="s">
        <v>2073</v>
      </c>
      <c r="Q419" s="7" t="s">
        <v>2062</v>
      </c>
    </row>
    <row r="420" spans="1:17" ht="14.25" thickBot="1">
      <c r="A420" s="1" t="s">
        <v>452</v>
      </c>
      <c r="B420" s="3">
        <v>1</v>
      </c>
      <c r="C420" s="1" t="s">
        <v>2160</v>
      </c>
      <c r="D420" s="1" t="str">
        <f t="shared" si="8"/>
        <v>胸甲</v>
      </c>
      <c r="E420" s="1">
        <f>INDEX([1]游戏类型定义!$C$20:$C$29,MATCH(D420,[1]!装备部位,0))</f>
        <v>4</v>
      </c>
      <c r="F420" s="1">
        <v>2</v>
      </c>
      <c r="G420" s="1">
        <f t="shared" si="9"/>
        <v>15</v>
      </c>
      <c r="H420" s="10">
        <v>0</v>
      </c>
      <c r="I420" s="1">
        <v>3000</v>
      </c>
      <c r="J420" s="1">
        <v>10</v>
      </c>
      <c r="K420" s="1">
        <v>0</v>
      </c>
      <c r="L420" s="1">
        <v>0</v>
      </c>
      <c r="M420" s="1" t="s">
        <v>1856</v>
      </c>
      <c r="N420" s="1" t="s">
        <v>705</v>
      </c>
      <c r="O420" s="1">
        <v>0</v>
      </c>
      <c r="P420" s="1" t="s">
        <v>2073</v>
      </c>
      <c r="Q420" s="7" t="s">
        <v>2366</v>
      </c>
    </row>
    <row r="421" spans="1:17" ht="14.25" thickBot="1">
      <c r="A421" s="1" t="s">
        <v>453</v>
      </c>
      <c r="B421" s="2">
        <v>0</v>
      </c>
      <c r="C421" s="1" t="s">
        <v>2030</v>
      </c>
      <c r="D421" s="1" t="str">
        <f t="shared" si="8"/>
        <v>胸甲</v>
      </c>
      <c r="E421" s="1">
        <f>INDEX([1]游戏类型定义!$C$20:$C$29,MATCH(D421,[1]!装备部位,0))</f>
        <v>4</v>
      </c>
      <c r="F421" s="1">
        <v>2</v>
      </c>
      <c r="G421" s="1">
        <f t="shared" si="9"/>
        <v>15</v>
      </c>
      <c r="H421" s="10">
        <v>0</v>
      </c>
      <c r="I421" s="1">
        <v>3600</v>
      </c>
      <c r="J421" s="1">
        <v>10</v>
      </c>
      <c r="K421" s="1">
        <v>0</v>
      </c>
      <c r="L421" s="1">
        <v>0</v>
      </c>
      <c r="M421" s="1" t="s">
        <v>1857</v>
      </c>
      <c r="N421" s="1" t="s">
        <v>705</v>
      </c>
      <c r="O421" s="1">
        <v>0</v>
      </c>
      <c r="P421" s="1" t="s">
        <v>2073</v>
      </c>
      <c r="Q421" s="7" t="s">
        <v>2063</v>
      </c>
    </row>
    <row r="422" spans="1:17" ht="14.25" thickBot="1">
      <c r="A422" s="1" t="s">
        <v>454</v>
      </c>
      <c r="B422" s="3">
        <v>1</v>
      </c>
      <c r="C422" s="1" t="s">
        <v>2178</v>
      </c>
      <c r="D422" s="1" t="str">
        <f t="shared" si="8"/>
        <v>护腿</v>
      </c>
      <c r="E422" s="1">
        <f>INDEX([1]游戏类型定义!$C$20:$C$29,MATCH(D422,[1]!装备部位,0))</f>
        <v>7</v>
      </c>
      <c r="F422" s="1">
        <v>2</v>
      </c>
      <c r="G422" s="1">
        <f t="shared" si="9"/>
        <v>15</v>
      </c>
      <c r="H422" s="10">
        <v>0</v>
      </c>
      <c r="I422" s="1">
        <v>3000</v>
      </c>
      <c r="J422" s="1">
        <v>10</v>
      </c>
      <c r="K422" s="1">
        <v>0</v>
      </c>
      <c r="L422" s="1">
        <v>0</v>
      </c>
      <c r="M422" s="1" t="s">
        <v>1856</v>
      </c>
      <c r="N422" s="1" t="s">
        <v>705</v>
      </c>
      <c r="O422" s="1">
        <v>0</v>
      </c>
      <c r="P422" s="1" t="s">
        <v>2073</v>
      </c>
      <c r="Q422" s="7" t="s">
        <v>2352</v>
      </c>
    </row>
    <row r="423" spans="1:17" ht="14.25" thickBot="1">
      <c r="A423" s="1" t="s">
        <v>455</v>
      </c>
      <c r="B423" s="2">
        <v>0</v>
      </c>
      <c r="C423" s="1" t="s">
        <v>2038</v>
      </c>
      <c r="D423" s="1" t="str">
        <f t="shared" si="8"/>
        <v>护腿</v>
      </c>
      <c r="E423" s="1">
        <f>INDEX([1]游戏类型定义!$C$20:$C$29,MATCH(D423,[1]!装备部位,0))</f>
        <v>7</v>
      </c>
      <c r="F423" s="1">
        <v>2</v>
      </c>
      <c r="G423" s="1">
        <f t="shared" si="9"/>
        <v>15</v>
      </c>
      <c r="H423" s="10">
        <v>0</v>
      </c>
      <c r="I423" s="1">
        <v>3600</v>
      </c>
      <c r="J423" s="1">
        <v>10</v>
      </c>
      <c r="K423" s="1">
        <v>0</v>
      </c>
      <c r="L423" s="1">
        <v>0</v>
      </c>
      <c r="M423" s="1" t="s">
        <v>1858</v>
      </c>
      <c r="N423" s="1" t="s">
        <v>705</v>
      </c>
      <c r="O423" s="1">
        <v>0</v>
      </c>
      <c r="P423" s="1" t="s">
        <v>2073</v>
      </c>
      <c r="Q423" s="7" t="s">
        <v>2064</v>
      </c>
    </row>
    <row r="424" spans="1:17" ht="14.25" thickBot="1">
      <c r="A424" s="1" t="s">
        <v>456</v>
      </c>
      <c r="B424" s="3">
        <v>1</v>
      </c>
      <c r="C424" s="1" t="s">
        <v>2103</v>
      </c>
      <c r="D424" s="1" t="str">
        <f t="shared" si="8"/>
        <v>头盔</v>
      </c>
      <c r="E424" s="1">
        <f>INDEX([1]游戏类型定义!$C$20:$C$29,MATCH(D424,[1]!装备部位,0))</f>
        <v>1</v>
      </c>
      <c r="F424" s="1">
        <v>2</v>
      </c>
      <c r="G424" s="1">
        <f t="shared" si="9"/>
        <v>20</v>
      </c>
      <c r="H424" s="10">
        <v>0</v>
      </c>
      <c r="I424" s="1">
        <v>4000</v>
      </c>
      <c r="J424" s="1">
        <v>10</v>
      </c>
      <c r="K424" s="1">
        <v>0</v>
      </c>
      <c r="L424" s="1">
        <v>0</v>
      </c>
      <c r="M424" s="1" t="s">
        <v>1859</v>
      </c>
      <c r="N424" s="1" t="s">
        <v>706</v>
      </c>
      <c r="O424" s="1">
        <v>0</v>
      </c>
      <c r="P424" s="1" t="s">
        <v>2074</v>
      </c>
      <c r="Q424" s="7" t="s">
        <v>2367</v>
      </c>
    </row>
    <row r="425" spans="1:17" ht="14.25" thickBot="1">
      <c r="A425" s="1" t="s">
        <v>457</v>
      </c>
      <c r="B425" s="3">
        <v>1</v>
      </c>
      <c r="C425" s="1" t="s">
        <v>2109</v>
      </c>
      <c r="D425" s="1" t="str">
        <f t="shared" si="8"/>
        <v>戒指</v>
      </c>
      <c r="E425" s="1">
        <f>INDEX([1]游戏类型定义!$C$20:$C$29,MATCH(D425,[1]!装备部位,0))</f>
        <v>2</v>
      </c>
      <c r="F425" s="1">
        <v>2</v>
      </c>
      <c r="G425" s="1">
        <f t="shared" si="9"/>
        <v>20</v>
      </c>
      <c r="H425" s="10">
        <v>0</v>
      </c>
      <c r="I425" s="1">
        <v>4000</v>
      </c>
      <c r="J425" s="1">
        <v>10</v>
      </c>
      <c r="K425" s="1">
        <v>0</v>
      </c>
      <c r="L425" s="1">
        <v>0</v>
      </c>
      <c r="M425" s="1" t="s">
        <v>1840</v>
      </c>
      <c r="N425" s="1" t="s">
        <v>706</v>
      </c>
      <c r="O425" s="1">
        <v>0</v>
      </c>
      <c r="P425" s="1" t="s">
        <v>2074</v>
      </c>
      <c r="Q425" s="7" t="s">
        <v>2368</v>
      </c>
    </row>
    <row r="426" spans="1:17" ht="14.25" thickBot="1">
      <c r="A426" s="1" t="s">
        <v>458</v>
      </c>
      <c r="B426" s="3">
        <v>1</v>
      </c>
      <c r="C426" s="1" t="s">
        <v>2089</v>
      </c>
      <c r="D426" s="1" t="str">
        <f t="shared" si="8"/>
        <v>腰带</v>
      </c>
      <c r="E426" s="1">
        <f>INDEX([1]游戏类型定义!$C$20:$C$29,MATCH(D426,[1]!装备部位,0))</f>
        <v>3</v>
      </c>
      <c r="F426" s="1">
        <v>2</v>
      </c>
      <c r="G426" s="1">
        <f t="shared" si="9"/>
        <v>20</v>
      </c>
      <c r="H426" s="10">
        <v>0</v>
      </c>
      <c r="I426" s="1">
        <v>4000</v>
      </c>
      <c r="J426" s="1">
        <v>10</v>
      </c>
      <c r="K426" s="1">
        <v>0</v>
      </c>
      <c r="L426" s="1">
        <v>0</v>
      </c>
      <c r="M426" s="1" t="s">
        <v>1860</v>
      </c>
      <c r="N426" s="1" t="s">
        <v>706</v>
      </c>
      <c r="O426" s="1">
        <v>0</v>
      </c>
      <c r="P426" s="1" t="s">
        <v>2074</v>
      </c>
      <c r="Q426" s="7" t="s">
        <v>2369</v>
      </c>
    </row>
    <row r="427" spans="1:17" ht="14.25" thickBot="1">
      <c r="A427" s="1" t="s">
        <v>459</v>
      </c>
      <c r="B427" s="2">
        <v>0</v>
      </c>
      <c r="C427" s="1" t="s">
        <v>2036</v>
      </c>
      <c r="D427" s="1" t="str">
        <f t="shared" si="8"/>
        <v>鞋子</v>
      </c>
      <c r="E427" s="1">
        <f>INDEX([1]游戏类型定义!$C$20:$C$29,MATCH(D427,[1]!装备部位,0))</f>
        <v>8</v>
      </c>
      <c r="F427" s="1">
        <v>2</v>
      </c>
      <c r="G427" s="1">
        <f t="shared" si="9"/>
        <v>20</v>
      </c>
      <c r="H427" s="10">
        <v>0</v>
      </c>
      <c r="I427" s="1">
        <v>4000</v>
      </c>
      <c r="J427" s="1">
        <v>10</v>
      </c>
      <c r="K427" s="1">
        <v>0</v>
      </c>
      <c r="L427" s="1">
        <v>0</v>
      </c>
      <c r="M427" s="1" t="s">
        <v>1861</v>
      </c>
      <c r="N427" s="1" t="s">
        <v>706</v>
      </c>
      <c r="O427" s="1">
        <v>0</v>
      </c>
      <c r="P427" s="1" t="s">
        <v>2074</v>
      </c>
      <c r="Q427" s="7" t="s">
        <v>2054</v>
      </c>
    </row>
    <row r="428" spans="1:17" ht="14.25" thickBot="1">
      <c r="A428" s="1" t="s">
        <v>460</v>
      </c>
      <c r="B428" s="3">
        <v>1</v>
      </c>
      <c r="C428" s="1" t="s">
        <v>2134</v>
      </c>
      <c r="D428" s="1" t="str">
        <f t="shared" si="8"/>
        <v>手套</v>
      </c>
      <c r="E428" s="1">
        <f>INDEX([1]游戏类型定义!$C$20:$C$29,MATCH(D428,[1]!装备部位,0))</f>
        <v>9</v>
      </c>
      <c r="F428" s="1">
        <v>2</v>
      </c>
      <c r="G428" s="1">
        <f t="shared" si="9"/>
        <v>20</v>
      </c>
      <c r="H428" s="10">
        <v>0</v>
      </c>
      <c r="I428" s="1">
        <v>4000</v>
      </c>
      <c r="J428" s="1">
        <v>10</v>
      </c>
      <c r="K428" s="1">
        <v>0</v>
      </c>
      <c r="L428" s="1">
        <v>0</v>
      </c>
      <c r="M428" s="1" t="s">
        <v>1862</v>
      </c>
      <c r="N428" s="1" t="s">
        <v>706</v>
      </c>
      <c r="O428" s="1">
        <v>0</v>
      </c>
      <c r="P428" s="1" t="s">
        <v>2074</v>
      </c>
      <c r="Q428" s="7" t="s">
        <v>2370</v>
      </c>
    </row>
    <row r="429" spans="1:17" ht="14.25" thickBot="1">
      <c r="A429" s="1" t="s">
        <v>461</v>
      </c>
      <c r="B429" s="3">
        <v>1</v>
      </c>
      <c r="C429" s="1" t="s">
        <v>2147</v>
      </c>
      <c r="D429" s="1" t="str">
        <f t="shared" si="8"/>
        <v>项链</v>
      </c>
      <c r="E429" s="1">
        <f>INDEX([1]游戏类型定义!$C$20:$C$29,MATCH(D429,[1]!装备部位,0))</f>
        <v>10</v>
      </c>
      <c r="F429" s="1">
        <v>2</v>
      </c>
      <c r="G429" s="1">
        <f t="shared" si="9"/>
        <v>20</v>
      </c>
      <c r="H429" s="10">
        <v>0</v>
      </c>
      <c r="I429" s="1">
        <v>4000</v>
      </c>
      <c r="J429" s="1">
        <v>10</v>
      </c>
      <c r="K429" s="1">
        <v>0</v>
      </c>
      <c r="L429" s="1">
        <v>0</v>
      </c>
      <c r="M429" s="1" t="s">
        <v>1863</v>
      </c>
      <c r="N429" s="1" t="s">
        <v>706</v>
      </c>
      <c r="O429" s="1">
        <v>0</v>
      </c>
      <c r="P429" s="1" t="s">
        <v>2074</v>
      </c>
      <c r="Q429" s="7" t="s">
        <v>2371</v>
      </c>
    </row>
    <row r="430" spans="1:17" ht="14.25" thickBot="1">
      <c r="A430" s="1" t="s">
        <v>462</v>
      </c>
      <c r="B430" s="3">
        <v>1</v>
      </c>
      <c r="C430" s="9" t="s">
        <v>2222</v>
      </c>
      <c r="D430" s="1" t="str">
        <f t="shared" si="8"/>
        <v>主手武器</v>
      </c>
      <c r="E430" s="1">
        <f>INDEX([1]游戏类型定义!$C$20:$C$29,MATCH(D430,[1]!装备部位,0))</f>
        <v>5</v>
      </c>
      <c r="F430" s="1">
        <v>2</v>
      </c>
      <c r="G430" s="1">
        <f t="shared" si="9"/>
        <v>20</v>
      </c>
      <c r="H430" s="10" t="s">
        <v>2320</v>
      </c>
      <c r="I430" s="1">
        <v>4000</v>
      </c>
      <c r="J430" s="1">
        <v>10</v>
      </c>
      <c r="K430" s="1">
        <v>0</v>
      </c>
      <c r="L430" s="1">
        <v>0</v>
      </c>
      <c r="M430" s="1" t="s">
        <v>2018</v>
      </c>
      <c r="N430" s="1" t="s">
        <v>707</v>
      </c>
      <c r="O430" s="1">
        <v>0</v>
      </c>
      <c r="P430" s="1" t="s">
        <v>2074</v>
      </c>
      <c r="Q430" s="7" t="s">
        <v>2372</v>
      </c>
    </row>
    <row r="431" spans="1:17" ht="14.25" thickBot="1">
      <c r="A431" s="1" t="s">
        <v>463</v>
      </c>
      <c r="B431" s="2">
        <v>0</v>
      </c>
      <c r="C431" s="9" t="s">
        <v>2046</v>
      </c>
      <c r="D431" s="1" t="str">
        <f t="shared" si="8"/>
        <v>主手武器</v>
      </c>
      <c r="E431" s="1">
        <f>INDEX([1]游戏类型定义!$C$20:$C$29,MATCH(D431,[1]!装备部位,0))</f>
        <v>5</v>
      </c>
      <c r="F431" s="1">
        <v>2</v>
      </c>
      <c r="G431" s="1">
        <f t="shared" si="9"/>
        <v>20</v>
      </c>
      <c r="H431" s="10" t="s">
        <v>2320</v>
      </c>
      <c r="I431" s="1">
        <v>4600</v>
      </c>
      <c r="J431" s="1">
        <v>10</v>
      </c>
      <c r="K431" s="1">
        <v>0</v>
      </c>
      <c r="L431" s="1">
        <v>0</v>
      </c>
      <c r="M431" s="1" t="s">
        <v>2019</v>
      </c>
      <c r="N431" s="1" t="s">
        <v>707</v>
      </c>
      <c r="O431" s="1">
        <v>0</v>
      </c>
      <c r="P431" s="1" t="s">
        <v>2074</v>
      </c>
      <c r="Q431" s="7" t="s">
        <v>2057</v>
      </c>
    </row>
    <row r="432" spans="1:17" ht="14.25" thickBot="1">
      <c r="A432" s="1" t="s">
        <v>464</v>
      </c>
      <c r="B432" s="3">
        <v>1</v>
      </c>
      <c r="C432" s="9" t="s">
        <v>2200</v>
      </c>
      <c r="D432" s="1" t="str">
        <f t="shared" si="8"/>
        <v>副手武器</v>
      </c>
      <c r="E432" s="1">
        <f>INDEX([1]游戏类型定义!$C$20:$C$29,MATCH(D432,[1]!装备部位,0))</f>
        <v>6</v>
      </c>
      <c r="F432" s="1">
        <v>2</v>
      </c>
      <c r="G432" s="1">
        <f t="shared" si="9"/>
        <v>20</v>
      </c>
      <c r="H432" s="10" t="s">
        <v>2320</v>
      </c>
      <c r="I432" s="1">
        <v>4000</v>
      </c>
      <c r="J432" s="1">
        <v>10</v>
      </c>
      <c r="K432" s="1">
        <v>0</v>
      </c>
      <c r="L432" s="1">
        <v>0</v>
      </c>
      <c r="M432" s="1" t="s">
        <v>1864</v>
      </c>
      <c r="N432" s="1" t="s">
        <v>707</v>
      </c>
      <c r="O432" s="1">
        <v>0</v>
      </c>
      <c r="P432" s="1" t="s">
        <v>2074</v>
      </c>
      <c r="Q432" s="7" t="s">
        <v>2373</v>
      </c>
    </row>
    <row r="433" spans="1:17" ht="14.25" thickBot="1">
      <c r="A433" s="1" t="s">
        <v>465</v>
      </c>
      <c r="B433" s="2">
        <v>0</v>
      </c>
      <c r="C433" s="9" t="s">
        <v>2044</v>
      </c>
      <c r="D433" s="1" t="str">
        <f t="shared" si="8"/>
        <v>副手武器</v>
      </c>
      <c r="E433" s="1">
        <f>INDEX([1]游戏类型定义!$C$20:$C$29,MATCH(D433,[1]!装备部位,0))</f>
        <v>6</v>
      </c>
      <c r="F433" s="1">
        <v>2</v>
      </c>
      <c r="G433" s="1">
        <f t="shared" si="9"/>
        <v>20</v>
      </c>
      <c r="H433" s="10" t="s">
        <v>2320</v>
      </c>
      <c r="I433" s="1">
        <v>4600</v>
      </c>
      <c r="J433" s="1">
        <v>10</v>
      </c>
      <c r="K433" s="1">
        <v>0</v>
      </c>
      <c r="L433" s="1">
        <v>0</v>
      </c>
      <c r="M433" s="1" t="s">
        <v>1865</v>
      </c>
      <c r="N433" s="1" t="s">
        <v>707</v>
      </c>
      <c r="O433" s="1">
        <v>0</v>
      </c>
      <c r="P433" s="1" t="s">
        <v>2074</v>
      </c>
      <c r="Q433" s="7" t="s">
        <v>2058</v>
      </c>
    </row>
    <row r="434" spans="1:17" ht="14.25" thickBot="1">
      <c r="A434" s="1" t="s">
        <v>466</v>
      </c>
      <c r="B434" s="3">
        <v>1</v>
      </c>
      <c r="C434" s="1" t="s">
        <v>2223</v>
      </c>
      <c r="D434" s="1" t="str">
        <f t="shared" si="8"/>
        <v>主手武器</v>
      </c>
      <c r="E434" s="1">
        <f>INDEX([1]游戏类型定义!$C$20:$C$29,MATCH(D434,[1]!装备部位,0))</f>
        <v>5</v>
      </c>
      <c r="F434" s="1">
        <v>2</v>
      </c>
      <c r="G434" s="1">
        <f t="shared" si="9"/>
        <v>20</v>
      </c>
      <c r="H434" s="10" t="s">
        <v>2321</v>
      </c>
      <c r="I434" s="1">
        <v>4000</v>
      </c>
      <c r="J434" s="1">
        <v>10</v>
      </c>
      <c r="K434" s="1">
        <v>0</v>
      </c>
      <c r="L434" s="1">
        <v>0</v>
      </c>
      <c r="M434" s="1" t="s">
        <v>2018</v>
      </c>
      <c r="N434" s="1" t="s">
        <v>707</v>
      </c>
      <c r="O434" s="1">
        <v>0</v>
      </c>
      <c r="P434" s="1" t="s">
        <v>2074</v>
      </c>
      <c r="Q434" s="7" t="s">
        <v>2374</v>
      </c>
    </row>
    <row r="435" spans="1:17" ht="14.25" thickBot="1">
      <c r="A435" s="1" t="s">
        <v>467</v>
      </c>
      <c r="B435" s="2">
        <v>0</v>
      </c>
      <c r="C435" s="1" t="s">
        <v>2040</v>
      </c>
      <c r="D435" s="1" t="str">
        <f t="shared" si="8"/>
        <v>主手武器</v>
      </c>
      <c r="E435" s="1">
        <f>INDEX([1]游戏类型定义!$C$20:$C$29,MATCH(D435,[1]!装备部位,0))</f>
        <v>5</v>
      </c>
      <c r="F435" s="1">
        <v>2</v>
      </c>
      <c r="G435" s="1">
        <f t="shared" si="9"/>
        <v>20</v>
      </c>
      <c r="H435" s="10" t="s">
        <v>2321</v>
      </c>
      <c r="I435" s="1">
        <v>4600</v>
      </c>
      <c r="J435" s="1">
        <v>10</v>
      </c>
      <c r="K435" s="1">
        <v>0</v>
      </c>
      <c r="L435" s="1">
        <v>0</v>
      </c>
      <c r="M435" s="1" t="s">
        <v>2019</v>
      </c>
      <c r="N435" s="1" t="s">
        <v>707</v>
      </c>
      <c r="O435" s="1">
        <v>0</v>
      </c>
      <c r="P435" s="1" t="s">
        <v>2074</v>
      </c>
      <c r="Q435" s="7" t="s">
        <v>2059</v>
      </c>
    </row>
    <row r="436" spans="1:17" ht="14.25" thickBot="1">
      <c r="A436" s="1" t="s">
        <v>468</v>
      </c>
      <c r="B436" s="3">
        <v>1</v>
      </c>
      <c r="C436" s="9" t="s">
        <v>2224</v>
      </c>
      <c r="D436" s="1" t="str">
        <f t="shared" ref="D436:D455" si="10">D106</f>
        <v>副手武器</v>
      </c>
      <c r="E436" s="1">
        <f>INDEX([1]游戏类型定义!$C$20:$C$29,MATCH(D436,[1]!装备部位,0))</f>
        <v>6</v>
      </c>
      <c r="F436" s="1">
        <v>2</v>
      </c>
      <c r="G436" s="1">
        <f t="shared" ref="G436:G455" si="11">G106</f>
        <v>20</v>
      </c>
      <c r="H436" s="10" t="s">
        <v>2321</v>
      </c>
      <c r="I436" s="1">
        <v>4000</v>
      </c>
      <c r="J436" s="1">
        <v>10</v>
      </c>
      <c r="K436" s="1">
        <v>0</v>
      </c>
      <c r="L436" s="1">
        <v>0</v>
      </c>
      <c r="M436" s="1" t="s">
        <v>1866</v>
      </c>
      <c r="N436" s="1" t="s">
        <v>707</v>
      </c>
      <c r="O436" s="1">
        <v>0</v>
      </c>
      <c r="P436" s="1" t="s">
        <v>2074</v>
      </c>
      <c r="Q436" s="7" t="s">
        <v>2375</v>
      </c>
    </row>
    <row r="437" spans="1:17" ht="14.25" thickBot="1">
      <c r="A437" s="1" t="s">
        <v>469</v>
      </c>
      <c r="B437" s="2">
        <v>0</v>
      </c>
      <c r="C437" s="9" t="s">
        <v>2042</v>
      </c>
      <c r="D437" s="1" t="str">
        <f t="shared" si="10"/>
        <v>副手武器</v>
      </c>
      <c r="E437" s="1">
        <f>INDEX([1]游戏类型定义!$C$20:$C$29,MATCH(D437,[1]!装备部位,0))</f>
        <v>6</v>
      </c>
      <c r="F437" s="1">
        <v>2</v>
      </c>
      <c r="G437" s="1">
        <f t="shared" si="11"/>
        <v>20</v>
      </c>
      <c r="H437" s="10" t="s">
        <v>2321</v>
      </c>
      <c r="I437" s="1">
        <v>4600</v>
      </c>
      <c r="J437" s="1">
        <v>10</v>
      </c>
      <c r="K437" s="1">
        <v>0</v>
      </c>
      <c r="L437" s="1">
        <v>0</v>
      </c>
      <c r="M437" s="1" t="s">
        <v>1867</v>
      </c>
      <c r="N437" s="1" t="s">
        <v>707</v>
      </c>
      <c r="O437" s="1">
        <v>0</v>
      </c>
      <c r="P437" s="1" t="s">
        <v>2074</v>
      </c>
      <c r="Q437" s="7" t="s">
        <v>2060</v>
      </c>
    </row>
    <row r="438" spans="1:17" ht="14.25" thickBot="1">
      <c r="A438" s="1" t="s">
        <v>470</v>
      </c>
      <c r="B438" s="3">
        <v>1</v>
      </c>
      <c r="C438" s="9" t="s">
        <v>2225</v>
      </c>
      <c r="D438" s="1" t="str">
        <f t="shared" si="10"/>
        <v>主手武器</v>
      </c>
      <c r="E438" s="1">
        <f>INDEX([1]游戏类型定义!$C$20:$C$29,MATCH(D438,[1]!装备部位,0))</f>
        <v>5</v>
      </c>
      <c r="F438" s="1">
        <v>2</v>
      </c>
      <c r="G438" s="1">
        <f t="shared" si="11"/>
        <v>20</v>
      </c>
      <c r="H438" s="10" t="s">
        <v>2322</v>
      </c>
      <c r="I438" s="1">
        <v>4000</v>
      </c>
      <c r="J438" s="1">
        <v>10</v>
      </c>
      <c r="K438" s="1">
        <v>0</v>
      </c>
      <c r="L438" s="1">
        <v>0</v>
      </c>
      <c r="M438" s="1" t="s">
        <v>2018</v>
      </c>
      <c r="N438" s="1" t="s">
        <v>707</v>
      </c>
      <c r="O438" s="1">
        <v>0</v>
      </c>
      <c r="P438" s="1" t="s">
        <v>2074</v>
      </c>
      <c r="Q438" s="7" t="s">
        <v>2376</v>
      </c>
    </row>
    <row r="439" spans="1:17" ht="14.25" thickBot="1">
      <c r="A439" s="1" t="s">
        <v>471</v>
      </c>
      <c r="B439" s="3">
        <v>1</v>
      </c>
      <c r="C439" s="9" t="s">
        <v>2226</v>
      </c>
      <c r="D439" s="1" t="str">
        <f t="shared" si="10"/>
        <v>主手武器</v>
      </c>
      <c r="E439" s="1">
        <f>INDEX([1]游戏类型定义!$C$20:$C$29,MATCH(D439,[1]!装备部位,0))</f>
        <v>5</v>
      </c>
      <c r="F439" s="1">
        <v>2</v>
      </c>
      <c r="G439" s="1">
        <f t="shared" si="11"/>
        <v>20</v>
      </c>
      <c r="H439" s="10" t="s">
        <v>2322</v>
      </c>
      <c r="I439" s="1">
        <v>4600</v>
      </c>
      <c r="J439" s="1">
        <v>10</v>
      </c>
      <c r="K439" s="1">
        <v>0</v>
      </c>
      <c r="L439" s="1">
        <v>0</v>
      </c>
      <c r="M439" s="1" t="s">
        <v>2019</v>
      </c>
      <c r="N439" s="1" t="s">
        <v>707</v>
      </c>
      <c r="O439" s="1">
        <v>0</v>
      </c>
      <c r="P439" s="1" t="s">
        <v>2074</v>
      </c>
      <c r="Q439" s="7" t="s">
        <v>2377</v>
      </c>
    </row>
    <row r="440" spans="1:17" ht="14.25" thickBot="1">
      <c r="A440" s="1" t="s">
        <v>472</v>
      </c>
      <c r="B440" s="3">
        <v>1</v>
      </c>
      <c r="C440" s="9" t="s">
        <v>2227</v>
      </c>
      <c r="D440" s="1" t="str">
        <f t="shared" si="10"/>
        <v>副手武器</v>
      </c>
      <c r="E440" s="1">
        <f>INDEX([1]游戏类型定义!$C$20:$C$29,MATCH(D440,[1]!装备部位,0))</f>
        <v>6</v>
      </c>
      <c r="F440" s="1">
        <v>2</v>
      </c>
      <c r="G440" s="1">
        <f t="shared" si="11"/>
        <v>20</v>
      </c>
      <c r="H440" s="10" t="s">
        <v>2322</v>
      </c>
      <c r="I440" s="1">
        <v>4000</v>
      </c>
      <c r="J440" s="1">
        <v>10</v>
      </c>
      <c r="K440" s="1">
        <v>0</v>
      </c>
      <c r="L440" s="1">
        <v>0</v>
      </c>
      <c r="M440" s="1" t="s">
        <v>1868</v>
      </c>
      <c r="N440" s="1" t="s">
        <v>707</v>
      </c>
      <c r="O440" s="1">
        <v>0</v>
      </c>
      <c r="P440" s="1" t="s">
        <v>2074</v>
      </c>
      <c r="Q440" s="7" t="s">
        <v>2378</v>
      </c>
    </row>
    <row r="441" spans="1:17" ht="14.25" thickBot="1">
      <c r="A441" s="1" t="s">
        <v>473</v>
      </c>
      <c r="B441" s="2">
        <v>0</v>
      </c>
      <c r="C441" s="9" t="s">
        <v>2050</v>
      </c>
      <c r="D441" s="1" t="str">
        <f t="shared" si="10"/>
        <v>副手武器</v>
      </c>
      <c r="E441" s="1">
        <f>INDEX([1]游戏类型定义!$C$20:$C$29,MATCH(D441,[1]!装备部位,0))</f>
        <v>6</v>
      </c>
      <c r="F441" s="1">
        <v>2</v>
      </c>
      <c r="G441" s="1">
        <f t="shared" si="11"/>
        <v>20</v>
      </c>
      <c r="H441" s="10" t="s">
        <v>2322</v>
      </c>
      <c r="I441" s="1">
        <v>4600</v>
      </c>
      <c r="J441" s="1">
        <v>10</v>
      </c>
      <c r="K441" s="1">
        <v>0</v>
      </c>
      <c r="L441" s="1">
        <v>0</v>
      </c>
      <c r="M441" s="1" t="s">
        <v>1869</v>
      </c>
      <c r="N441" s="1" t="s">
        <v>707</v>
      </c>
      <c r="O441" s="1">
        <v>0</v>
      </c>
      <c r="P441" s="1" t="s">
        <v>2074</v>
      </c>
      <c r="Q441" s="7" t="s">
        <v>2062</v>
      </c>
    </row>
    <row r="442" spans="1:17" ht="14.25" thickBot="1">
      <c r="A442" s="1" t="s">
        <v>474</v>
      </c>
      <c r="B442" s="3">
        <v>1</v>
      </c>
      <c r="C442" s="1" t="s">
        <v>2161</v>
      </c>
      <c r="D442" s="1" t="str">
        <f t="shared" si="10"/>
        <v>胸甲</v>
      </c>
      <c r="E442" s="1">
        <f>INDEX([1]游戏类型定义!$C$20:$C$29,MATCH(D442,[1]!装备部位,0))</f>
        <v>4</v>
      </c>
      <c r="F442" s="1">
        <v>2</v>
      </c>
      <c r="G442" s="1">
        <f t="shared" si="11"/>
        <v>20</v>
      </c>
      <c r="H442" s="10">
        <v>0</v>
      </c>
      <c r="I442" s="1">
        <v>4000</v>
      </c>
      <c r="J442" s="1">
        <v>10</v>
      </c>
      <c r="K442" s="1">
        <v>0</v>
      </c>
      <c r="L442" s="1">
        <v>0</v>
      </c>
      <c r="M442" s="1" t="s">
        <v>1870</v>
      </c>
      <c r="N442" s="1" t="s">
        <v>706</v>
      </c>
      <c r="O442" s="1">
        <v>0</v>
      </c>
      <c r="P442" s="1" t="s">
        <v>2074</v>
      </c>
      <c r="Q442" s="7" t="s">
        <v>2379</v>
      </c>
    </row>
    <row r="443" spans="1:17" ht="14.25" thickBot="1">
      <c r="A443" s="1" t="s">
        <v>475</v>
      </c>
      <c r="B443" s="3">
        <v>1</v>
      </c>
      <c r="C443" s="1" t="s">
        <v>2162</v>
      </c>
      <c r="D443" s="1" t="str">
        <f t="shared" si="10"/>
        <v>胸甲</v>
      </c>
      <c r="E443" s="1">
        <f>INDEX([1]游戏类型定义!$C$20:$C$29,MATCH(D443,[1]!装备部位,0))</f>
        <v>4</v>
      </c>
      <c r="F443" s="1">
        <v>2</v>
      </c>
      <c r="G443" s="1">
        <f t="shared" si="11"/>
        <v>20</v>
      </c>
      <c r="H443" s="10">
        <v>0</v>
      </c>
      <c r="I443" s="1">
        <v>4600</v>
      </c>
      <c r="J443" s="1">
        <v>10</v>
      </c>
      <c r="K443" s="1">
        <v>0</v>
      </c>
      <c r="L443" s="1">
        <v>0</v>
      </c>
      <c r="M443" s="1" t="s">
        <v>1871</v>
      </c>
      <c r="N443" s="1" t="s">
        <v>706</v>
      </c>
      <c r="O443" s="1">
        <v>0</v>
      </c>
      <c r="P443" s="1" t="s">
        <v>2074</v>
      </c>
      <c r="Q443" s="7" t="s">
        <v>2380</v>
      </c>
    </row>
    <row r="444" spans="1:17" ht="14.25" thickBot="1">
      <c r="A444" s="1" t="s">
        <v>476</v>
      </c>
      <c r="B444" s="3">
        <v>1</v>
      </c>
      <c r="C444" s="1" t="s">
        <v>2179</v>
      </c>
      <c r="D444" s="1" t="str">
        <f t="shared" si="10"/>
        <v>护腿</v>
      </c>
      <c r="E444" s="1">
        <f>INDEX([1]游戏类型定义!$C$20:$C$29,MATCH(D444,[1]!装备部位,0))</f>
        <v>7</v>
      </c>
      <c r="F444" s="1">
        <v>2</v>
      </c>
      <c r="G444" s="1">
        <f t="shared" si="11"/>
        <v>20</v>
      </c>
      <c r="H444" s="10">
        <v>0</v>
      </c>
      <c r="I444" s="1">
        <v>4000</v>
      </c>
      <c r="J444" s="1">
        <v>10</v>
      </c>
      <c r="K444" s="1">
        <v>0</v>
      </c>
      <c r="L444" s="1">
        <v>0</v>
      </c>
      <c r="M444" s="1" t="s">
        <v>1872</v>
      </c>
      <c r="N444" s="1" t="s">
        <v>706</v>
      </c>
      <c r="O444" s="1">
        <v>0</v>
      </c>
      <c r="P444" s="1" t="s">
        <v>2074</v>
      </c>
      <c r="Q444" s="7" t="s">
        <v>2381</v>
      </c>
    </row>
    <row r="445" spans="1:17" ht="14.25" thickBot="1">
      <c r="A445" s="1" t="s">
        <v>477</v>
      </c>
      <c r="B445" s="3">
        <v>1</v>
      </c>
      <c r="C445" s="1" t="s">
        <v>2180</v>
      </c>
      <c r="D445" s="1" t="str">
        <f t="shared" si="10"/>
        <v>护腿</v>
      </c>
      <c r="E445" s="1">
        <f>INDEX([1]游戏类型定义!$C$20:$C$29,MATCH(D445,[1]!装备部位,0))</f>
        <v>7</v>
      </c>
      <c r="F445" s="1">
        <v>2</v>
      </c>
      <c r="G445" s="1">
        <f t="shared" si="11"/>
        <v>20</v>
      </c>
      <c r="H445" s="10">
        <v>0</v>
      </c>
      <c r="I445" s="1">
        <v>4600</v>
      </c>
      <c r="J445" s="1">
        <v>10</v>
      </c>
      <c r="K445" s="1">
        <v>0</v>
      </c>
      <c r="L445" s="1">
        <v>0</v>
      </c>
      <c r="M445" s="1" t="s">
        <v>1873</v>
      </c>
      <c r="N445" s="1" t="s">
        <v>706</v>
      </c>
      <c r="O445" s="1">
        <v>0</v>
      </c>
      <c r="P445" s="1" t="s">
        <v>2074</v>
      </c>
      <c r="Q445" s="7" t="s">
        <v>2382</v>
      </c>
    </row>
    <row r="446" spans="1:17" ht="14.25" thickBot="1">
      <c r="A446" s="1" t="s">
        <v>478</v>
      </c>
      <c r="B446" s="3">
        <v>1</v>
      </c>
      <c r="C446" s="1" t="s">
        <v>2098</v>
      </c>
      <c r="D446" s="1" t="str">
        <f t="shared" si="10"/>
        <v>头盔</v>
      </c>
      <c r="E446" s="1">
        <f>INDEX([1]游戏类型定义!$C$20:$C$29,MATCH(D446,[1]!装备部位,0))</f>
        <v>1</v>
      </c>
      <c r="F446" s="1">
        <v>2</v>
      </c>
      <c r="G446" s="1">
        <f t="shared" si="11"/>
        <v>25</v>
      </c>
      <c r="H446" s="10">
        <v>0</v>
      </c>
      <c r="I446" s="1">
        <v>5000</v>
      </c>
      <c r="J446" s="1">
        <v>10</v>
      </c>
      <c r="K446" s="1">
        <v>0</v>
      </c>
      <c r="L446" s="1">
        <v>0</v>
      </c>
      <c r="M446" s="1" t="s">
        <v>1874</v>
      </c>
      <c r="N446" s="1" t="s">
        <v>708</v>
      </c>
      <c r="O446" s="1">
        <v>0</v>
      </c>
      <c r="P446" s="1" t="s">
        <v>2075</v>
      </c>
      <c r="Q446" s="7" t="s">
        <v>2383</v>
      </c>
    </row>
    <row r="447" spans="1:17" ht="14.25" thickBot="1">
      <c r="A447" s="1" t="s">
        <v>479</v>
      </c>
      <c r="B447" s="3">
        <v>1</v>
      </c>
      <c r="C447" s="1" t="s">
        <v>2112</v>
      </c>
      <c r="D447" s="1" t="str">
        <f t="shared" si="10"/>
        <v>戒指</v>
      </c>
      <c r="E447" s="1">
        <f>INDEX([1]游戏类型定义!$C$20:$C$29,MATCH(D447,[1]!装备部位,0))</f>
        <v>2</v>
      </c>
      <c r="F447" s="1">
        <v>2</v>
      </c>
      <c r="G447" s="1">
        <f t="shared" si="11"/>
        <v>25</v>
      </c>
      <c r="H447" s="10">
        <v>0</v>
      </c>
      <c r="I447" s="1">
        <v>5000</v>
      </c>
      <c r="J447" s="1">
        <v>10</v>
      </c>
      <c r="K447" s="1">
        <v>0</v>
      </c>
      <c r="L447" s="1">
        <v>0</v>
      </c>
      <c r="M447" s="1" t="s">
        <v>1875</v>
      </c>
      <c r="N447" s="1" t="s">
        <v>708</v>
      </c>
      <c r="O447" s="1">
        <v>0</v>
      </c>
      <c r="P447" s="1" t="s">
        <v>2075</v>
      </c>
      <c r="Q447" s="7" t="s">
        <v>2384</v>
      </c>
    </row>
    <row r="448" spans="1:17" ht="14.25" thickBot="1">
      <c r="A448" s="1" t="s">
        <v>480</v>
      </c>
      <c r="B448" s="3">
        <v>1</v>
      </c>
      <c r="C448" s="1" t="s">
        <v>2090</v>
      </c>
      <c r="D448" s="1" t="str">
        <f t="shared" si="10"/>
        <v>腰带</v>
      </c>
      <c r="E448" s="1">
        <f>INDEX([1]游戏类型定义!$C$20:$C$29,MATCH(D448,[1]!装备部位,0))</f>
        <v>3</v>
      </c>
      <c r="F448" s="1">
        <v>2</v>
      </c>
      <c r="G448" s="1">
        <f t="shared" si="11"/>
        <v>25</v>
      </c>
      <c r="H448" s="10">
        <v>0</v>
      </c>
      <c r="I448" s="1">
        <v>5000</v>
      </c>
      <c r="J448" s="1">
        <v>10</v>
      </c>
      <c r="K448" s="1">
        <v>0</v>
      </c>
      <c r="L448" s="1">
        <v>0</v>
      </c>
      <c r="M448" s="1" t="s">
        <v>1876</v>
      </c>
      <c r="N448" s="1" t="s">
        <v>708</v>
      </c>
      <c r="O448" s="1">
        <v>0</v>
      </c>
      <c r="P448" s="1" t="s">
        <v>2075</v>
      </c>
      <c r="Q448" s="7" t="s">
        <v>2385</v>
      </c>
    </row>
    <row r="449" spans="1:17" ht="14.25" thickBot="1">
      <c r="A449" s="1" t="s">
        <v>481</v>
      </c>
      <c r="B449" s="3">
        <v>1</v>
      </c>
      <c r="C449" s="1" t="s">
        <v>2122</v>
      </c>
      <c r="D449" s="1" t="str">
        <f t="shared" si="10"/>
        <v>鞋子</v>
      </c>
      <c r="E449" s="1">
        <f>INDEX([1]游戏类型定义!$C$20:$C$29,MATCH(D449,[1]!装备部位,0))</f>
        <v>8</v>
      </c>
      <c r="F449" s="1">
        <v>2</v>
      </c>
      <c r="G449" s="1">
        <f t="shared" si="11"/>
        <v>25</v>
      </c>
      <c r="H449" s="10">
        <v>0</v>
      </c>
      <c r="I449" s="1">
        <v>5000</v>
      </c>
      <c r="J449" s="1">
        <v>10</v>
      </c>
      <c r="K449" s="1">
        <v>0</v>
      </c>
      <c r="L449" s="1">
        <v>0</v>
      </c>
      <c r="M449" s="1" t="s">
        <v>1861</v>
      </c>
      <c r="N449" s="1" t="s">
        <v>708</v>
      </c>
      <c r="O449" s="1">
        <v>0</v>
      </c>
      <c r="P449" s="1" t="s">
        <v>2075</v>
      </c>
      <c r="Q449" s="7" t="s">
        <v>2386</v>
      </c>
    </row>
    <row r="450" spans="1:17" ht="14.25" thickBot="1">
      <c r="A450" s="1" t="s">
        <v>482</v>
      </c>
      <c r="B450" s="2">
        <v>0</v>
      </c>
      <c r="C450" s="1" t="s">
        <v>2035</v>
      </c>
      <c r="D450" s="1" t="str">
        <f t="shared" si="10"/>
        <v>手套</v>
      </c>
      <c r="E450" s="1">
        <f>INDEX([1]游戏类型定义!$C$20:$C$29,MATCH(D450,[1]!装备部位,0))</f>
        <v>9</v>
      </c>
      <c r="F450" s="1">
        <v>2</v>
      </c>
      <c r="G450" s="1">
        <f t="shared" si="11"/>
        <v>25</v>
      </c>
      <c r="H450" s="10">
        <v>0</v>
      </c>
      <c r="I450" s="1">
        <v>5000</v>
      </c>
      <c r="J450" s="1">
        <v>10</v>
      </c>
      <c r="K450" s="1">
        <v>0</v>
      </c>
      <c r="L450" s="1">
        <v>0</v>
      </c>
      <c r="M450" s="1" t="s">
        <v>1877</v>
      </c>
      <c r="N450" s="1" t="s">
        <v>708</v>
      </c>
      <c r="O450" s="1">
        <v>0</v>
      </c>
      <c r="P450" s="1" t="s">
        <v>2075</v>
      </c>
      <c r="Q450" s="7" t="s">
        <v>2055</v>
      </c>
    </row>
    <row r="451" spans="1:17" ht="14.25" thickBot="1">
      <c r="A451" s="1" t="s">
        <v>483</v>
      </c>
      <c r="B451" s="3">
        <v>1</v>
      </c>
      <c r="C451" s="1" t="s">
        <v>2148</v>
      </c>
      <c r="D451" s="1" t="str">
        <f t="shared" si="10"/>
        <v>项链</v>
      </c>
      <c r="E451" s="1">
        <f>INDEX([1]游戏类型定义!$C$20:$C$29,MATCH(D451,[1]!装备部位,0))</f>
        <v>10</v>
      </c>
      <c r="F451" s="1">
        <v>2</v>
      </c>
      <c r="G451" s="1">
        <f t="shared" si="11"/>
        <v>25</v>
      </c>
      <c r="H451" s="10">
        <v>0</v>
      </c>
      <c r="I451" s="1">
        <v>5000</v>
      </c>
      <c r="J451" s="1">
        <v>10</v>
      </c>
      <c r="K451" s="1">
        <v>0</v>
      </c>
      <c r="L451" s="1">
        <v>0</v>
      </c>
      <c r="M451" s="1" t="s">
        <v>1878</v>
      </c>
      <c r="N451" s="1" t="s">
        <v>708</v>
      </c>
      <c r="O451" s="1">
        <v>0</v>
      </c>
      <c r="P451" s="1" t="s">
        <v>2075</v>
      </c>
      <c r="Q451" s="7" t="s">
        <v>2387</v>
      </c>
    </row>
    <row r="452" spans="1:17" ht="14.25" thickBot="1">
      <c r="A452" s="1" t="s">
        <v>484</v>
      </c>
      <c r="B452" s="3">
        <v>1</v>
      </c>
      <c r="C452" s="9" t="s">
        <v>2312</v>
      </c>
      <c r="D452" s="1" t="str">
        <f t="shared" si="10"/>
        <v>主手武器</v>
      </c>
      <c r="E452" s="1">
        <f>INDEX([1]游戏类型定义!$C$20:$C$29,MATCH(D452,[1]!装备部位,0))</f>
        <v>5</v>
      </c>
      <c r="F452" s="1">
        <v>2</v>
      </c>
      <c r="G452" s="1">
        <f t="shared" si="11"/>
        <v>25</v>
      </c>
      <c r="H452" s="10" t="s">
        <v>2320</v>
      </c>
      <c r="I452" s="1">
        <v>5000</v>
      </c>
      <c r="J452" s="1">
        <v>10</v>
      </c>
      <c r="K452" s="1">
        <v>0</v>
      </c>
      <c r="L452" s="1">
        <v>0</v>
      </c>
      <c r="M452" s="1" t="s">
        <v>1879</v>
      </c>
      <c r="N452" s="1" t="s">
        <v>709</v>
      </c>
      <c r="O452" s="1">
        <v>0</v>
      </c>
      <c r="P452" s="1" t="s">
        <v>2075</v>
      </c>
      <c r="Q452" s="7" t="s">
        <v>2388</v>
      </c>
    </row>
    <row r="453" spans="1:17" ht="14.25" thickBot="1">
      <c r="A453" s="1" t="s">
        <v>485</v>
      </c>
      <c r="B453" s="3">
        <v>1</v>
      </c>
      <c r="C453" s="9" t="s">
        <v>2228</v>
      </c>
      <c r="D453" s="1" t="str">
        <f t="shared" si="10"/>
        <v>主手武器</v>
      </c>
      <c r="E453" s="1">
        <f>INDEX([1]游戏类型定义!$C$20:$C$29,MATCH(D453,[1]!装备部位,0))</f>
        <v>5</v>
      </c>
      <c r="F453" s="1">
        <v>2</v>
      </c>
      <c r="G453" s="1">
        <f t="shared" si="11"/>
        <v>25</v>
      </c>
      <c r="H453" s="10" t="s">
        <v>2320</v>
      </c>
      <c r="I453" s="1">
        <v>5600</v>
      </c>
      <c r="J453" s="1">
        <v>10</v>
      </c>
      <c r="K453" s="1">
        <v>0</v>
      </c>
      <c r="L453" s="1">
        <v>0</v>
      </c>
      <c r="M453" s="1" t="s">
        <v>2020</v>
      </c>
      <c r="N453" s="1" t="s">
        <v>709</v>
      </c>
      <c r="O453" s="1">
        <v>0</v>
      </c>
      <c r="P453" s="1" t="s">
        <v>2075</v>
      </c>
      <c r="Q453" s="7" t="s">
        <v>2389</v>
      </c>
    </row>
    <row r="454" spans="1:17" ht="14.25" thickBot="1">
      <c r="A454" s="1" t="s">
        <v>486</v>
      </c>
      <c r="B454" s="3">
        <v>1</v>
      </c>
      <c r="C454" s="9" t="s">
        <v>2229</v>
      </c>
      <c r="D454" s="1" t="str">
        <f t="shared" si="10"/>
        <v>副手武器</v>
      </c>
      <c r="E454" s="1">
        <f>INDEX([1]游戏类型定义!$C$20:$C$29,MATCH(D454,[1]!装备部位,0))</f>
        <v>6</v>
      </c>
      <c r="F454" s="1">
        <v>2</v>
      </c>
      <c r="G454" s="1">
        <f t="shared" si="11"/>
        <v>25</v>
      </c>
      <c r="H454" s="10" t="s">
        <v>2320</v>
      </c>
      <c r="I454" s="1">
        <v>5000</v>
      </c>
      <c r="J454" s="1">
        <v>10</v>
      </c>
      <c r="K454" s="1">
        <v>0</v>
      </c>
      <c r="L454" s="1">
        <v>0</v>
      </c>
      <c r="M454" s="1" t="s">
        <v>1880</v>
      </c>
      <c r="N454" s="1" t="s">
        <v>709</v>
      </c>
      <c r="O454" s="1">
        <v>0</v>
      </c>
      <c r="P454" s="1" t="s">
        <v>2075</v>
      </c>
      <c r="Q454" s="7" t="s">
        <v>2390</v>
      </c>
    </row>
    <row r="455" spans="1:17" ht="14.25" thickBot="1">
      <c r="A455" s="1" t="s">
        <v>487</v>
      </c>
      <c r="B455" s="2">
        <v>0</v>
      </c>
      <c r="C455" s="9" t="s">
        <v>2044</v>
      </c>
      <c r="D455" s="1" t="str">
        <f t="shared" si="10"/>
        <v>副手武器</v>
      </c>
      <c r="E455" s="1">
        <f>INDEX([1]游戏类型定义!$C$20:$C$29,MATCH(D455,[1]!装备部位,0))</f>
        <v>6</v>
      </c>
      <c r="F455" s="1">
        <v>2</v>
      </c>
      <c r="G455" s="1">
        <f t="shared" si="11"/>
        <v>25</v>
      </c>
      <c r="H455" s="10" t="s">
        <v>2320</v>
      </c>
      <c r="I455" s="1">
        <v>5600</v>
      </c>
      <c r="J455" s="1">
        <v>10</v>
      </c>
      <c r="K455" s="1">
        <v>0</v>
      </c>
      <c r="L455" s="1">
        <v>0</v>
      </c>
      <c r="M455" s="1" t="s">
        <v>1881</v>
      </c>
      <c r="N455" s="1" t="s">
        <v>709</v>
      </c>
      <c r="O455" s="1">
        <v>0</v>
      </c>
      <c r="P455" s="1" t="s">
        <v>2075</v>
      </c>
      <c r="Q455" s="7" t="s">
        <v>2058</v>
      </c>
    </row>
    <row r="456" spans="1:17" ht="14.25" thickBot="1">
      <c r="A456" s="1" t="s">
        <v>488</v>
      </c>
      <c r="B456" s="3">
        <v>1</v>
      </c>
      <c r="C456" s="1" t="s">
        <v>2230</v>
      </c>
      <c r="D456" s="1" t="str">
        <f t="shared" ref="D456:D475" si="12">D126</f>
        <v>主手武器</v>
      </c>
      <c r="E456" s="1">
        <f>INDEX([1]游戏类型定义!$C$20:$C$29,MATCH(D456,[1]!装备部位,0))</f>
        <v>5</v>
      </c>
      <c r="F456" s="1">
        <v>2</v>
      </c>
      <c r="G456" s="1">
        <f t="shared" ref="G456:G475" si="13">G126</f>
        <v>25</v>
      </c>
      <c r="H456" s="10" t="s">
        <v>2321</v>
      </c>
      <c r="I456" s="1">
        <v>5000</v>
      </c>
      <c r="J456" s="1">
        <v>10</v>
      </c>
      <c r="K456" s="1">
        <v>0</v>
      </c>
      <c r="L456" s="1">
        <v>0</v>
      </c>
      <c r="M456" s="1" t="s">
        <v>1879</v>
      </c>
      <c r="N456" s="1" t="s">
        <v>709</v>
      </c>
      <c r="O456" s="1">
        <v>0</v>
      </c>
      <c r="P456" s="1" t="s">
        <v>2075</v>
      </c>
      <c r="Q456" s="7" t="s">
        <v>2391</v>
      </c>
    </row>
    <row r="457" spans="1:17" ht="14.25" thickBot="1">
      <c r="A457" s="1" t="s">
        <v>489</v>
      </c>
      <c r="B457" s="3">
        <v>1</v>
      </c>
      <c r="C457" s="1" t="s">
        <v>2311</v>
      </c>
      <c r="D457" s="1" t="str">
        <f t="shared" si="12"/>
        <v>主手武器</v>
      </c>
      <c r="E457" s="1">
        <f>INDEX([1]游戏类型定义!$C$20:$C$29,MATCH(D457,[1]!装备部位,0))</f>
        <v>5</v>
      </c>
      <c r="F457" s="1">
        <v>2</v>
      </c>
      <c r="G457" s="1">
        <f t="shared" si="13"/>
        <v>25</v>
      </c>
      <c r="H457" s="10" t="s">
        <v>2321</v>
      </c>
      <c r="I457" s="1">
        <v>5600</v>
      </c>
      <c r="J457" s="1">
        <v>10</v>
      </c>
      <c r="K457" s="1">
        <v>0</v>
      </c>
      <c r="L457" s="1">
        <v>0</v>
      </c>
      <c r="M457" s="1" t="s">
        <v>2020</v>
      </c>
      <c r="N457" s="1" t="s">
        <v>709</v>
      </c>
      <c r="O457" s="1">
        <v>0</v>
      </c>
      <c r="P457" s="1" t="s">
        <v>2075</v>
      </c>
      <c r="Q457" s="7" t="s">
        <v>2392</v>
      </c>
    </row>
    <row r="458" spans="1:17" ht="14.25" thickBot="1">
      <c r="A458" s="1" t="s">
        <v>490</v>
      </c>
      <c r="B458" s="3">
        <v>1</v>
      </c>
      <c r="C458" s="9" t="s">
        <v>2231</v>
      </c>
      <c r="D458" s="1" t="str">
        <f t="shared" si="12"/>
        <v>副手武器</v>
      </c>
      <c r="E458" s="1">
        <f>INDEX([1]游戏类型定义!$C$20:$C$29,MATCH(D458,[1]!装备部位,0))</f>
        <v>6</v>
      </c>
      <c r="F458" s="1">
        <v>2</v>
      </c>
      <c r="G458" s="1">
        <f t="shared" si="13"/>
        <v>25</v>
      </c>
      <c r="H458" s="10" t="s">
        <v>2321</v>
      </c>
      <c r="I458" s="1">
        <v>5000</v>
      </c>
      <c r="J458" s="1">
        <v>10</v>
      </c>
      <c r="K458" s="1">
        <v>0</v>
      </c>
      <c r="L458" s="1">
        <v>0</v>
      </c>
      <c r="M458" s="1" t="s">
        <v>1882</v>
      </c>
      <c r="N458" s="1" t="s">
        <v>709</v>
      </c>
      <c r="O458" s="1">
        <v>0</v>
      </c>
      <c r="P458" s="1" t="s">
        <v>2075</v>
      </c>
      <c r="Q458" s="7" t="s">
        <v>2393</v>
      </c>
    </row>
    <row r="459" spans="1:17" ht="14.25" thickBot="1">
      <c r="A459" s="1" t="s">
        <v>491</v>
      </c>
      <c r="B459" s="2">
        <v>0</v>
      </c>
      <c r="C459" s="9" t="s">
        <v>2042</v>
      </c>
      <c r="D459" s="1" t="str">
        <f t="shared" si="12"/>
        <v>副手武器</v>
      </c>
      <c r="E459" s="1">
        <f>INDEX([1]游戏类型定义!$C$20:$C$29,MATCH(D459,[1]!装备部位,0))</f>
        <v>6</v>
      </c>
      <c r="F459" s="1">
        <v>2</v>
      </c>
      <c r="G459" s="1">
        <f t="shared" si="13"/>
        <v>25</v>
      </c>
      <c r="H459" s="10" t="s">
        <v>2321</v>
      </c>
      <c r="I459" s="1">
        <v>5600</v>
      </c>
      <c r="J459" s="1">
        <v>10</v>
      </c>
      <c r="K459" s="1">
        <v>0</v>
      </c>
      <c r="L459" s="1">
        <v>0</v>
      </c>
      <c r="M459" s="1" t="s">
        <v>1883</v>
      </c>
      <c r="N459" s="1" t="s">
        <v>709</v>
      </c>
      <c r="O459" s="1">
        <v>0</v>
      </c>
      <c r="P459" s="1" t="s">
        <v>2075</v>
      </c>
      <c r="Q459" s="7" t="s">
        <v>2060</v>
      </c>
    </row>
    <row r="460" spans="1:17" ht="14.25" thickBot="1">
      <c r="A460" s="1" t="s">
        <v>492</v>
      </c>
      <c r="B460" s="3">
        <v>1</v>
      </c>
      <c r="C460" s="9" t="s">
        <v>2233</v>
      </c>
      <c r="D460" s="1" t="str">
        <f t="shared" si="12"/>
        <v>主手武器</v>
      </c>
      <c r="E460" s="1">
        <f>INDEX([1]游戏类型定义!$C$20:$C$29,MATCH(D460,[1]!装备部位,0))</f>
        <v>5</v>
      </c>
      <c r="F460" s="1">
        <v>2</v>
      </c>
      <c r="G460" s="1">
        <f t="shared" si="13"/>
        <v>25</v>
      </c>
      <c r="H460" s="10" t="s">
        <v>2322</v>
      </c>
      <c r="I460" s="1">
        <v>5000</v>
      </c>
      <c r="J460" s="1">
        <v>10</v>
      </c>
      <c r="K460" s="1">
        <v>0</v>
      </c>
      <c r="L460" s="1">
        <v>0</v>
      </c>
      <c r="M460" s="1" t="s">
        <v>1879</v>
      </c>
      <c r="N460" s="1" t="s">
        <v>709</v>
      </c>
      <c r="O460" s="1">
        <v>0</v>
      </c>
      <c r="P460" s="1" t="s">
        <v>2075</v>
      </c>
      <c r="Q460" s="7" t="s">
        <v>2394</v>
      </c>
    </row>
    <row r="461" spans="1:17" ht="14.25" thickBot="1">
      <c r="A461" s="1" t="s">
        <v>493</v>
      </c>
      <c r="B461" s="2">
        <v>0</v>
      </c>
      <c r="C461" s="9" t="s">
        <v>2232</v>
      </c>
      <c r="D461" s="1" t="str">
        <f t="shared" si="12"/>
        <v>主手武器</v>
      </c>
      <c r="E461" s="1">
        <f>INDEX([1]游戏类型定义!$C$20:$C$29,MATCH(D461,[1]!装备部位,0))</f>
        <v>5</v>
      </c>
      <c r="F461" s="1">
        <v>2</v>
      </c>
      <c r="G461" s="1">
        <f t="shared" si="13"/>
        <v>25</v>
      </c>
      <c r="H461" s="10" t="s">
        <v>2322</v>
      </c>
      <c r="I461" s="1">
        <v>5600</v>
      </c>
      <c r="J461" s="1">
        <v>10</v>
      </c>
      <c r="K461" s="1">
        <v>0</v>
      </c>
      <c r="L461" s="1">
        <v>0</v>
      </c>
      <c r="M461" s="1" t="s">
        <v>2020</v>
      </c>
      <c r="N461" s="1" t="s">
        <v>709</v>
      </c>
      <c r="O461" s="1">
        <v>0</v>
      </c>
      <c r="P461" s="1" t="s">
        <v>2075</v>
      </c>
      <c r="Q461" s="7" t="s">
        <v>2395</v>
      </c>
    </row>
    <row r="462" spans="1:17" ht="14.25" thickBot="1">
      <c r="A462" s="1" t="s">
        <v>494</v>
      </c>
      <c r="B462" s="3">
        <v>1</v>
      </c>
      <c r="C462" s="9" t="s">
        <v>2234</v>
      </c>
      <c r="D462" s="1" t="str">
        <f t="shared" si="12"/>
        <v>副手武器</v>
      </c>
      <c r="E462" s="1">
        <f>INDEX([1]游戏类型定义!$C$20:$C$29,MATCH(D462,[1]!装备部位,0))</f>
        <v>6</v>
      </c>
      <c r="F462" s="1">
        <v>2</v>
      </c>
      <c r="G462" s="1">
        <f t="shared" si="13"/>
        <v>25</v>
      </c>
      <c r="H462" s="10" t="s">
        <v>2322</v>
      </c>
      <c r="I462" s="1">
        <v>5000</v>
      </c>
      <c r="J462" s="1">
        <v>10</v>
      </c>
      <c r="K462" s="1">
        <v>0</v>
      </c>
      <c r="L462" s="1">
        <v>0</v>
      </c>
      <c r="M462" s="1" t="s">
        <v>1884</v>
      </c>
      <c r="N462" s="1" t="s">
        <v>709</v>
      </c>
      <c r="O462" s="1">
        <v>0</v>
      </c>
      <c r="P462" s="1" t="s">
        <v>2075</v>
      </c>
      <c r="Q462" s="7" t="s">
        <v>2396</v>
      </c>
    </row>
    <row r="463" spans="1:17" ht="14.25" thickBot="1">
      <c r="A463" s="1" t="s">
        <v>495</v>
      </c>
      <c r="B463" s="2">
        <v>0</v>
      </c>
      <c r="C463" s="9" t="s">
        <v>2050</v>
      </c>
      <c r="D463" s="1" t="str">
        <f t="shared" si="12"/>
        <v>副手武器</v>
      </c>
      <c r="E463" s="1">
        <f>INDEX([1]游戏类型定义!$C$20:$C$29,MATCH(D463,[1]!装备部位,0))</f>
        <v>6</v>
      </c>
      <c r="F463" s="1">
        <v>2</v>
      </c>
      <c r="G463" s="1">
        <f t="shared" si="13"/>
        <v>25</v>
      </c>
      <c r="H463" s="10" t="s">
        <v>2322</v>
      </c>
      <c r="I463" s="1">
        <v>5600</v>
      </c>
      <c r="J463" s="1">
        <v>10</v>
      </c>
      <c r="K463" s="1">
        <v>0</v>
      </c>
      <c r="L463" s="1">
        <v>0</v>
      </c>
      <c r="M463" s="1" t="s">
        <v>1885</v>
      </c>
      <c r="N463" s="1" t="s">
        <v>709</v>
      </c>
      <c r="O463" s="1">
        <v>0</v>
      </c>
      <c r="P463" s="1" t="s">
        <v>2075</v>
      </c>
      <c r="Q463" s="7" t="s">
        <v>2062</v>
      </c>
    </row>
    <row r="464" spans="1:17" ht="14.25" thickBot="1">
      <c r="A464" s="1" t="s">
        <v>496</v>
      </c>
      <c r="B464" s="3">
        <v>1</v>
      </c>
      <c r="C464" s="1" t="s">
        <v>2163</v>
      </c>
      <c r="D464" s="1" t="str">
        <f t="shared" si="12"/>
        <v>胸甲</v>
      </c>
      <c r="E464" s="1">
        <f>INDEX([1]游戏类型定义!$C$20:$C$29,MATCH(D464,[1]!装备部位,0))</f>
        <v>4</v>
      </c>
      <c r="F464" s="1">
        <v>2</v>
      </c>
      <c r="G464" s="1">
        <f t="shared" si="13"/>
        <v>25</v>
      </c>
      <c r="H464" s="10">
        <v>0</v>
      </c>
      <c r="I464" s="1">
        <v>5000</v>
      </c>
      <c r="J464" s="1">
        <v>10</v>
      </c>
      <c r="K464" s="1">
        <v>0</v>
      </c>
      <c r="L464" s="1">
        <v>0</v>
      </c>
      <c r="M464" s="1" t="s">
        <v>1886</v>
      </c>
      <c r="N464" s="1" t="s">
        <v>708</v>
      </c>
      <c r="O464" s="1">
        <v>0</v>
      </c>
      <c r="P464" s="1" t="s">
        <v>2075</v>
      </c>
      <c r="Q464" s="7" t="s">
        <v>2397</v>
      </c>
    </row>
    <row r="465" spans="1:17" ht="14.25" thickBot="1">
      <c r="A465" s="1" t="s">
        <v>497</v>
      </c>
      <c r="B465" s="2">
        <v>0</v>
      </c>
      <c r="C465" s="1" t="s">
        <v>2030</v>
      </c>
      <c r="D465" s="1" t="str">
        <f t="shared" si="12"/>
        <v>胸甲</v>
      </c>
      <c r="E465" s="1">
        <f>INDEX([1]游戏类型定义!$C$20:$C$29,MATCH(D465,[1]!装备部位,0))</f>
        <v>4</v>
      </c>
      <c r="F465" s="1">
        <v>2</v>
      </c>
      <c r="G465" s="1">
        <f t="shared" si="13"/>
        <v>25</v>
      </c>
      <c r="H465" s="10">
        <v>0</v>
      </c>
      <c r="I465" s="1">
        <v>5600</v>
      </c>
      <c r="J465" s="1">
        <v>10</v>
      </c>
      <c r="K465" s="1">
        <v>0</v>
      </c>
      <c r="L465" s="1">
        <v>0</v>
      </c>
      <c r="M465" s="1" t="s">
        <v>1887</v>
      </c>
      <c r="N465" s="1" t="s">
        <v>708</v>
      </c>
      <c r="O465" s="1">
        <v>0</v>
      </c>
      <c r="P465" s="1" t="s">
        <v>2075</v>
      </c>
      <c r="Q465" s="7" t="s">
        <v>2063</v>
      </c>
    </row>
    <row r="466" spans="1:17" ht="14.25" thickBot="1">
      <c r="A466" s="1" t="s">
        <v>498</v>
      </c>
      <c r="B466" s="3">
        <v>1</v>
      </c>
      <c r="C466" s="1" t="s">
        <v>2181</v>
      </c>
      <c r="D466" s="1" t="str">
        <f t="shared" si="12"/>
        <v>护腿</v>
      </c>
      <c r="E466" s="1">
        <f>INDEX([1]游戏类型定义!$C$20:$C$29,MATCH(D466,[1]!装备部位,0))</f>
        <v>7</v>
      </c>
      <c r="F466" s="1">
        <v>2</v>
      </c>
      <c r="G466" s="1">
        <f t="shared" si="13"/>
        <v>25</v>
      </c>
      <c r="H466" s="10">
        <v>0</v>
      </c>
      <c r="I466" s="1">
        <v>5000</v>
      </c>
      <c r="J466" s="1">
        <v>10</v>
      </c>
      <c r="K466" s="1">
        <v>0</v>
      </c>
      <c r="L466" s="1">
        <v>0</v>
      </c>
      <c r="M466" s="1" t="s">
        <v>1888</v>
      </c>
      <c r="N466" s="1" t="s">
        <v>708</v>
      </c>
      <c r="O466" s="1">
        <v>0</v>
      </c>
      <c r="P466" s="1" t="s">
        <v>2075</v>
      </c>
      <c r="Q466" s="7" t="s">
        <v>2398</v>
      </c>
    </row>
    <row r="467" spans="1:17" ht="14.25" thickBot="1">
      <c r="A467" s="1" t="s">
        <v>499</v>
      </c>
      <c r="B467" s="2">
        <v>0</v>
      </c>
      <c r="C467" s="1" t="s">
        <v>2038</v>
      </c>
      <c r="D467" s="1" t="str">
        <f t="shared" si="12"/>
        <v>护腿</v>
      </c>
      <c r="E467" s="1">
        <f>INDEX([1]游戏类型定义!$C$20:$C$29,MATCH(D467,[1]!装备部位,0))</f>
        <v>7</v>
      </c>
      <c r="F467" s="1">
        <v>2</v>
      </c>
      <c r="G467" s="1">
        <f t="shared" si="13"/>
        <v>25</v>
      </c>
      <c r="H467" s="10">
        <v>0</v>
      </c>
      <c r="I467" s="1">
        <v>5600</v>
      </c>
      <c r="J467" s="1">
        <v>10</v>
      </c>
      <c r="K467" s="1">
        <v>0</v>
      </c>
      <c r="L467" s="1">
        <v>0</v>
      </c>
      <c r="M467" s="1" t="s">
        <v>1889</v>
      </c>
      <c r="N467" s="1" t="s">
        <v>708</v>
      </c>
      <c r="O467" s="1">
        <v>0</v>
      </c>
      <c r="P467" s="1" t="s">
        <v>2075</v>
      </c>
      <c r="Q467" s="7" t="s">
        <v>2064</v>
      </c>
    </row>
    <row r="468" spans="1:17" ht="14.25" thickBot="1">
      <c r="A468" s="1" t="s">
        <v>500</v>
      </c>
      <c r="B468" s="3">
        <v>1</v>
      </c>
      <c r="C468" s="1" t="s">
        <v>2099</v>
      </c>
      <c r="D468" s="1" t="str">
        <f t="shared" si="12"/>
        <v>头盔</v>
      </c>
      <c r="E468" s="1">
        <f>INDEX([1]游戏类型定义!$C$20:$C$29,MATCH(D468,[1]!装备部位,0))</f>
        <v>1</v>
      </c>
      <c r="F468" s="1">
        <v>2</v>
      </c>
      <c r="G468" s="1">
        <f t="shared" si="13"/>
        <v>30</v>
      </c>
      <c r="H468" s="10">
        <v>0</v>
      </c>
      <c r="I468" s="1">
        <v>6000</v>
      </c>
      <c r="J468" s="1">
        <v>10</v>
      </c>
      <c r="K468" s="1">
        <v>0</v>
      </c>
      <c r="L468" s="1">
        <v>0</v>
      </c>
      <c r="M468" s="1" t="s">
        <v>1890</v>
      </c>
      <c r="N468" s="1" t="s">
        <v>710</v>
      </c>
      <c r="O468" s="1">
        <v>0</v>
      </c>
      <c r="P468" s="1" t="s">
        <v>2076</v>
      </c>
      <c r="Q468" s="7" t="s">
        <v>2399</v>
      </c>
    </row>
    <row r="469" spans="1:17" ht="14.25" thickBot="1">
      <c r="A469" s="1" t="s">
        <v>501</v>
      </c>
      <c r="B469" s="3">
        <v>1</v>
      </c>
      <c r="C469" s="1" t="s">
        <v>2111</v>
      </c>
      <c r="D469" s="1" t="str">
        <f t="shared" si="12"/>
        <v>戒指</v>
      </c>
      <c r="E469" s="1">
        <f>INDEX([1]游戏类型定义!$C$20:$C$29,MATCH(D469,[1]!装备部位,0))</f>
        <v>2</v>
      </c>
      <c r="F469" s="1">
        <v>2</v>
      </c>
      <c r="G469" s="1">
        <f t="shared" si="13"/>
        <v>30</v>
      </c>
      <c r="H469" s="10">
        <v>0</v>
      </c>
      <c r="I469" s="1">
        <v>6000</v>
      </c>
      <c r="J469" s="1">
        <v>10</v>
      </c>
      <c r="K469" s="1">
        <v>0</v>
      </c>
      <c r="L469" s="1">
        <v>0</v>
      </c>
      <c r="M469" s="1" t="s">
        <v>1891</v>
      </c>
      <c r="N469" s="1" t="s">
        <v>710</v>
      </c>
      <c r="O469" s="1">
        <v>0</v>
      </c>
      <c r="P469" s="1" t="s">
        <v>2076</v>
      </c>
      <c r="Q469" s="7" t="s">
        <v>2400</v>
      </c>
    </row>
    <row r="470" spans="1:17" ht="14.25" thickBot="1">
      <c r="A470" s="1" t="s">
        <v>502</v>
      </c>
      <c r="B470" s="2">
        <v>0</v>
      </c>
      <c r="C470" s="1" t="s">
        <v>2094</v>
      </c>
      <c r="D470" s="1" t="str">
        <f t="shared" si="12"/>
        <v>腰带</v>
      </c>
      <c r="E470" s="1">
        <f>INDEX([1]游戏类型定义!$C$20:$C$29,MATCH(D470,[1]!装备部位,0))</f>
        <v>3</v>
      </c>
      <c r="F470" s="1">
        <v>2</v>
      </c>
      <c r="G470" s="1">
        <f t="shared" si="13"/>
        <v>30</v>
      </c>
      <c r="H470" s="10">
        <v>0</v>
      </c>
      <c r="I470" s="1">
        <v>6000</v>
      </c>
      <c r="J470" s="1">
        <v>10</v>
      </c>
      <c r="K470" s="1">
        <v>0</v>
      </c>
      <c r="L470" s="1">
        <v>0</v>
      </c>
      <c r="M470" s="1" t="s">
        <v>1876</v>
      </c>
      <c r="N470" s="1" t="s">
        <v>710</v>
      </c>
      <c r="O470" s="1">
        <v>0</v>
      </c>
      <c r="P470" s="1" t="s">
        <v>2076</v>
      </c>
      <c r="Q470" s="7" t="s">
        <v>2053</v>
      </c>
    </row>
    <row r="471" spans="1:17" ht="14.25" thickBot="1">
      <c r="A471" s="1" t="s">
        <v>503</v>
      </c>
      <c r="B471" s="3">
        <v>1</v>
      </c>
      <c r="C471" s="1" t="s">
        <v>2123</v>
      </c>
      <c r="D471" s="1" t="str">
        <f t="shared" si="12"/>
        <v>鞋子</v>
      </c>
      <c r="E471" s="1">
        <f>INDEX([1]游戏类型定义!$C$20:$C$29,MATCH(D471,[1]!装备部位,0))</f>
        <v>8</v>
      </c>
      <c r="F471" s="1">
        <v>2</v>
      </c>
      <c r="G471" s="1">
        <f t="shared" si="13"/>
        <v>30</v>
      </c>
      <c r="H471" s="10">
        <v>0</v>
      </c>
      <c r="I471" s="1">
        <v>6000</v>
      </c>
      <c r="J471" s="1">
        <v>10</v>
      </c>
      <c r="K471" s="1">
        <v>0</v>
      </c>
      <c r="L471" s="1">
        <v>0</v>
      </c>
      <c r="M471" s="1" t="s">
        <v>1892</v>
      </c>
      <c r="N471" s="1" t="s">
        <v>710</v>
      </c>
      <c r="O471" s="1">
        <v>0</v>
      </c>
      <c r="P471" s="1" t="s">
        <v>2076</v>
      </c>
      <c r="Q471" s="7" t="s">
        <v>2401</v>
      </c>
    </row>
    <row r="472" spans="1:17" ht="14.25" thickBot="1">
      <c r="A472" s="1" t="s">
        <v>504</v>
      </c>
      <c r="B472" s="3">
        <v>1</v>
      </c>
      <c r="C472" s="1" t="s">
        <v>2135</v>
      </c>
      <c r="D472" s="1" t="str">
        <f t="shared" si="12"/>
        <v>手套</v>
      </c>
      <c r="E472" s="1">
        <f>INDEX([1]游戏类型定义!$C$20:$C$29,MATCH(D472,[1]!装备部位,0))</f>
        <v>9</v>
      </c>
      <c r="F472" s="1">
        <v>2</v>
      </c>
      <c r="G472" s="1">
        <f t="shared" si="13"/>
        <v>30</v>
      </c>
      <c r="H472" s="10">
        <v>0</v>
      </c>
      <c r="I472" s="1">
        <v>6000</v>
      </c>
      <c r="J472" s="1">
        <v>10</v>
      </c>
      <c r="K472" s="1">
        <v>0</v>
      </c>
      <c r="L472" s="1">
        <v>0</v>
      </c>
      <c r="M472" s="1" t="s">
        <v>1893</v>
      </c>
      <c r="N472" s="1" t="s">
        <v>710</v>
      </c>
      <c r="O472" s="1">
        <v>0</v>
      </c>
      <c r="P472" s="1" t="s">
        <v>2076</v>
      </c>
      <c r="Q472" s="7" t="s">
        <v>2402</v>
      </c>
    </row>
    <row r="473" spans="1:17" ht="14.25" thickBot="1">
      <c r="A473" s="1" t="s">
        <v>505</v>
      </c>
      <c r="B473" s="3">
        <v>1</v>
      </c>
      <c r="C473" s="1" t="s">
        <v>2149</v>
      </c>
      <c r="D473" s="1" t="str">
        <f t="shared" si="12"/>
        <v>项链</v>
      </c>
      <c r="E473" s="1">
        <f>INDEX([1]游戏类型定义!$C$20:$C$29,MATCH(D473,[1]!装备部位,0))</f>
        <v>10</v>
      </c>
      <c r="F473" s="1">
        <v>2</v>
      </c>
      <c r="G473" s="1">
        <f t="shared" si="13"/>
        <v>30</v>
      </c>
      <c r="H473" s="10">
        <v>0</v>
      </c>
      <c r="I473" s="1">
        <v>6000</v>
      </c>
      <c r="J473" s="1">
        <v>10</v>
      </c>
      <c r="K473" s="1">
        <v>0</v>
      </c>
      <c r="L473" s="1">
        <v>0</v>
      </c>
      <c r="M473" s="1" t="s">
        <v>1894</v>
      </c>
      <c r="N473" s="1" t="s">
        <v>710</v>
      </c>
      <c r="O473" s="1">
        <v>0</v>
      </c>
      <c r="P473" s="1" t="s">
        <v>2076</v>
      </c>
      <c r="Q473" s="7" t="s">
        <v>2403</v>
      </c>
    </row>
    <row r="474" spans="1:17" ht="14.25" thickBot="1">
      <c r="A474" s="1" t="s">
        <v>506</v>
      </c>
      <c r="B474" s="3">
        <v>1</v>
      </c>
      <c r="C474" s="9" t="s">
        <v>2313</v>
      </c>
      <c r="D474" s="1" t="str">
        <f t="shared" si="12"/>
        <v>主手武器</v>
      </c>
      <c r="E474" s="1">
        <f>INDEX([1]游戏类型定义!$C$20:$C$29,MATCH(D474,[1]!装备部位,0))</f>
        <v>5</v>
      </c>
      <c r="F474" s="1">
        <v>2</v>
      </c>
      <c r="G474" s="1">
        <f t="shared" si="13"/>
        <v>30</v>
      </c>
      <c r="H474" s="10" t="s">
        <v>2320</v>
      </c>
      <c r="I474" s="1">
        <v>6000</v>
      </c>
      <c r="J474" s="1">
        <v>10</v>
      </c>
      <c r="K474" s="1">
        <v>0</v>
      </c>
      <c r="L474" s="1">
        <v>0</v>
      </c>
      <c r="M474" s="1" t="s">
        <v>1895</v>
      </c>
      <c r="N474" s="1" t="s">
        <v>711</v>
      </c>
      <c r="O474" s="1">
        <v>0</v>
      </c>
      <c r="P474" s="1" t="s">
        <v>2076</v>
      </c>
      <c r="Q474" s="7" t="s">
        <v>2404</v>
      </c>
    </row>
    <row r="475" spans="1:17" ht="14.25" thickBot="1">
      <c r="A475" s="1" t="s">
        <v>507</v>
      </c>
      <c r="B475" s="3">
        <v>1</v>
      </c>
      <c r="C475" s="9" t="s">
        <v>2235</v>
      </c>
      <c r="D475" s="1" t="str">
        <f t="shared" si="12"/>
        <v>主手武器</v>
      </c>
      <c r="E475" s="1">
        <f>INDEX([1]游戏类型定义!$C$20:$C$29,MATCH(D475,[1]!装备部位,0))</f>
        <v>5</v>
      </c>
      <c r="F475" s="1">
        <v>2</v>
      </c>
      <c r="G475" s="1">
        <f t="shared" si="13"/>
        <v>30</v>
      </c>
      <c r="H475" s="10" t="s">
        <v>2320</v>
      </c>
      <c r="I475" s="1">
        <v>6600</v>
      </c>
      <c r="J475" s="1">
        <v>10</v>
      </c>
      <c r="K475" s="1">
        <v>0</v>
      </c>
      <c r="L475" s="1">
        <v>0</v>
      </c>
      <c r="M475" s="1" t="s">
        <v>2021</v>
      </c>
      <c r="N475" s="1" t="s">
        <v>711</v>
      </c>
      <c r="O475" s="1">
        <v>0</v>
      </c>
      <c r="P475" s="1" t="s">
        <v>2076</v>
      </c>
      <c r="Q475" s="7" t="s">
        <v>2405</v>
      </c>
    </row>
    <row r="476" spans="1:17" ht="14.25" thickBot="1">
      <c r="A476" s="1" t="s">
        <v>508</v>
      </c>
      <c r="B476" s="3">
        <v>1</v>
      </c>
      <c r="C476" s="9" t="s">
        <v>2236</v>
      </c>
      <c r="D476" s="1" t="str">
        <f t="shared" ref="D476:D495" si="14">D146</f>
        <v>副手武器</v>
      </c>
      <c r="E476" s="1">
        <f>INDEX([1]游戏类型定义!$C$20:$C$29,MATCH(D476,[1]!装备部位,0))</f>
        <v>6</v>
      </c>
      <c r="F476" s="1">
        <v>2</v>
      </c>
      <c r="G476" s="1">
        <f t="shared" ref="G476:G495" si="15">G146</f>
        <v>30</v>
      </c>
      <c r="H476" s="10" t="s">
        <v>2320</v>
      </c>
      <c r="I476" s="1">
        <v>6000</v>
      </c>
      <c r="J476" s="1">
        <v>10</v>
      </c>
      <c r="K476" s="1">
        <v>0</v>
      </c>
      <c r="L476" s="1">
        <v>0</v>
      </c>
      <c r="M476" s="1" t="s">
        <v>1896</v>
      </c>
      <c r="N476" s="1" t="s">
        <v>711</v>
      </c>
      <c r="O476" s="1">
        <v>0</v>
      </c>
      <c r="P476" s="1" t="s">
        <v>2076</v>
      </c>
      <c r="Q476" s="7" t="s">
        <v>2406</v>
      </c>
    </row>
    <row r="477" spans="1:17" ht="14.25" thickBot="1">
      <c r="A477" s="1" t="s">
        <v>509</v>
      </c>
      <c r="B477" s="2">
        <v>0</v>
      </c>
      <c r="C477" s="9" t="s">
        <v>2237</v>
      </c>
      <c r="D477" s="1" t="str">
        <f t="shared" si="14"/>
        <v>副手武器</v>
      </c>
      <c r="E477" s="1">
        <f>INDEX([1]游戏类型定义!$C$20:$C$29,MATCH(D477,[1]!装备部位,0))</f>
        <v>6</v>
      </c>
      <c r="F477" s="1">
        <v>2</v>
      </c>
      <c r="G477" s="1">
        <f t="shared" si="15"/>
        <v>30</v>
      </c>
      <c r="H477" s="10" t="s">
        <v>2320</v>
      </c>
      <c r="I477" s="1">
        <v>6600</v>
      </c>
      <c r="J477" s="1">
        <v>10</v>
      </c>
      <c r="K477" s="1">
        <v>0</v>
      </c>
      <c r="L477" s="1">
        <v>0</v>
      </c>
      <c r="M477" s="1" t="s">
        <v>1897</v>
      </c>
      <c r="N477" s="1" t="s">
        <v>711</v>
      </c>
      <c r="O477" s="1">
        <v>0</v>
      </c>
      <c r="P477" s="1" t="s">
        <v>2076</v>
      </c>
      <c r="Q477" s="7" t="s">
        <v>2407</v>
      </c>
    </row>
    <row r="478" spans="1:17" ht="14.25" thickBot="1">
      <c r="A478" s="1" t="s">
        <v>510</v>
      </c>
      <c r="B478" s="3">
        <v>1</v>
      </c>
      <c r="C478" s="1" t="s">
        <v>2239</v>
      </c>
      <c r="D478" s="1" t="str">
        <f t="shared" si="14"/>
        <v>主手武器</v>
      </c>
      <c r="E478" s="1">
        <f>INDEX([1]游戏类型定义!$C$20:$C$29,MATCH(D478,[1]!装备部位,0))</f>
        <v>5</v>
      </c>
      <c r="F478" s="1">
        <v>2</v>
      </c>
      <c r="G478" s="1">
        <f t="shared" si="15"/>
        <v>30</v>
      </c>
      <c r="H478" s="10" t="s">
        <v>2321</v>
      </c>
      <c r="I478" s="1">
        <v>6000</v>
      </c>
      <c r="J478" s="1">
        <v>10</v>
      </c>
      <c r="K478" s="1">
        <v>0</v>
      </c>
      <c r="L478" s="1">
        <v>0</v>
      </c>
      <c r="M478" s="1" t="s">
        <v>1895</v>
      </c>
      <c r="N478" s="1" t="s">
        <v>711</v>
      </c>
      <c r="O478" s="1">
        <v>0</v>
      </c>
      <c r="P478" s="1" t="s">
        <v>2076</v>
      </c>
      <c r="Q478" s="7" t="s">
        <v>2408</v>
      </c>
    </row>
    <row r="479" spans="1:17" ht="14.25" thickBot="1">
      <c r="A479" s="1" t="s">
        <v>511</v>
      </c>
      <c r="B479" s="3">
        <v>1</v>
      </c>
      <c r="C479" s="1" t="s">
        <v>2238</v>
      </c>
      <c r="D479" s="1" t="str">
        <f t="shared" si="14"/>
        <v>主手武器</v>
      </c>
      <c r="E479" s="1">
        <f>INDEX([1]游戏类型定义!$C$20:$C$29,MATCH(D479,[1]!装备部位,0))</f>
        <v>5</v>
      </c>
      <c r="F479" s="1">
        <v>2</v>
      </c>
      <c r="G479" s="1">
        <f t="shared" si="15"/>
        <v>30</v>
      </c>
      <c r="H479" s="10" t="s">
        <v>2321</v>
      </c>
      <c r="I479" s="1">
        <v>6600</v>
      </c>
      <c r="J479" s="1">
        <v>10</v>
      </c>
      <c r="K479" s="1">
        <v>0</v>
      </c>
      <c r="L479" s="1">
        <v>0</v>
      </c>
      <c r="M479" s="1" t="s">
        <v>2021</v>
      </c>
      <c r="N479" s="1" t="s">
        <v>711</v>
      </c>
      <c r="O479" s="1">
        <v>0</v>
      </c>
      <c r="P479" s="1" t="s">
        <v>2076</v>
      </c>
      <c r="Q479" s="7" t="s">
        <v>2409</v>
      </c>
    </row>
    <row r="480" spans="1:17" ht="14.25" thickBot="1">
      <c r="A480" s="1" t="s">
        <v>512</v>
      </c>
      <c r="B480" s="3">
        <v>1</v>
      </c>
      <c r="C480" s="9" t="s">
        <v>2240</v>
      </c>
      <c r="D480" s="1" t="str">
        <f t="shared" si="14"/>
        <v>副手武器</v>
      </c>
      <c r="E480" s="1">
        <f>INDEX([1]游戏类型定义!$C$20:$C$29,MATCH(D480,[1]!装备部位,0))</f>
        <v>6</v>
      </c>
      <c r="F480" s="1">
        <v>2</v>
      </c>
      <c r="G480" s="1">
        <f t="shared" si="15"/>
        <v>30</v>
      </c>
      <c r="H480" s="10" t="s">
        <v>2321</v>
      </c>
      <c r="I480" s="1">
        <v>6000</v>
      </c>
      <c r="J480" s="1">
        <v>10</v>
      </c>
      <c r="K480" s="1">
        <v>0</v>
      </c>
      <c r="L480" s="1">
        <v>0</v>
      </c>
      <c r="M480" s="1" t="s">
        <v>1898</v>
      </c>
      <c r="N480" s="1" t="s">
        <v>711</v>
      </c>
      <c r="O480" s="1">
        <v>0</v>
      </c>
      <c r="P480" s="1" t="s">
        <v>2076</v>
      </c>
      <c r="Q480" s="7" t="s">
        <v>2410</v>
      </c>
    </row>
    <row r="481" spans="1:17" ht="14.25" thickBot="1">
      <c r="A481" s="1" t="s">
        <v>513</v>
      </c>
      <c r="B481" s="2">
        <v>0</v>
      </c>
      <c r="C481" s="9" t="s">
        <v>2241</v>
      </c>
      <c r="D481" s="1" t="str">
        <f t="shared" si="14"/>
        <v>副手武器</v>
      </c>
      <c r="E481" s="1">
        <f>INDEX([1]游戏类型定义!$C$20:$C$29,MATCH(D481,[1]!装备部位,0))</f>
        <v>6</v>
      </c>
      <c r="F481" s="1">
        <v>2</v>
      </c>
      <c r="G481" s="1">
        <f t="shared" si="15"/>
        <v>30</v>
      </c>
      <c r="H481" s="10" t="s">
        <v>2321</v>
      </c>
      <c r="I481" s="1">
        <v>6600</v>
      </c>
      <c r="J481" s="1">
        <v>10</v>
      </c>
      <c r="K481" s="1">
        <v>0</v>
      </c>
      <c r="L481" s="1">
        <v>0</v>
      </c>
      <c r="M481" s="1" t="s">
        <v>1899</v>
      </c>
      <c r="N481" s="1" t="s">
        <v>711</v>
      </c>
      <c r="O481" s="1">
        <v>0</v>
      </c>
      <c r="P481" s="1" t="s">
        <v>2076</v>
      </c>
      <c r="Q481" s="7" t="s">
        <v>2411</v>
      </c>
    </row>
    <row r="482" spans="1:17" ht="14.25" thickBot="1">
      <c r="A482" s="1" t="s">
        <v>514</v>
      </c>
      <c r="B482" s="3">
        <v>1</v>
      </c>
      <c r="C482" s="9" t="s">
        <v>2232</v>
      </c>
      <c r="D482" s="1" t="str">
        <f t="shared" si="14"/>
        <v>主手武器</v>
      </c>
      <c r="E482" s="1">
        <f>INDEX([1]游戏类型定义!$C$20:$C$29,MATCH(D482,[1]!装备部位,0))</f>
        <v>5</v>
      </c>
      <c r="F482" s="1">
        <v>2</v>
      </c>
      <c r="G482" s="1">
        <f t="shared" si="15"/>
        <v>30</v>
      </c>
      <c r="H482" s="10" t="s">
        <v>2322</v>
      </c>
      <c r="I482" s="1">
        <v>6000</v>
      </c>
      <c r="J482" s="1">
        <v>10</v>
      </c>
      <c r="K482" s="1">
        <v>0</v>
      </c>
      <c r="L482" s="1">
        <v>0</v>
      </c>
      <c r="M482" s="1" t="s">
        <v>1895</v>
      </c>
      <c r="N482" s="1" t="s">
        <v>711</v>
      </c>
      <c r="O482" s="1">
        <v>0</v>
      </c>
      <c r="P482" s="1" t="s">
        <v>2076</v>
      </c>
      <c r="Q482" s="7" t="s">
        <v>2395</v>
      </c>
    </row>
    <row r="483" spans="1:17" ht="14.25" thickBot="1">
      <c r="A483" s="1" t="s">
        <v>515</v>
      </c>
      <c r="B483" s="3">
        <v>1</v>
      </c>
      <c r="C483" s="9" t="s">
        <v>2251</v>
      </c>
      <c r="D483" s="1" t="str">
        <f t="shared" si="14"/>
        <v>主手武器</v>
      </c>
      <c r="E483" s="1">
        <f>INDEX([1]游戏类型定义!$C$20:$C$29,MATCH(D483,[1]!装备部位,0))</f>
        <v>5</v>
      </c>
      <c r="F483" s="1">
        <v>2</v>
      </c>
      <c r="G483" s="1">
        <f t="shared" si="15"/>
        <v>30</v>
      </c>
      <c r="H483" s="10" t="s">
        <v>2322</v>
      </c>
      <c r="I483" s="1">
        <v>6600</v>
      </c>
      <c r="J483" s="1">
        <v>10</v>
      </c>
      <c r="K483" s="1">
        <v>0</v>
      </c>
      <c r="L483" s="1">
        <v>0</v>
      </c>
      <c r="M483" s="1" t="s">
        <v>2021</v>
      </c>
      <c r="N483" s="1" t="s">
        <v>711</v>
      </c>
      <c r="O483" s="1">
        <v>0</v>
      </c>
      <c r="P483" s="1" t="s">
        <v>2076</v>
      </c>
      <c r="Q483" s="7" t="s">
        <v>2412</v>
      </c>
    </row>
    <row r="484" spans="1:17" ht="14.25" thickBot="1">
      <c r="A484" s="1" t="s">
        <v>516</v>
      </c>
      <c r="B484" s="3">
        <v>1</v>
      </c>
      <c r="C484" s="9" t="s">
        <v>2243</v>
      </c>
      <c r="D484" s="1" t="str">
        <f t="shared" si="14"/>
        <v>副手武器</v>
      </c>
      <c r="E484" s="1">
        <f>INDEX([1]游戏类型定义!$C$20:$C$29,MATCH(D484,[1]!装备部位,0))</f>
        <v>6</v>
      </c>
      <c r="F484" s="1">
        <v>2</v>
      </c>
      <c r="G484" s="1">
        <f t="shared" si="15"/>
        <v>30</v>
      </c>
      <c r="H484" s="10" t="s">
        <v>2322</v>
      </c>
      <c r="I484" s="1">
        <v>6000</v>
      </c>
      <c r="J484" s="1">
        <v>10</v>
      </c>
      <c r="K484" s="1">
        <v>0</v>
      </c>
      <c r="L484" s="1">
        <v>0</v>
      </c>
      <c r="M484" s="1" t="s">
        <v>1900</v>
      </c>
      <c r="N484" s="1" t="s">
        <v>711</v>
      </c>
      <c r="O484" s="1">
        <v>0</v>
      </c>
      <c r="P484" s="1" t="s">
        <v>2076</v>
      </c>
      <c r="Q484" s="7" t="s">
        <v>2413</v>
      </c>
    </row>
    <row r="485" spans="1:17" ht="14.25" thickBot="1">
      <c r="A485" s="1" t="s">
        <v>517</v>
      </c>
      <c r="B485" s="2">
        <v>0</v>
      </c>
      <c r="C485" s="9" t="s">
        <v>2244</v>
      </c>
      <c r="D485" s="1" t="str">
        <f t="shared" si="14"/>
        <v>副手武器</v>
      </c>
      <c r="E485" s="1">
        <f>INDEX([1]游戏类型定义!$C$20:$C$29,MATCH(D485,[1]!装备部位,0))</f>
        <v>6</v>
      </c>
      <c r="F485" s="1">
        <v>2</v>
      </c>
      <c r="G485" s="1">
        <f t="shared" si="15"/>
        <v>30</v>
      </c>
      <c r="H485" s="10" t="s">
        <v>2322</v>
      </c>
      <c r="I485" s="1">
        <v>6600</v>
      </c>
      <c r="J485" s="1">
        <v>10</v>
      </c>
      <c r="K485" s="1">
        <v>0</v>
      </c>
      <c r="L485" s="1">
        <v>0</v>
      </c>
      <c r="M485" s="1" t="s">
        <v>1901</v>
      </c>
      <c r="N485" s="1" t="s">
        <v>711</v>
      </c>
      <c r="O485" s="1">
        <v>0</v>
      </c>
      <c r="P485" s="1" t="s">
        <v>2076</v>
      </c>
      <c r="Q485" s="7" t="s">
        <v>2414</v>
      </c>
    </row>
    <row r="486" spans="1:17" ht="14.25" thickBot="1">
      <c r="A486" s="1" t="s">
        <v>518</v>
      </c>
      <c r="B486" s="3">
        <v>1</v>
      </c>
      <c r="C486" s="1" t="s">
        <v>2164</v>
      </c>
      <c r="D486" s="1" t="str">
        <f t="shared" si="14"/>
        <v>胸甲</v>
      </c>
      <c r="E486" s="1">
        <f>INDEX([1]游戏类型定义!$C$20:$C$29,MATCH(D486,[1]!装备部位,0))</f>
        <v>4</v>
      </c>
      <c r="F486" s="1">
        <v>2</v>
      </c>
      <c r="G486" s="1">
        <f t="shared" si="15"/>
        <v>30</v>
      </c>
      <c r="H486" s="10">
        <v>0</v>
      </c>
      <c r="I486" s="1">
        <v>6000</v>
      </c>
      <c r="J486" s="1">
        <v>10</v>
      </c>
      <c r="K486" s="1">
        <v>0</v>
      </c>
      <c r="L486" s="1">
        <v>0</v>
      </c>
      <c r="M486" s="1" t="s">
        <v>1902</v>
      </c>
      <c r="N486" s="1" t="s">
        <v>710</v>
      </c>
      <c r="O486" s="1">
        <v>0</v>
      </c>
      <c r="P486" s="1" t="s">
        <v>2076</v>
      </c>
      <c r="Q486" s="7" t="s">
        <v>2415</v>
      </c>
    </row>
    <row r="487" spans="1:17" ht="14.25" thickBot="1">
      <c r="A487" s="1" t="s">
        <v>519</v>
      </c>
      <c r="B487" s="3">
        <v>1</v>
      </c>
      <c r="C487" s="1" t="s">
        <v>2165</v>
      </c>
      <c r="D487" s="1" t="str">
        <f t="shared" si="14"/>
        <v>胸甲</v>
      </c>
      <c r="E487" s="1">
        <f>INDEX([1]游戏类型定义!$C$20:$C$29,MATCH(D487,[1]!装备部位,0))</f>
        <v>4</v>
      </c>
      <c r="F487" s="1">
        <v>2</v>
      </c>
      <c r="G487" s="1">
        <f t="shared" si="15"/>
        <v>30</v>
      </c>
      <c r="H487" s="10">
        <v>0</v>
      </c>
      <c r="I487" s="1">
        <v>6600</v>
      </c>
      <c r="J487" s="1">
        <v>10</v>
      </c>
      <c r="K487" s="1">
        <v>0</v>
      </c>
      <c r="L487" s="1">
        <v>0</v>
      </c>
      <c r="M487" s="1" t="s">
        <v>1903</v>
      </c>
      <c r="N487" s="1" t="s">
        <v>710</v>
      </c>
      <c r="O487" s="1">
        <v>0</v>
      </c>
      <c r="P487" s="1" t="s">
        <v>2076</v>
      </c>
      <c r="Q487" s="7" t="s">
        <v>2416</v>
      </c>
    </row>
    <row r="488" spans="1:17" ht="14.25" thickBot="1">
      <c r="A488" s="1" t="s">
        <v>520</v>
      </c>
      <c r="B488" s="3">
        <v>1</v>
      </c>
      <c r="C488" s="1" t="s">
        <v>2182</v>
      </c>
      <c r="D488" s="1" t="str">
        <f t="shared" si="14"/>
        <v>护腿</v>
      </c>
      <c r="E488" s="1">
        <f>INDEX([1]游戏类型定义!$C$20:$C$29,MATCH(D488,[1]!装备部位,0))</f>
        <v>7</v>
      </c>
      <c r="F488" s="1">
        <v>2</v>
      </c>
      <c r="G488" s="1">
        <f t="shared" si="15"/>
        <v>30</v>
      </c>
      <c r="H488" s="10">
        <v>0</v>
      </c>
      <c r="I488" s="1">
        <v>6000</v>
      </c>
      <c r="J488" s="1">
        <v>10</v>
      </c>
      <c r="K488" s="1">
        <v>0</v>
      </c>
      <c r="L488" s="1">
        <v>0</v>
      </c>
      <c r="M488" s="1" t="s">
        <v>1902</v>
      </c>
      <c r="N488" s="1" t="s">
        <v>710</v>
      </c>
      <c r="O488" s="1">
        <v>0</v>
      </c>
      <c r="P488" s="1" t="s">
        <v>2076</v>
      </c>
      <c r="Q488" s="7" t="s">
        <v>2417</v>
      </c>
    </row>
    <row r="489" spans="1:17" ht="14.25" thickBot="1">
      <c r="A489" s="1" t="s">
        <v>521</v>
      </c>
      <c r="B489" s="3">
        <v>1</v>
      </c>
      <c r="C489" s="1" t="s">
        <v>2183</v>
      </c>
      <c r="D489" s="1" t="str">
        <f t="shared" si="14"/>
        <v>护腿</v>
      </c>
      <c r="E489" s="1">
        <f>INDEX([1]游戏类型定义!$C$20:$C$29,MATCH(D489,[1]!装备部位,0))</f>
        <v>7</v>
      </c>
      <c r="F489" s="1">
        <v>2</v>
      </c>
      <c r="G489" s="1">
        <f t="shared" si="15"/>
        <v>30</v>
      </c>
      <c r="H489" s="10">
        <v>0</v>
      </c>
      <c r="I489" s="1">
        <v>6600</v>
      </c>
      <c r="J489" s="1">
        <v>10</v>
      </c>
      <c r="K489" s="1">
        <v>0</v>
      </c>
      <c r="L489" s="1">
        <v>0</v>
      </c>
      <c r="M489" s="1" t="s">
        <v>1903</v>
      </c>
      <c r="N489" s="1" t="s">
        <v>710</v>
      </c>
      <c r="O489" s="1">
        <v>0</v>
      </c>
      <c r="P489" s="1" t="s">
        <v>2076</v>
      </c>
      <c r="Q489" s="7" t="s">
        <v>2418</v>
      </c>
    </row>
    <row r="490" spans="1:17" ht="14.25" thickBot="1">
      <c r="A490" s="1" t="s">
        <v>522</v>
      </c>
      <c r="B490" s="3">
        <v>1</v>
      </c>
      <c r="C490" s="1" t="s">
        <v>2100</v>
      </c>
      <c r="D490" s="1" t="str">
        <f t="shared" si="14"/>
        <v>头盔</v>
      </c>
      <c r="E490" s="1">
        <f>INDEX([1]游戏类型定义!$C$20:$C$29,MATCH(D490,[1]!装备部位,0))</f>
        <v>1</v>
      </c>
      <c r="F490" s="1">
        <v>2</v>
      </c>
      <c r="G490" s="1">
        <f t="shared" si="15"/>
        <v>35</v>
      </c>
      <c r="H490" s="10">
        <v>0</v>
      </c>
      <c r="I490" s="1">
        <v>7000</v>
      </c>
      <c r="J490" s="1">
        <v>10</v>
      </c>
      <c r="K490" s="1">
        <v>0</v>
      </c>
      <c r="L490" s="1">
        <v>0</v>
      </c>
      <c r="M490" s="1" t="s">
        <v>1904</v>
      </c>
      <c r="N490" s="1" t="s">
        <v>712</v>
      </c>
      <c r="O490" s="1">
        <v>0</v>
      </c>
      <c r="P490" s="1" t="s">
        <v>2077</v>
      </c>
      <c r="Q490" s="7" t="s">
        <v>2419</v>
      </c>
    </row>
    <row r="491" spans="1:17" ht="14.25" thickBot="1">
      <c r="A491" s="1" t="s">
        <v>523</v>
      </c>
      <c r="B491" s="3">
        <v>1</v>
      </c>
      <c r="C491" s="1" t="s">
        <v>2113</v>
      </c>
      <c r="D491" s="1" t="str">
        <f t="shared" si="14"/>
        <v>戒指</v>
      </c>
      <c r="E491" s="1">
        <f>INDEX([1]游戏类型定义!$C$20:$C$29,MATCH(D491,[1]!装备部位,0))</f>
        <v>2</v>
      </c>
      <c r="F491" s="1">
        <v>2</v>
      </c>
      <c r="G491" s="1">
        <f t="shared" si="15"/>
        <v>35</v>
      </c>
      <c r="H491" s="10">
        <v>0</v>
      </c>
      <c r="I491" s="1">
        <v>7000</v>
      </c>
      <c r="J491" s="1">
        <v>10</v>
      </c>
      <c r="K491" s="1">
        <v>0</v>
      </c>
      <c r="L491" s="1">
        <v>0</v>
      </c>
      <c r="M491" s="1" t="s">
        <v>1905</v>
      </c>
      <c r="N491" s="1" t="s">
        <v>712</v>
      </c>
      <c r="O491" s="1">
        <v>0</v>
      </c>
      <c r="P491" s="1" t="s">
        <v>2077</v>
      </c>
      <c r="Q491" s="7" t="s">
        <v>2420</v>
      </c>
    </row>
    <row r="492" spans="1:17" ht="14.25" thickBot="1">
      <c r="A492" s="1" t="s">
        <v>524</v>
      </c>
      <c r="B492" s="3">
        <v>1</v>
      </c>
      <c r="C492" s="1" t="s">
        <v>2091</v>
      </c>
      <c r="D492" s="1" t="str">
        <f t="shared" si="14"/>
        <v>腰带</v>
      </c>
      <c r="E492" s="1">
        <f>INDEX([1]游戏类型定义!$C$20:$C$29,MATCH(D492,[1]!装备部位,0))</f>
        <v>3</v>
      </c>
      <c r="F492" s="1">
        <v>2</v>
      </c>
      <c r="G492" s="1">
        <f t="shared" si="15"/>
        <v>35</v>
      </c>
      <c r="H492" s="10">
        <v>0</v>
      </c>
      <c r="I492" s="1">
        <v>7000</v>
      </c>
      <c r="J492" s="1">
        <v>10</v>
      </c>
      <c r="K492" s="1">
        <v>0</v>
      </c>
      <c r="L492" s="1">
        <v>0</v>
      </c>
      <c r="M492" s="1" t="s">
        <v>1906</v>
      </c>
      <c r="N492" s="1" t="s">
        <v>712</v>
      </c>
      <c r="O492" s="1">
        <v>0</v>
      </c>
      <c r="P492" s="1" t="s">
        <v>2077</v>
      </c>
      <c r="Q492" s="7" t="s">
        <v>2421</v>
      </c>
    </row>
    <row r="493" spans="1:17" ht="14.25" thickBot="1">
      <c r="A493" s="1" t="s">
        <v>525</v>
      </c>
      <c r="B493" s="3">
        <v>1</v>
      </c>
      <c r="C493" s="1" t="s">
        <v>2124</v>
      </c>
      <c r="D493" s="1" t="str">
        <f t="shared" si="14"/>
        <v>鞋子</v>
      </c>
      <c r="E493" s="1">
        <f>INDEX([1]游戏类型定义!$C$20:$C$29,MATCH(D493,[1]!装备部位,0))</f>
        <v>8</v>
      </c>
      <c r="F493" s="1">
        <v>2</v>
      </c>
      <c r="G493" s="1">
        <f t="shared" si="15"/>
        <v>35</v>
      </c>
      <c r="H493" s="10">
        <v>0</v>
      </c>
      <c r="I493" s="1">
        <v>7000</v>
      </c>
      <c r="J493" s="1">
        <v>10</v>
      </c>
      <c r="K493" s="1">
        <v>0</v>
      </c>
      <c r="L493" s="1">
        <v>0</v>
      </c>
      <c r="M493" s="1" t="s">
        <v>1907</v>
      </c>
      <c r="N493" s="1" t="s">
        <v>712</v>
      </c>
      <c r="O493" s="1">
        <v>0</v>
      </c>
      <c r="P493" s="1" t="s">
        <v>2077</v>
      </c>
      <c r="Q493" s="7" t="s">
        <v>2422</v>
      </c>
    </row>
    <row r="494" spans="1:17" ht="14.25" thickBot="1">
      <c r="A494" s="1" t="s">
        <v>526</v>
      </c>
      <c r="B494" s="3">
        <v>1</v>
      </c>
      <c r="C494" s="1" t="s">
        <v>2136</v>
      </c>
      <c r="D494" s="1" t="str">
        <f t="shared" si="14"/>
        <v>手套</v>
      </c>
      <c r="E494" s="1">
        <f>INDEX([1]游戏类型定义!$C$20:$C$29,MATCH(D494,[1]!装备部位,0))</f>
        <v>9</v>
      </c>
      <c r="F494" s="1">
        <v>2</v>
      </c>
      <c r="G494" s="1">
        <f t="shared" si="15"/>
        <v>35</v>
      </c>
      <c r="H494" s="10">
        <v>0</v>
      </c>
      <c r="I494" s="1">
        <v>7000</v>
      </c>
      <c r="J494" s="1">
        <v>10</v>
      </c>
      <c r="K494" s="1">
        <v>0</v>
      </c>
      <c r="L494" s="1">
        <v>0</v>
      </c>
      <c r="M494" s="1" t="s">
        <v>1908</v>
      </c>
      <c r="N494" s="1" t="s">
        <v>712</v>
      </c>
      <c r="O494" s="1">
        <v>0</v>
      </c>
      <c r="P494" s="1" t="s">
        <v>2077</v>
      </c>
      <c r="Q494" s="7" t="s">
        <v>2423</v>
      </c>
    </row>
    <row r="495" spans="1:17" ht="14.25" thickBot="1">
      <c r="A495" s="1" t="s">
        <v>527</v>
      </c>
      <c r="B495" s="3">
        <v>1</v>
      </c>
      <c r="C495" s="1" t="s">
        <v>2150</v>
      </c>
      <c r="D495" s="1" t="str">
        <f t="shared" si="14"/>
        <v>项链</v>
      </c>
      <c r="E495" s="1">
        <f>INDEX([1]游戏类型定义!$C$20:$C$29,MATCH(D495,[1]!装备部位,0))</f>
        <v>10</v>
      </c>
      <c r="F495" s="1">
        <v>2</v>
      </c>
      <c r="G495" s="1">
        <f t="shared" si="15"/>
        <v>35</v>
      </c>
      <c r="H495" s="10">
        <v>0</v>
      </c>
      <c r="I495" s="1">
        <v>7000</v>
      </c>
      <c r="J495" s="1">
        <v>10</v>
      </c>
      <c r="K495" s="1">
        <v>0</v>
      </c>
      <c r="L495" s="1">
        <v>0</v>
      </c>
      <c r="M495" s="1" t="s">
        <v>1909</v>
      </c>
      <c r="N495" s="1" t="s">
        <v>712</v>
      </c>
      <c r="O495" s="1">
        <v>0</v>
      </c>
      <c r="P495" s="1" t="s">
        <v>2077</v>
      </c>
      <c r="Q495" s="7" t="s">
        <v>2424</v>
      </c>
    </row>
    <row r="496" spans="1:17" ht="14.25" thickBot="1">
      <c r="A496" s="1" t="s">
        <v>528</v>
      </c>
      <c r="B496" s="3">
        <v>1</v>
      </c>
      <c r="C496" s="9" t="s">
        <v>2245</v>
      </c>
      <c r="D496" s="1" t="str">
        <f t="shared" ref="D496:D515" si="16">D166</f>
        <v>主手武器</v>
      </c>
      <c r="E496" s="1">
        <f>INDEX([1]游戏类型定义!$C$20:$C$29,MATCH(D496,[1]!装备部位,0))</f>
        <v>5</v>
      </c>
      <c r="F496" s="1">
        <v>2</v>
      </c>
      <c r="G496" s="1">
        <f t="shared" ref="G496:G515" si="17">G166</f>
        <v>35</v>
      </c>
      <c r="H496" s="10" t="s">
        <v>2320</v>
      </c>
      <c r="I496" s="1">
        <v>7000</v>
      </c>
      <c r="J496" s="1">
        <v>10</v>
      </c>
      <c r="K496" s="1">
        <v>0</v>
      </c>
      <c r="L496" s="1">
        <v>0</v>
      </c>
      <c r="M496" s="1" t="s">
        <v>1910</v>
      </c>
      <c r="N496" s="1" t="s">
        <v>713</v>
      </c>
      <c r="O496" s="1">
        <v>0</v>
      </c>
      <c r="P496" s="1" t="s">
        <v>2077</v>
      </c>
      <c r="Q496" s="7" t="s">
        <v>2425</v>
      </c>
    </row>
    <row r="497" spans="1:17" ht="14.25" thickBot="1">
      <c r="A497" s="1" t="s">
        <v>529</v>
      </c>
      <c r="B497" s="2">
        <v>0</v>
      </c>
      <c r="C497" s="9" t="s">
        <v>2046</v>
      </c>
      <c r="D497" s="1" t="str">
        <f t="shared" si="16"/>
        <v>主手武器</v>
      </c>
      <c r="E497" s="1">
        <f>INDEX([1]游戏类型定义!$C$20:$C$29,MATCH(D497,[1]!装备部位,0))</f>
        <v>5</v>
      </c>
      <c r="F497" s="1">
        <v>2</v>
      </c>
      <c r="G497" s="1">
        <f t="shared" si="17"/>
        <v>35</v>
      </c>
      <c r="H497" s="10" t="s">
        <v>2320</v>
      </c>
      <c r="I497" s="1">
        <v>7600</v>
      </c>
      <c r="J497" s="1">
        <v>10</v>
      </c>
      <c r="K497" s="1">
        <v>0</v>
      </c>
      <c r="L497" s="1">
        <v>0</v>
      </c>
      <c r="M497" s="1" t="s">
        <v>2022</v>
      </c>
      <c r="N497" s="1" t="s">
        <v>713</v>
      </c>
      <c r="O497" s="1">
        <v>0</v>
      </c>
      <c r="P497" s="1" t="s">
        <v>2077</v>
      </c>
      <c r="Q497" s="7" t="s">
        <v>2057</v>
      </c>
    </row>
    <row r="498" spans="1:17" ht="14.25" thickBot="1">
      <c r="A498" s="1" t="s">
        <v>530</v>
      </c>
      <c r="B498" s="3">
        <v>1</v>
      </c>
      <c r="C498" s="9" t="s">
        <v>2246</v>
      </c>
      <c r="D498" s="1" t="str">
        <f t="shared" si="16"/>
        <v>副手武器</v>
      </c>
      <c r="E498" s="1">
        <f>INDEX([1]游戏类型定义!$C$20:$C$29,MATCH(D498,[1]!装备部位,0))</f>
        <v>6</v>
      </c>
      <c r="F498" s="1">
        <v>2</v>
      </c>
      <c r="G498" s="1">
        <f t="shared" si="17"/>
        <v>35</v>
      </c>
      <c r="H498" s="10" t="s">
        <v>2320</v>
      </c>
      <c r="I498" s="1">
        <v>7000</v>
      </c>
      <c r="J498" s="1">
        <v>10</v>
      </c>
      <c r="K498" s="1">
        <v>0</v>
      </c>
      <c r="L498" s="1">
        <v>0</v>
      </c>
      <c r="M498" s="1" t="s">
        <v>1911</v>
      </c>
      <c r="N498" s="1" t="s">
        <v>713</v>
      </c>
      <c r="O498" s="1">
        <v>0</v>
      </c>
      <c r="P498" s="1" t="s">
        <v>2077</v>
      </c>
      <c r="Q498" s="7" t="s">
        <v>2407</v>
      </c>
    </row>
    <row r="499" spans="1:17" ht="14.25" thickBot="1">
      <c r="A499" s="1" t="s">
        <v>531</v>
      </c>
      <c r="B499" s="3">
        <v>1</v>
      </c>
      <c r="C499" s="9" t="s">
        <v>2317</v>
      </c>
      <c r="D499" s="1" t="str">
        <f t="shared" si="16"/>
        <v>副手武器</v>
      </c>
      <c r="E499" s="1">
        <f>INDEX([1]游戏类型定义!$C$20:$C$29,MATCH(D499,[1]!装备部位,0))</f>
        <v>6</v>
      </c>
      <c r="F499" s="1">
        <v>2</v>
      </c>
      <c r="G499" s="1">
        <f t="shared" si="17"/>
        <v>35</v>
      </c>
      <c r="H499" s="10" t="s">
        <v>2320</v>
      </c>
      <c r="I499" s="1">
        <v>7600</v>
      </c>
      <c r="J499" s="1">
        <v>10</v>
      </c>
      <c r="K499" s="1">
        <v>0</v>
      </c>
      <c r="L499" s="1">
        <v>0</v>
      </c>
      <c r="M499" s="1" t="s">
        <v>1912</v>
      </c>
      <c r="N499" s="1" t="s">
        <v>713</v>
      </c>
      <c r="O499" s="1">
        <v>0</v>
      </c>
      <c r="P499" s="1" t="s">
        <v>2077</v>
      </c>
      <c r="Q499" s="7" t="s">
        <v>2426</v>
      </c>
    </row>
    <row r="500" spans="1:17" ht="14.25" thickBot="1">
      <c r="A500" s="1" t="s">
        <v>532</v>
      </c>
      <c r="B500" s="3">
        <v>1</v>
      </c>
      <c r="C500" s="1" t="s">
        <v>2247</v>
      </c>
      <c r="D500" s="1" t="str">
        <f t="shared" si="16"/>
        <v>主手武器</v>
      </c>
      <c r="E500" s="1">
        <f>INDEX([1]游戏类型定义!$C$20:$C$29,MATCH(D500,[1]!装备部位,0))</f>
        <v>5</v>
      </c>
      <c r="F500" s="1">
        <v>2</v>
      </c>
      <c r="G500" s="1">
        <f t="shared" si="17"/>
        <v>35</v>
      </c>
      <c r="H500" s="10" t="s">
        <v>2321</v>
      </c>
      <c r="I500" s="1">
        <v>7000</v>
      </c>
      <c r="J500" s="1">
        <v>10</v>
      </c>
      <c r="K500" s="1">
        <v>0</v>
      </c>
      <c r="L500" s="1">
        <v>0</v>
      </c>
      <c r="M500" s="1" t="s">
        <v>1910</v>
      </c>
      <c r="N500" s="1" t="s">
        <v>713</v>
      </c>
      <c r="O500" s="1">
        <v>0</v>
      </c>
      <c r="P500" s="1" t="s">
        <v>2077</v>
      </c>
      <c r="Q500" s="7" t="s">
        <v>2427</v>
      </c>
    </row>
    <row r="501" spans="1:17" ht="14.25" thickBot="1">
      <c r="A501" s="1" t="s">
        <v>533</v>
      </c>
      <c r="B501" s="2">
        <v>0</v>
      </c>
      <c r="C501" s="1" t="s">
        <v>2040</v>
      </c>
      <c r="D501" s="1" t="str">
        <f t="shared" si="16"/>
        <v>主手武器</v>
      </c>
      <c r="E501" s="1">
        <f>INDEX([1]游戏类型定义!$C$20:$C$29,MATCH(D501,[1]!装备部位,0))</f>
        <v>5</v>
      </c>
      <c r="F501" s="1">
        <v>2</v>
      </c>
      <c r="G501" s="1">
        <f t="shared" si="17"/>
        <v>35</v>
      </c>
      <c r="H501" s="10" t="s">
        <v>2321</v>
      </c>
      <c r="I501" s="1">
        <v>7600</v>
      </c>
      <c r="J501" s="1">
        <v>10</v>
      </c>
      <c r="K501" s="1">
        <v>0</v>
      </c>
      <c r="L501" s="1">
        <v>0</v>
      </c>
      <c r="M501" s="1" t="s">
        <v>2022</v>
      </c>
      <c r="N501" s="1" t="s">
        <v>713</v>
      </c>
      <c r="O501" s="1">
        <v>0</v>
      </c>
      <c r="P501" s="1" t="s">
        <v>2077</v>
      </c>
      <c r="Q501" s="7" t="s">
        <v>2059</v>
      </c>
    </row>
    <row r="502" spans="1:17" ht="14.25" thickBot="1">
      <c r="A502" s="1" t="s">
        <v>534</v>
      </c>
      <c r="B502" s="3">
        <v>1</v>
      </c>
      <c r="C502" s="9" t="s">
        <v>2248</v>
      </c>
      <c r="D502" s="1" t="str">
        <f t="shared" si="16"/>
        <v>副手武器</v>
      </c>
      <c r="E502" s="1">
        <f>INDEX([1]游戏类型定义!$C$20:$C$29,MATCH(D502,[1]!装备部位,0))</f>
        <v>6</v>
      </c>
      <c r="F502" s="1">
        <v>2</v>
      </c>
      <c r="G502" s="1">
        <f t="shared" si="17"/>
        <v>35</v>
      </c>
      <c r="H502" s="10" t="s">
        <v>2321</v>
      </c>
      <c r="I502" s="1">
        <v>7000</v>
      </c>
      <c r="J502" s="1">
        <v>10</v>
      </c>
      <c r="K502" s="1">
        <v>0</v>
      </c>
      <c r="L502" s="1">
        <v>0</v>
      </c>
      <c r="M502" s="1" t="s">
        <v>1913</v>
      </c>
      <c r="N502" s="1" t="s">
        <v>713</v>
      </c>
      <c r="O502" s="1">
        <v>0</v>
      </c>
      <c r="P502" s="1" t="s">
        <v>2077</v>
      </c>
      <c r="Q502" s="7" t="s">
        <v>2411</v>
      </c>
    </row>
    <row r="503" spans="1:17" ht="14.25" thickBot="1">
      <c r="A503" s="1" t="s">
        <v>535</v>
      </c>
      <c r="B503" s="3">
        <v>1</v>
      </c>
      <c r="C503" s="9" t="s">
        <v>2249</v>
      </c>
      <c r="D503" s="1" t="str">
        <f t="shared" si="16"/>
        <v>副手武器</v>
      </c>
      <c r="E503" s="1">
        <f>INDEX([1]游戏类型定义!$C$20:$C$29,MATCH(D503,[1]!装备部位,0))</f>
        <v>6</v>
      </c>
      <c r="F503" s="1">
        <v>2</v>
      </c>
      <c r="G503" s="1">
        <f t="shared" si="17"/>
        <v>35</v>
      </c>
      <c r="H503" s="10" t="s">
        <v>2321</v>
      </c>
      <c r="I503" s="1">
        <v>7600</v>
      </c>
      <c r="J503" s="1">
        <v>10</v>
      </c>
      <c r="K503" s="1">
        <v>0</v>
      </c>
      <c r="L503" s="1">
        <v>0</v>
      </c>
      <c r="M503" s="1" t="s">
        <v>1914</v>
      </c>
      <c r="N503" s="1" t="s">
        <v>713</v>
      </c>
      <c r="O503" s="1">
        <v>0</v>
      </c>
      <c r="P503" s="1" t="s">
        <v>2077</v>
      </c>
      <c r="Q503" s="7" t="s">
        <v>2060</v>
      </c>
    </row>
    <row r="504" spans="1:17" ht="14.25" thickBot="1">
      <c r="A504" s="1" t="s">
        <v>536</v>
      </c>
      <c r="B504" s="3">
        <v>1</v>
      </c>
      <c r="C504" s="9" t="s">
        <v>2242</v>
      </c>
      <c r="D504" s="1" t="str">
        <f t="shared" si="16"/>
        <v>主手武器</v>
      </c>
      <c r="E504" s="1">
        <f>INDEX([1]游戏类型定义!$C$20:$C$29,MATCH(D504,[1]!装备部位,0))</f>
        <v>5</v>
      </c>
      <c r="F504" s="1">
        <v>2</v>
      </c>
      <c r="G504" s="1">
        <f t="shared" si="17"/>
        <v>35</v>
      </c>
      <c r="H504" s="10" t="s">
        <v>2322</v>
      </c>
      <c r="I504" s="1">
        <v>7000</v>
      </c>
      <c r="J504" s="1">
        <v>10</v>
      </c>
      <c r="K504" s="1">
        <v>0</v>
      </c>
      <c r="L504" s="1">
        <v>0</v>
      </c>
      <c r="M504" s="1" t="s">
        <v>1910</v>
      </c>
      <c r="N504" s="1" t="s">
        <v>713</v>
      </c>
      <c r="O504" s="1">
        <v>0</v>
      </c>
      <c r="P504" s="1" t="s">
        <v>2077</v>
      </c>
      <c r="Q504" s="7" t="s">
        <v>2428</v>
      </c>
    </row>
    <row r="505" spans="1:17" ht="14.25" thickBot="1">
      <c r="A505" s="1" t="s">
        <v>537</v>
      </c>
      <c r="B505" s="2">
        <v>0</v>
      </c>
      <c r="C505" s="9" t="s">
        <v>2048</v>
      </c>
      <c r="D505" s="1" t="str">
        <f t="shared" si="16"/>
        <v>主手武器</v>
      </c>
      <c r="E505" s="1">
        <f>INDEX([1]游戏类型定义!$C$20:$C$29,MATCH(D505,[1]!装备部位,0))</f>
        <v>5</v>
      </c>
      <c r="F505" s="1">
        <v>2</v>
      </c>
      <c r="G505" s="1">
        <f t="shared" si="17"/>
        <v>35</v>
      </c>
      <c r="H505" s="10" t="s">
        <v>2322</v>
      </c>
      <c r="I505" s="1">
        <v>7600</v>
      </c>
      <c r="J505" s="1">
        <v>10</v>
      </c>
      <c r="K505" s="1">
        <v>0</v>
      </c>
      <c r="L505" s="1">
        <v>0</v>
      </c>
      <c r="M505" s="1" t="s">
        <v>2022</v>
      </c>
      <c r="N505" s="1" t="s">
        <v>713</v>
      </c>
      <c r="O505" s="1">
        <v>0</v>
      </c>
      <c r="P505" s="1" t="s">
        <v>2077</v>
      </c>
      <c r="Q505" s="7" t="s">
        <v>2061</v>
      </c>
    </row>
    <row r="506" spans="1:17" ht="14.25" thickBot="1">
      <c r="A506" s="1" t="s">
        <v>538</v>
      </c>
      <c r="B506" s="3">
        <v>1</v>
      </c>
      <c r="C506" s="9" t="s">
        <v>2314</v>
      </c>
      <c r="D506" s="1" t="str">
        <f t="shared" si="16"/>
        <v>副手武器</v>
      </c>
      <c r="E506" s="1">
        <f>INDEX([1]游戏类型定义!$C$20:$C$29,MATCH(D506,[1]!装备部位,0))</f>
        <v>6</v>
      </c>
      <c r="F506" s="1">
        <v>2</v>
      </c>
      <c r="G506" s="1">
        <f t="shared" si="17"/>
        <v>35</v>
      </c>
      <c r="H506" s="10" t="s">
        <v>2322</v>
      </c>
      <c r="I506" s="1">
        <v>7000</v>
      </c>
      <c r="J506" s="1">
        <v>10</v>
      </c>
      <c r="K506" s="1">
        <v>0</v>
      </c>
      <c r="L506" s="1">
        <v>0</v>
      </c>
      <c r="M506" s="1" t="s">
        <v>1915</v>
      </c>
      <c r="N506" s="1" t="s">
        <v>713</v>
      </c>
      <c r="O506" s="1">
        <v>0</v>
      </c>
      <c r="P506" s="1" t="s">
        <v>2077</v>
      </c>
      <c r="Q506" s="7" t="s">
        <v>2414</v>
      </c>
    </row>
    <row r="507" spans="1:17" ht="14.25" thickBot="1">
      <c r="A507" s="1" t="s">
        <v>539</v>
      </c>
      <c r="B507" s="3">
        <v>1</v>
      </c>
      <c r="C507" s="9" t="s">
        <v>2315</v>
      </c>
      <c r="D507" s="1" t="str">
        <f t="shared" si="16"/>
        <v>副手武器</v>
      </c>
      <c r="E507" s="1">
        <f>INDEX([1]游戏类型定义!$C$20:$C$29,MATCH(D507,[1]!装备部位,0))</f>
        <v>6</v>
      </c>
      <c r="F507" s="1">
        <v>2</v>
      </c>
      <c r="G507" s="1">
        <f t="shared" si="17"/>
        <v>35</v>
      </c>
      <c r="H507" s="10" t="s">
        <v>2322</v>
      </c>
      <c r="I507" s="1">
        <v>7600</v>
      </c>
      <c r="J507" s="1">
        <v>10</v>
      </c>
      <c r="K507" s="1">
        <v>0</v>
      </c>
      <c r="L507" s="1">
        <v>0</v>
      </c>
      <c r="M507" s="1" t="s">
        <v>1916</v>
      </c>
      <c r="N507" s="1" t="s">
        <v>713</v>
      </c>
      <c r="O507" s="1">
        <v>0</v>
      </c>
      <c r="P507" s="1" t="s">
        <v>2077</v>
      </c>
      <c r="Q507" s="7" t="s">
        <v>2429</v>
      </c>
    </row>
    <row r="508" spans="1:17" ht="14.25" thickBot="1">
      <c r="A508" s="1" t="s">
        <v>540</v>
      </c>
      <c r="B508" s="3">
        <v>1</v>
      </c>
      <c r="C508" s="1" t="s">
        <v>2166</v>
      </c>
      <c r="D508" s="1" t="str">
        <f t="shared" si="16"/>
        <v>胸甲</v>
      </c>
      <c r="E508" s="1">
        <f>INDEX([1]游戏类型定义!$C$20:$C$29,MATCH(D508,[1]!装备部位,0))</f>
        <v>4</v>
      </c>
      <c r="F508" s="1">
        <v>2</v>
      </c>
      <c r="G508" s="1">
        <f t="shared" si="17"/>
        <v>35</v>
      </c>
      <c r="H508" s="10">
        <v>0</v>
      </c>
      <c r="I508" s="1">
        <v>7000</v>
      </c>
      <c r="J508" s="1">
        <v>10</v>
      </c>
      <c r="K508" s="1">
        <v>0</v>
      </c>
      <c r="L508" s="1">
        <v>0</v>
      </c>
      <c r="M508" s="1" t="s">
        <v>1917</v>
      </c>
      <c r="N508" s="1" t="s">
        <v>712</v>
      </c>
      <c r="O508" s="1">
        <v>0</v>
      </c>
      <c r="P508" s="1" t="s">
        <v>2077</v>
      </c>
      <c r="Q508" s="7" t="s">
        <v>2430</v>
      </c>
    </row>
    <row r="509" spans="1:17" ht="14.25" thickBot="1">
      <c r="A509" s="1" t="s">
        <v>541</v>
      </c>
      <c r="B509" s="3">
        <v>1</v>
      </c>
      <c r="C509" s="1" t="s">
        <v>2538</v>
      </c>
      <c r="D509" s="1" t="str">
        <f t="shared" si="16"/>
        <v>胸甲</v>
      </c>
      <c r="E509" s="1">
        <f>INDEX([1]游戏类型定义!$C$20:$C$29,MATCH(D509,[1]!装备部位,0))</f>
        <v>4</v>
      </c>
      <c r="F509" s="1">
        <v>2</v>
      </c>
      <c r="G509" s="1">
        <f t="shared" si="17"/>
        <v>35</v>
      </c>
      <c r="H509" s="10">
        <v>0</v>
      </c>
      <c r="I509" s="1">
        <v>7600</v>
      </c>
      <c r="J509" s="1">
        <v>10</v>
      </c>
      <c r="K509" s="1">
        <v>0</v>
      </c>
      <c r="L509" s="1">
        <v>0</v>
      </c>
      <c r="M509" s="1" t="s">
        <v>1918</v>
      </c>
      <c r="N509" s="1" t="s">
        <v>712</v>
      </c>
      <c r="O509" s="1">
        <v>0</v>
      </c>
      <c r="P509" s="1" t="s">
        <v>2077</v>
      </c>
      <c r="Q509" s="7" t="s">
        <v>2063</v>
      </c>
    </row>
    <row r="510" spans="1:17" ht="14.25" thickBot="1">
      <c r="A510" s="1" t="s">
        <v>542</v>
      </c>
      <c r="B510" s="3">
        <v>1</v>
      </c>
      <c r="C510" s="1" t="s">
        <v>2184</v>
      </c>
      <c r="D510" s="1" t="str">
        <f t="shared" si="16"/>
        <v>护腿</v>
      </c>
      <c r="E510" s="1">
        <f>INDEX([1]游戏类型定义!$C$20:$C$29,MATCH(D510,[1]!装备部位,0))</f>
        <v>7</v>
      </c>
      <c r="F510" s="1">
        <v>2</v>
      </c>
      <c r="G510" s="1">
        <f t="shared" si="17"/>
        <v>35</v>
      </c>
      <c r="H510" s="10">
        <v>0</v>
      </c>
      <c r="I510" s="1">
        <v>7000</v>
      </c>
      <c r="J510" s="1">
        <v>10</v>
      </c>
      <c r="K510" s="1">
        <v>0</v>
      </c>
      <c r="L510" s="1">
        <v>0</v>
      </c>
      <c r="M510" s="1" t="s">
        <v>1917</v>
      </c>
      <c r="N510" s="1" t="s">
        <v>712</v>
      </c>
      <c r="O510" s="1">
        <v>0</v>
      </c>
      <c r="P510" s="1" t="s">
        <v>2077</v>
      </c>
      <c r="Q510" s="7" t="s">
        <v>2418</v>
      </c>
    </row>
    <row r="511" spans="1:17" ht="14.25" thickBot="1">
      <c r="A511" s="1" t="s">
        <v>543</v>
      </c>
      <c r="B511" s="2">
        <v>0</v>
      </c>
      <c r="C511" s="1" t="s">
        <v>2038</v>
      </c>
      <c r="D511" s="1" t="str">
        <f t="shared" si="16"/>
        <v>护腿</v>
      </c>
      <c r="E511" s="1">
        <f>INDEX([1]游戏类型定义!$C$20:$C$29,MATCH(D511,[1]!装备部位,0))</f>
        <v>7</v>
      </c>
      <c r="F511" s="1">
        <v>2</v>
      </c>
      <c r="G511" s="1">
        <f t="shared" si="17"/>
        <v>35</v>
      </c>
      <c r="H511" s="10">
        <v>0</v>
      </c>
      <c r="I511" s="1">
        <v>7600</v>
      </c>
      <c r="J511" s="1">
        <v>10</v>
      </c>
      <c r="K511" s="1">
        <v>0</v>
      </c>
      <c r="L511" s="1">
        <v>0</v>
      </c>
      <c r="M511" s="1" t="s">
        <v>1919</v>
      </c>
      <c r="N511" s="1" t="s">
        <v>712</v>
      </c>
      <c r="O511" s="1">
        <v>0</v>
      </c>
      <c r="P511" s="1" t="s">
        <v>2077</v>
      </c>
      <c r="Q511" s="7" t="s">
        <v>2064</v>
      </c>
    </row>
    <row r="512" spans="1:17" ht="14.25" thickBot="1">
      <c r="A512" s="1" t="s">
        <v>544</v>
      </c>
      <c r="B512" s="3">
        <v>1</v>
      </c>
      <c r="C512" s="1" t="s">
        <v>2101</v>
      </c>
      <c r="D512" s="1" t="str">
        <f t="shared" si="16"/>
        <v>头盔</v>
      </c>
      <c r="E512" s="1">
        <f>INDEX([1]游戏类型定义!$C$20:$C$29,MATCH(D512,[1]!装备部位,0))</f>
        <v>1</v>
      </c>
      <c r="F512" s="1">
        <v>2</v>
      </c>
      <c r="G512" s="1">
        <f t="shared" si="17"/>
        <v>40</v>
      </c>
      <c r="H512" s="10">
        <v>0</v>
      </c>
      <c r="I512" s="1">
        <v>8000</v>
      </c>
      <c r="J512" s="1">
        <v>10</v>
      </c>
      <c r="K512" s="1">
        <v>0</v>
      </c>
      <c r="L512" s="1">
        <v>0</v>
      </c>
      <c r="M512" s="1" t="s">
        <v>1920</v>
      </c>
      <c r="N512" s="1" t="s">
        <v>714</v>
      </c>
      <c r="O512" s="1">
        <v>0</v>
      </c>
      <c r="P512" s="1" t="s">
        <v>2078</v>
      </c>
      <c r="Q512" s="7" t="s">
        <v>2431</v>
      </c>
    </row>
    <row r="513" spans="1:17" ht="14.25" thickBot="1">
      <c r="A513" s="1" t="s">
        <v>545</v>
      </c>
      <c r="B513" s="3">
        <v>1</v>
      </c>
      <c r="C513" s="1" t="s">
        <v>2114</v>
      </c>
      <c r="D513" s="1" t="str">
        <f t="shared" si="16"/>
        <v>戒指</v>
      </c>
      <c r="E513" s="1">
        <f>INDEX([1]游戏类型定义!$C$20:$C$29,MATCH(D513,[1]!装备部位,0))</f>
        <v>2</v>
      </c>
      <c r="F513" s="1">
        <v>2</v>
      </c>
      <c r="G513" s="1">
        <f t="shared" si="17"/>
        <v>40</v>
      </c>
      <c r="H513" s="10">
        <v>0</v>
      </c>
      <c r="I513" s="1">
        <v>8000</v>
      </c>
      <c r="J513" s="1">
        <v>10</v>
      </c>
      <c r="K513" s="1">
        <v>0</v>
      </c>
      <c r="L513" s="1">
        <v>0</v>
      </c>
      <c r="M513" s="1" t="s">
        <v>1921</v>
      </c>
      <c r="N513" s="1" t="s">
        <v>714</v>
      </c>
      <c r="O513" s="1">
        <v>0</v>
      </c>
      <c r="P513" s="1" t="s">
        <v>2078</v>
      </c>
      <c r="Q513" s="7" t="s">
        <v>2432</v>
      </c>
    </row>
    <row r="514" spans="1:17" ht="14.25" thickBot="1">
      <c r="A514" s="1" t="s">
        <v>546</v>
      </c>
      <c r="B514" s="3">
        <v>1</v>
      </c>
      <c r="C514" s="1" t="s">
        <v>2093</v>
      </c>
      <c r="D514" s="1" t="str">
        <f t="shared" si="16"/>
        <v>腰带</v>
      </c>
      <c r="E514" s="1">
        <f>INDEX([1]游戏类型定义!$C$20:$C$29,MATCH(D514,[1]!装备部位,0))</f>
        <v>3</v>
      </c>
      <c r="F514" s="1">
        <v>2</v>
      </c>
      <c r="G514" s="1">
        <f t="shared" si="17"/>
        <v>40</v>
      </c>
      <c r="H514" s="10">
        <v>0</v>
      </c>
      <c r="I514" s="1">
        <v>8000</v>
      </c>
      <c r="J514" s="1">
        <v>10</v>
      </c>
      <c r="K514" s="1">
        <v>0</v>
      </c>
      <c r="L514" s="1">
        <v>0</v>
      </c>
      <c r="M514" s="1" t="s">
        <v>1922</v>
      </c>
      <c r="N514" s="1" t="s">
        <v>714</v>
      </c>
      <c r="O514" s="1">
        <v>0</v>
      </c>
      <c r="P514" s="1" t="s">
        <v>2078</v>
      </c>
      <c r="Q514" s="7" t="s">
        <v>2433</v>
      </c>
    </row>
    <row r="515" spans="1:17" ht="14.25" thickBot="1">
      <c r="A515" s="1" t="s">
        <v>547</v>
      </c>
      <c r="B515" s="3">
        <v>1</v>
      </c>
      <c r="C515" s="1" t="s">
        <v>2126</v>
      </c>
      <c r="D515" s="1" t="str">
        <f t="shared" si="16"/>
        <v>鞋子</v>
      </c>
      <c r="E515" s="1">
        <f>INDEX([1]游戏类型定义!$C$20:$C$29,MATCH(D515,[1]!装备部位,0))</f>
        <v>8</v>
      </c>
      <c r="F515" s="1">
        <v>2</v>
      </c>
      <c r="G515" s="1">
        <f t="shared" si="17"/>
        <v>40</v>
      </c>
      <c r="H515" s="10">
        <v>0</v>
      </c>
      <c r="I515" s="1">
        <v>8000</v>
      </c>
      <c r="J515" s="1">
        <v>10</v>
      </c>
      <c r="K515" s="1">
        <v>0</v>
      </c>
      <c r="L515" s="1">
        <v>0</v>
      </c>
      <c r="M515" s="1" t="s">
        <v>1923</v>
      </c>
      <c r="N515" s="1" t="s">
        <v>714</v>
      </c>
      <c r="O515" s="1">
        <v>0</v>
      </c>
      <c r="P515" s="1" t="s">
        <v>2078</v>
      </c>
      <c r="Q515" s="7" t="s">
        <v>2434</v>
      </c>
    </row>
    <row r="516" spans="1:17" ht="14.25" thickBot="1">
      <c r="A516" s="1" t="s">
        <v>548</v>
      </c>
      <c r="B516" s="3">
        <v>1</v>
      </c>
      <c r="C516" s="1" t="s">
        <v>2141</v>
      </c>
      <c r="D516" s="1" t="str">
        <f t="shared" ref="D516:D535" si="18">D186</f>
        <v>手套</v>
      </c>
      <c r="E516" s="1">
        <f>INDEX([1]游戏类型定义!$C$20:$C$29,MATCH(D516,[1]!装备部位,0))</f>
        <v>9</v>
      </c>
      <c r="F516" s="1">
        <v>2</v>
      </c>
      <c r="G516" s="1">
        <f t="shared" ref="G516:G535" si="19">G186</f>
        <v>40</v>
      </c>
      <c r="H516" s="10">
        <v>0</v>
      </c>
      <c r="I516" s="1">
        <v>8000</v>
      </c>
      <c r="J516" s="1">
        <v>10</v>
      </c>
      <c r="K516" s="1">
        <v>0</v>
      </c>
      <c r="L516" s="1">
        <v>0</v>
      </c>
      <c r="M516" s="1" t="s">
        <v>1924</v>
      </c>
      <c r="N516" s="1" t="s">
        <v>714</v>
      </c>
      <c r="O516" s="1">
        <v>0</v>
      </c>
      <c r="P516" s="1" t="s">
        <v>2078</v>
      </c>
      <c r="Q516" s="7" t="s">
        <v>2435</v>
      </c>
    </row>
    <row r="517" spans="1:17" ht="14.25" thickBot="1">
      <c r="A517" s="1" t="s">
        <v>549</v>
      </c>
      <c r="B517" s="2">
        <v>0</v>
      </c>
      <c r="C517" s="1" t="s">
        <v>2034</v>
      </c>
      <c r="D517" s="1" t="str">
        <f t="shared" si="18"/>
        <v>项链</v>
      </c>
      <c r="E517" s="1">
        <f>INDEX([1]游戏类型定义!$C$20:$C$29,MATCH(D517,[1]!装备部位,0))</f>
        <v>10</v>
      </c>
      <c r="F517" s="1">
        <v>2</v>
      </c>
      <c r="G517" s="1">
        <f t="shared" si="19"/>
        <v>40</v>
      </c>
      <c r="H517" s="10">
        <v>0</v>
      </c>
      <c r="I517" s="1">
        <v>8000</v>
      </c>
      <c r="J517" s="1">
        <v>10</v>
      </c>
      <c r="K517" s="1">
        <v>0</v>
      </c>
      <c r="L517" s="1">
        <v>0</v>
      </c>
      <c r="M517" s="1" t="s">
        <v>1909</v>
      </c>
      <c r="N517" s="1" t="s">
        <v>714</v>
      </c>
      <c r="O517" s="1">
        <v>0</v>
      </c>
      <c r="P517" s="1" t="s">
        <v>2078</v>
      </c>
      <c r="Q517" s="7" t="s">
        <v>2056</v>
      </c>
    </row>
    <row r="518" spans="1:17" ht="14.25" thickBot="1">
      <c r="A518" s="1" t="s">
        <v>550</v>
      </c>
      <c r="B518" s="3">
        <v>1</v>
      </c>
      <c r="C518" s="9" t="s">
        <v>2316</v>
      </c>
      <c r="D518" s="1" t="str">
        <f t="shared" si="18"/>
        <v>主手武器</v>
      </c>
      <c r="E518" s="1">
        <f>INDEX([1]游戏类型定义!$C$20:$C$29,MATCH(D518,[1]!装备部位,0))</f>
        <v>5</v>
      </c>
      <c r="F518" s="1">
        <v>2</v>
      </c>
      <c r="G518" s="1">
        <f t="shared" si="19"/>
        <v>40</v>
      </c>
      <c r="H518" s="10" t="s">
        <v>2320</v>
      </c>
      <c r="I518" s="1">
        <v>8000</v>
      </c>
      <c r="J518" s="1">
        <v>10</v>
      </c>
      <c r="K518" s="1">
        <v>0</v>
      </c>
      <c r="L518" s="1">
        <v>0</v>
      </c>
      <c r="M518" s="1" t="s">
        <v>1925</v>
      </c>
      <c r="N518" s="1" t="s">
        <v>715</v>
      </c>
      <c r="O518" s="1">
        <v>0</v>
      </c>
      <c r="P518" s="1" t="s">
        <v>2078</v>
      </c>
      <c r="Q518" s="7" t="s">
        <v>2436</v>
      </c>
    </row>
    <row r="519" spans="1:17" ht="14.25" thickBot="1">
      <c r="A519" s="1" t="s">
        <v>551</v>
      </c>
      <c r="B519" s="3">
        <v>1</v>
      </c>
      <c r="C519" s="9" t="s">
        <v>2252</v>
      </c>
      <c r="D519" s="1" t="str">
        <f t="shared" si="18"/>
        <v>主手武器</v>
      </c>
      <c r="E519" s="1">
        <f>INDEX([1]游戏类型定义!$C$20:$C$29,MATCH(D519,[1]!装备部位,0))</f>
        <v>5</v>
      </c>
      <c r="F519" s="1">
        <v>2</v>
      </c>
      <c r="G519" s="1">
        <f t="shared" si="19"/>
        <v>40</v>
      </c>
      <c r="H519" s="10" t="s">
        <v>2320</v>
      </c>
      <c r="I519" s="1">
        <v>8600</v>
      </c>
      <c r="J519" s="1">
        <v>10</v>
      </c>
      <c r="K519" s="1">
        <v>0</v>
      </c>
      <c r="L519" s="1">
        <v>0</v>
      </c>
      <c r="M519" s="1" t="s">
        <v>2023</v>
      </c>
      <c r="N519" s="1" t="s">
        <v>715</v>
      </c>
      <c r="O519" s="1">
        <v>0</v>
      </c>
      <c r="P519" s="1" t="s">
        <v>2078</v>
      </c>
      <c r="Q519" s="7" t="s">
        <v>2437</v>
      </c>
    </row>
    <row r="520" spans="1:17" ht="14.25" thickBot="1">
      <c r="A520" s="1" t="s">
        <v>552</v>
      </c>
      <c r="B520" s="3">
        <v>1</v>
      </c>
      <c r="C520" s="9" t="s">
        <v>2253</v>
      </c>
      <c r="D520" s="1" t="str">
        <f t="shared" si="18"/>
        <v>副手武器</v>
      </c>
      <c r="E520" s="1">
        <f>INDEX([1]游戏类型定义!$C$20:$C$29,MATCH(D520,[1]!装备部位,0))</f>
        <v>6</v>
      </c>
      <c r="F520" s="1">
        <v>2</v>
      </c>
      <c r="G520" s="1">
        <f t="shared" si="19"/>
        <v>40</v>
      </c>
      <c r="H520" s="10" t="s">
        <v>2320</v>
      </c>
      <c r="I520" s="1">
        <v>8000</v>
      </c>
      <c r="J520" s="1">
        <v>10</v>
      </c>
      <c r="K520" s="1">
        <v>0</v>
      </c>
      <c r="L520" s="1">
        <v>0</v>
      </c>
      <c r="M520" s="1" t="s">
        <v>1926</v>
      </c>
      <c r="N520" s="1" t="s">
        <v>715</v>
      </c>
      <c r="O520" s="1">
        <v>0</v>
      </c>
      <c r="P520" s="1" t="s">
        <v>2078</v>
      </c>
      <c r="Q520" s="7" t="s">
        <v>2438</v>
      </c>
    </row>
    <row r="521" spans="1:17" ht="14.25" thickBot="1">
      <c r="A521" s="1" t="s">
        <v>553</v>
      </c>
      <c r="B521" s="2">
        <v>0</v>
      </c>
      <c r="C521" s="9" t="s">
        <v>2044</v>
      </c>
      <c r="D521" s="1" t="str">
        <f t="shared" si="18"/>
        <v>副手武器</v>
      </c>
      <c r="E521" s="1">
        <f>INDEX([1]游戏类型定义!$C$20:$C$29,MATCH(D521,[1]!装备部位,0))</f>
        <v>6</v>
      </c>
      <c r="F521" s="1">
        <v>2</v>
      </c>
      <c r="G521" s="1">
        <f t="shared" si="19"/>
        <v>40</v>
      </c>
      <c r="H521" s="10" t="s">
        <v>2320</v>
      </c>
      <c r="I521" s="1">
        <v>8600</v>
      </c>
      <c r="J521" s="1">
        <v>10</v>
      </c>
      <c r="K521" s="1">
        <v>0</v>
      </c>
      <c r="L521" s="1">
        <v>0</v>
      </c>
      <c r="M521" s="1" t="s">
        <v>1927</v>
      </c>
      <c r="N521" s="1" t="s">
        <v>715</v>
      </c>
      <c r="O521" s="1">
        <v>0</v>
      </c>
      <c r="P521" s="1" t="s">
        <v>2078</v>
      </c>
      <c r="Q521" s="7" t="s">
        <v>2058</v>
      </c>
    </row>
    <row r="522" spans="1:17" ht="14.25" thickBot="1">
      <c r="A522" s="1" t="s">
        <v>554</v>
      </c>
      <c r="B522" s="3">
        <v>1</v>
      </c>
      <c r="C522" s="1" t="s">
        <v>2254</v>
      </c>
      <c r="D522" s="1" t="str">
        <f t="shared" si="18"/>
        <v>主手武器</v>
      </c>
      <c r="E522" s="1">
        <f>INDEX([1]游戏类型定义!$C$20:$C$29,MATCH(D522,[1]!装备部位,0))</f>
        <v>5</v>
      </c>
      <c r="F522" s="1">
        <v>2</v>
      </c>
      <c r="G522" s="1">
        <f t="shared" si="19"/>
        <v>40</v>
      </c>
      <c r="H522" s="10" t="s">
        <v>2321</v>
      </c>
      <c r="I522" s="1">
        <v>8000</v>
      </c>
      <c r="J522" s="1">
        <v>10</v>
      </c>
      <c r="K522" s="1">
        <v>0</v>
      </c>
      <c r="L522" s="1">
        <v>0</v>
      </c>
      <c r="M522" s="1" t="s">
        <v>1925</v>
      </c>
      <c r="N522" s="1" t="s">
        <v>715</v>
      </c>
      <c r="O522" s="1">
        <v>0</v>
      </c>
      <c r="P522" s="1" t="s">
        <v>2078</v>
      </c>
      <c r="Q522" s="7" t="s">
        <v>2439</v>
      </c>
    </row>
    <row r="523" spans="1:17" ht="14.25" thickBot="1">
      <c r="A523" s="1" t="s">
        <v>555</v>
      </c>
      <c r="B523" s="3">
        <v>1</v>
      </c>
      <c r="C523" s="1" t="s">
        <v>2255</v>
      </c>
      <c r="D523" s="1" t="str">
        <f t="shared" si="18"/>
        <v>主手武器</v>
      </c>
      <c r="E523" s="1">
        <f>INDEX([1]游戏类型定义!$C$20:$C$29,MATCH(D523,[1]!装备部位,0))</f>
        <v>5</v>
      </c>
      <c r="F523" s="1">
        <v>2</v>
      </c>
      <c r="G523" s="1">
        <f t="shared" si="19"/>
        <v>40</v>
      </c>
      <c r="H523" s="10" t="s">
        <v>2321</v>
      </c>
      <c r="I523" s="1">
        <v>8600</v>
      </c>
      <c r="J523" s="1">
        <v>10</v>
      </c>
      <c r="K523" s="1">
        <v>0</v>
      </c>
      <c r="L523" s="1">
        <v>0</v>
      </c>
      <c r="M523" s="1" t="s">
        <v>2023</v>
      </c>
      <c r="N523" s="1" t="s">
        <v>715</v>
      </c>
      <c r="O523" s="1">
        <v>0</v>
      </c>
      <c r="P523" s="1" t="s">
        <v>2078</v>
      </c>
      <c r="Q523" s="7" t="s">
        <v>2440</v>
      </c>
    </row>
    <row r="524" spans="1:17" ht="14.25" thickBot="1">
      <c r="A524" s="1" t="s">
        <v>556</v>
      </c>
      <c r="B524" s="3">
        <v>1</v>
      </c>
      <c r="C524" s="9" t="s">
        <v>2256</v>
      </c>
      <c r="D524" s="1" t="str">
        <f t="shared" si="18"/>
        <v>副手武器</v>
      </c>
      <c r="E524" s="1">
        <f>INDEX([1]游戏类型定义!$C$20:$C$29,MATCH(D524,[1]!装备部位,0))</f>
        <v>6</v>
      </c>
      <c r="F524" s="1">
        <v>2</v>
      </c>
      <c r="G524" s="1">
        <f t="shared" si="19"/>
        <v>40</v>
      </c>
      <c r="H524" s="10" t="s">
        <v>2321</v>
      </c>
      <c r="I524" s="1">
        <v>8000</v>
      </c>
      <c r="J524" s="1">
        <v>10</v>
      </c>
      <c r="K524" s="1">
        <v>0</v>
      </c>
      <c r="L524" s="1">
        <v>0</v>
      </c>
      <c r="M524" s="1" t="s">
        <v>1924</v>
      </c>
      <c r="N524" s="1" t="s">
        <v>715</v>
      </c>
      <c r="O524" s="1">
        <v>0</v>
      </c>
      <c r="P524" s="1" t="s">
        <v>2078</v>
      </c>
      <c r="Q524" s="7" t="s">
        <v>2441</v>
      </c>
    </row>
    <row r="525" spans="1:17" ht="14.25" thickBot="1">
      <c r="A525" s="1" t="s">
        <v>557</v>
      </c>
      <c r="B525" s="2">
        <v>0</v>
      </c>
      <c r="C525" s="9" t="s">
        <v>2042</v>
      </c>
      <c r="D525" s="1" t="str">
        <f t="shared" si="18"/>
        <v>副手武器</v>
      </c>
      <c r="E525" s="1">
        <f>INDEX([1]游戏类型定义!$C$20:$C$29,MATCH(D525,[1]!装备部位,0))</f>
        <v>6</v>
      </c>
      <c r="F525" s="1">
        <v>2</v>
      </c>
      <c r="G525" s="1">
        <f t="shared" si="19"/>
        <v>40</v>
      </c>
      <c r="H525" s="10" t="s">
        <v>2321</v>
      </c>
      <c r="I525" s="1">
        <v>8600</v>
      </c>
      <c r="J525" s="1">
        <v>10</v>
      </c>
      <c r="K525" s="1">
        <v>0</v>
      </c>
      <c r="L525" s="1">
        <v>0</v>
      </c>
      <c r="M525" s="1" t="s">
        <v>1928</v>
      </c>
      <c r="N525" s="1" t="s">
        <v>715</v>
      </c>
      <c r="O525" s="1">
        <v>0</v>
      </c>
      <c r="P525" s="1" t="s">
        <v>2078</v>
      </c>
      <c r="Q525" s="7" t="s">
        <v>2060</v>
      </c>
    </row>
    <row r="526" spans="1:17" ht="14.25" thickBot="1">
      <c r="A526" s="1" t="s">
        <v>558</v>
      </c>
      <c r="B526" s="3">
        <v>1</v>
      </c>
      <c r="C526" s="9" t="s">
        <v>2258</v>
      </c>
      <c r="D526" s="1" t="str">
        <f t="shared" si="18"/>
        <v>主手武器</v>
      </c>
      <c r="E526" s="1">
        <f>INDEX([1]游戏类型定义!$C$20:$C$29,MATCH(D526,[1]!装备部位,0))</f>
        <v>5</v>
      </c>
      <c r="F526" s="1">
        <v>2</v>
      </c>
      <c r="G526" s="1">
        <f t="shared" si="19"/>
        <v>40</v>
      </c>
      <c r="H526" s="10" t="s">
        <v>2322</v>
      </c>
      <c r="I526" s="1">
        <v>8000</v>
      </c>
      <c r="J526" s="1">
        <v>10</v>
      </c>
      <c r="K526" s="1">
        <v>0</v>
      </c>
      <c r="L526" s="1">
        <v>0</v>
      </c>
      <c r="M526" s="1" t="s">
        <v>1925</v>
      </c>
      <c r="N526" s="1" t="s">
        <v>715</v>
      </c>
      <c r="O526" s="1">
        <v>0</v>
      </c>
      <c r="P526" s="1" t="s">
        <v>2078</v>
      </c>
      <c r="Q526" s="7" t="s">
        <v>2442</v>
      </c>
    </row>
    <row r="527" spans="1:17" ht="14.25" thickBot="1">
      <c r="A527" s="1" t="s">
        <v>559</v>
      </c>
      <c r="B527" s="3">
        <v>1</v>
      </c>
      <c r="C527" s="9" t="s">
        <v>2250</v>
      </c>
      <c r="D527" s="1" t="str">
        <f t="shared" si="18"/>
        <v>主手武器</v>
      </c>
      <c r="E527" s="1">
        <f>INDEX([1]游戏类型定义!$C$20:$C$29,MATCH(D527,[1]!装备部位,0))</f>
        <v>5</v>
      </c>
      <c r="F527" s="1">
        <v>2</v>
      </c>
      <c r="G527" s="1">
        <f t="shared" si="19"/>
        <v>40</v>
      </c>
      <c r="H527" s="10" t="s">
        <v>2322</v>
      </c>
      <c r="I527" s="1">
        <v>8600</v>
      </c>
      <c r="J527" s="1">
        <v>10</v>
      </c>
      <c r="K527" s="1">
        <v>0</v>
      </c>
      <c r="L527" s="1">
        <v>0</v>
      </c>
      <c r="M527" s="1" t="s">
        <v>2023</v>
      </c>
      <c r="N527" s="1" t="s">
        <v>715</v>
      </c>
      <c r="O527" s="1">
        <v>0</v>
      </c>
      <c r="P527" s="1" t="s">
        <v>2078</v>
      </c>
      <c r="Q527" s="7" t="s">
        <v>2443</v>
      </c>
    </row>
    <row r="528" spans="1:17" ht="14.25" thickBot="1">
      <c r="A528" s="1" t="s">
        <v>560</v>
      </c>
      <c r="B528" s="3">
        <v>1</v>
      </c>
      <c r="C528" s="9" t="s">
        <v>2259</v>
      </c>
      <c r="D528" s="1" t="str">
        <f t="shared" si="18"/>
        <v>副手武器</v>
      </c>
      <c r="E528" s="1">
        <f>INDEX([1]游戏类型定义!$C$20:$C$29,MATCH(D528,[1]!装备部位,0))</f>
        <v>6</v>
      </c>
      <c r="F528" s="1">
        <v>2</v>
      </c>
      <c r="G528" s="1">
        <f t="shared" si="19"/>
        <v>40</v>
      </c>
      <c r="H528" s="10" t="s">
        <v>2322</v>
      </c>
      <c r="I528" s="1">
        <v>8000</v>
      </c>
      <c r="J528" s="1">
        <v>10</v>
      </c>
      <c r="K528" s="1">
        <v>0</v>
      </c>
      <c r="L528" s="1">
        <v>0</v>
      </c>
      <c r="M528" s="1" t="s">
        <v>1929</v>
      </c>
      <c r="N528" s="1" t="s">
        <v>715</v>
      </c>
      <c r="O528" s="1">
        <v>0</v>
      </c>
      <c r="P528" s="1" t="s">
        <v>2078</v>
      </c>
      <c r="Q528" s="7" t="s">
        <v>2444</v>
      </c>
    </row>
    <row r="529" spans="1:17" ht="14.25" thickBot="1">
      <c r="A529" s="1" t="s">
        <v>561</v>
      </c>
      <c r="B529" s="2">
        <v>0</v>
      </c>
      <c r="C529" s="9" t="s">
        <v>2050</v>
      </c>
      <c r="D529" s="1" t="str">
        <f t="shared" si="18"/>
        <v>副手武器</v>
      </c>
      <c r="E529" s="1">
        <f>INDEX([1]游戏类型定义!$C$20:$C$29,MATCH(D529,[1]!装备部位,0))</f>
        <v>6</v>
      </c>
      <c r="F529" s="1">
        <v>2</v>
      </c>
      <c r="G529" s="1">
        <f t="shared" si="19"/>
        <v>40</v>
      </c>
      <c r="H529" s="10" t="s">
        <v>2322</v>
      </c>
      <c r="I529" s="1">
        <v>8600</v>
      </c>
      <c r="J529" s="1">
        <v>10</v>
      </c>
      <c r="K529" s="1">
        <v>0</v>
      </c>
      <c r="L529" s="1">
        <v>0</v>
      </c>
      <c r="M529" s="1" t="s">
        <v>1930</v>
      </c>
      <c r="N529" s="1" t="s">
        <v>715</v>
      </c>
      <c r="O529" s="1">
        <v>0</v>
      </c>
      <c r="P529" s="1" t="s">
        <v>2078</v>
      </c>
      <c r="Q529" s="7" t="s">
        <v>2062</v>
      </c>
    </row>
    <row r="530" spans="1:17" ht="14.25" thickBot="1">
      <c r="A530" s="1" t="s">
        <v>562</v>
      </c>
      <c r="B530" s="3">
        <v>1</v>
      </c>
      <c r="C530" s="1" t="s">
        <v>2167</v>
      </c>
      <c r="D530" s="1" t="str">
        <f t="shared" si="18"/>
        <v>胸甲</v>
      </c>
      <c r="E530" s="1">
        <f>INDEX([1]游戏类型定义!$C$20:$C$29,MATCH(D530,[1]!装备部位,0))</f>
        <v>4</v>
      </c>
      <c r="F530" s="1">
        <v>2</v>
      </c>
      <c r="G530" s="1">
        <f t="shared" si="19"/>
        <v>40</v>
      </c>
      <c r="H530" s="10">
        <v>0</v>
      </c>
      <c r="I530" s="1">
        <v>8000</v>
      </c>
      <c r="J530" s="1">
        <v>10</v>
      </c>
      <c r="K530" s="1">
        <v>0</v>
      </c>
      <c r="L530" s="1">
        <v>0</v>
      </c>
      <c r="M530" s="1" t="s">
        <v>1931</v>
      </c>
      <c r="N530" s="1" t="s">
        <v>714</v>
      </c>
      <c r="O530" s="1">
        <v>0</v>
      </c>
      <c r="P530" s="1" t="s">
        <v>2078</v>
      </c>
      <c r="Q530" s="7" t="s">
        <v>2445</v>
      </c>
    </row>
    <row r="531" spans="1:17" ht="14.25" thickBot="1">
      <c r="A531" s="1" t="s">
        <v>563</v>
      </c>
      <c r="B531" s="2">
        <v>0</v>
      </c>
      <c r="C531" s="1" t="s">
        <v>2030</v>
      </c>
      <c r="D531" s="1" t="str">
        <f t="shared" si="18"/>
        <v>胸甲</v>
      </c>
      <c r="E531" s="1">
        <f>INDEX([1]游戏类型定义!$C$20:$C$29,MATCH(D531,[1]!装备部位,0))</f>
        <v>4</v>
      </c>
      <c r="F531" s="1">
        <v>2</v>
      </c>
      <c r="G531" s="1">
        <f t="shared" si="19"/>
        <v>40</v>
      </c>
      <c r="H531" s="10">
        <v>0</v>
      </c>
      <c r="I531" s="1">
        <v>8600</v>
      </c>
      <c r="J531" s="1">
        <v>10</v>
      </c>
      <c r="K531" s="1">
        <v>0</v>
      </c>
      <c r="L531" s="1">
        <v>0</v>
      </c>
      <c r="M531" s="1" t="s">
        <v>1932</v>
      </c>
      <c r="N531" s="1" t="s">
        <v>714</v>
      </c>
      <c r="O531" s="1">
        <v>0</v>
      </c>
      <c r="P531" s="1" t="s">
        <v>2078</v>
      </c>
      <c r="Q531" s="7" t="s">
        <v>2063</v>
      </c>
    </row>
    <row r="532" spans="1:17" ht="14.25" thickBot="1">
      <c r="A532" s="1" t="s">
        <v>564</v>
      </c>
      <c r="B532" s="3">
        <v>1</v>
      </c>
      <c r="C532" s="1" t="s">
        <v>2185</v>
      </c>
      <c r="D532" s="1" t="str">
        <f t="shared" si="18"/>
        <v>护腿</v>
      </c>
      <c r="E532" s="1">
        <f>INDEX([1]游戏类型定义!$C$20:$C$29,MATCH(D532,[1]!装备部位,0))</f>
        <v>7</v>
      </c>
      <c r="F532" s="1">
        <v>2</v>
      </c>
      <c r="G532" s="1">
        <f t="shared" si="19"/>
        <v>40</v>
      </c>
      <c r="H532" s="10">
        <v>0</v>
      </c>
      <c r="I532" s="1">
        <v>8000</v>
      </c>
      <c r="J532" s="1">
        <v>10</v>
      </c>
      <c r="K532" s="1">
        <v>0</v>
      </c>
      <c r="L532" s="1">
        <v>0</v>
      </c>
      <c r="M532" s="1" t="s">
        <v>1933</v>
      </c>
      <c r="N532" s="1" t="s">
        <v>714</v>
      </c>
      <c r="O532" s="1">
        <v>0</v>
      </c>
      <c r="P532" s="1" t="s">
        <v>2078</v>
      </c>
      <c r="Q532" s="7" t="s">
        <v>2446</v>
      </c>
    </row>
    <row r="533" spans="1:17" ht="14.25" thickBot="1">
      <c r="A533" s="1" t="s">
        <v>565</v>
      </c>
      <c r="B533" s="2">
        <v>0</v>
      </c>
      <c r="C533" s="1" t="s">
        <v>2038</v>
      </c>
      <c r="D533" s="1" t="str">
        <f t="shared" si="18"/>
        <v>护腿</v>
      </c>
      <c r="E533" s="1">
        <f>INDEX([1]游戏类型定义!$C$20:$C$29,MATCH(D533,[1]!装备部位,0))</f>
        <v>7</v>
      </c>
      <c r="F533" s="1">
        <v>2</v>
      </c>
      <c r="G533" s="1">
        <f t="shared" si="19"/>
        <v>40</v>
      </c>
      <c r="H533" s="10">
        <v>0</v>
      </c>
      <c r="I533" s="1">
        <v>8600</v>
      </c>
      <c r="J533" s="1">
        <v>10</v>
      </c>
      <c r="K533" s="1">
        <v>0</v>
      </c>
      <c r="L533" s="1">
        <v>0</v>
      </c>
      <c r="M533" s="1" t="s">
        <v>1934</v>
      </c>
      <c r="N533" s="1" t="s">
        <v>714</v>
      </c>
      <c r="O533" s="1">
        <v>0</v>
      </c>
      <c r="P533" s="1" t="s">
        <v>2078</v>
      </c>
      <c r="Q533" s="7" t="s">
        <v>2064</v>
      </c>
    </row>
    <row r="534" spans="1:17" ht="14.25" thickBot="1">
      <c r="A534" s="1" t="s">
        <v>566</v>
      </c>
      <c r="B534" s="2">
        <v>0</v>
      </c>
      <c r="C534" s="1" t="s">
        <v>2104</v>
      </c>
      <c r="D534" s="1" t="str">
        <f t="shared" si="18"/>
        <v>头盔</v>
      </c>
      <c r="E534" s="1">
        <f>INDEX([1]游戏类型定义!$C$20:$C$29,MATCH(D534,[1]!装备部位,0))</f>
        <v>1</v>
      </c>
      <c r="F534" s="1">
        <v>2</v>
      </c>
      <c r="G534" s="1">
        <f t="shared" si="19"/>
        <v>45</v>
      </c>
      <c r="H534" s="10">
        <v>0</v>
      </c>
      <c r="I534" s="1">
        <v>9000</v>
      </c>
      <c r="J534" s="1">
        <v>10</v>
      </c>
      <c r="K534" s="1">
        <v>0</v>
      </c>
      <c r="L534" s="1">
        <v>0</v>
      </c>
      <c r="M534" s="1" t="s">
        <v>1920</v>
      </c>
      <c r="N534" s="1" t="s">
        <v>716</v>
      </c>
      <c r="O534" s="1">
        <v>0</v>
      </c>
      <c r="P534" s="1" t="s">
        <v>2079</v>
      </c>
      <c r="Q534" s="7" t="s">
        <v>2051</v>
      </c>
    </row>
    <row r="535" spans="1:17" ht="14.25" thickBot="1">
      <c r="A535" s="1" t="s">
        <v>567</v>
      </c>
      <c r="B535" s="2">
        <v>0</v>
      </c>
      <c r="C535" s="1" t="s">
        <v>2032</v>
      </c>
      <c r="D535" s="1" t="str">
        <f t="shared" si="18"/>
        <v>戒指</v>
      </c>
      <c r="E535" s="1">
        <f>INDEX([1]游戏类型定义!$C$20:$C$29,MATCH(D535,[1]!装备部位,0))</f>
        <v>2</v>
      </c>
      <c r="F535" s="1">
        <v>2</v>
      </c>
      <c r="G535" s="1">
        <f t="shared" si="19"/>
        <v>45</v>
      </c>
      <c r="H535" s="10">
        <v>0</v>
      </c>
      <c r="I535" s="1">
        <v>9000</v>
      </c>
      <c r="J535" s="1">
        <v>10</v>
      </c>
      <c r="K535" s="1">
        <v>0</v>
      </c>
      <c r="L535" s="1">
        <v>0</v>
      </c>
      <c r="M535" s="1" t="s">
        <v>1921</v>
      </c>
      <c r="N535" s="1" t="s">
        <v>716</v>
      </c>
      <c r="O535" s="1">
        <v>0</v>
      </c>
      <c r="P535" s="1" t="s">
        <v>2079</v>
      </c>
      <c r="Q535" s="7" t="s">
        <v>2052</v>
      </c>
    </row>
    <row r="536" spans="1:17" ht="14.25" thickBot="1">
      <c r="A536" s="1" t="s">
        <v>568</v>
      </c>
      <c r="B536" s="3">
        <v>1</v>
      </c>
      <c r="C536" s="1" t="s">
        <v>2110</v>
      </c>
      <c r="D536" s="1" t="str">
        <f t="shared" ref="D536:D555" si="20">D206</f>
        <v>腰带</v>
      </c>
      <c r="E536" s="1">
        <f>INDEX([1]游戏类型定义!$C$20:$C$29,MATCH(D536,[1]!装备部位,0))</f>
        <v>3</v>
      </c>
      <c r="F536" s="1">
        <v>2</v>
      </c>
      <c r="G536" s="1">
        <f t="shared" ref="G536:G555" si="21">G206</f>
        <v>45</v>
      </c>
      <c r="H536" s="10">
        <v>0</v>
      </c>
      <c r="I536" s="1">
        <v>9000</v>
      </c>
      <c r="J536" s="1">
        <v>10</v>
      </c>
      <c r="K536" s="1">
        <v>0</v>
      </c>
      <c r="L536" s="1">
        <v>0</v>
      </c>
      <c r="M536" s="1" t="s">
        <v>1935</v>
      </c>
      <c r="N536" s="1" t="s">
        <v>716</v>
      </c>
      <c r="O536" s="1">
        <v>0</v>
      </c>
      <c r="P536" s="1" t="s">
        <v>2079</v>
      </c>
      <c r="Q536" s="7" t="s">
        <v>2447</v>
      </c>
    </row>
    <row r="537" spans="1:17" ht="14.25" thickBot="1">
      <c r="A537" s="1" t="s">
        <v>569</v>
      </c>
      <c r="B537" s="3">
        <v>1</v>
      </c>
      <c r="C537" s="1" t="s">
        <v>2125</v>
      </c>
      <c r="D537" s="1" t="str">
        <f t="shared" si="20"/>
        <v>鞋子</v>
      </c>
      <c r="E537" s="1">
        <f>INDEX([1]游戏类型定义!$C$20:$C$29,MATCH(D537,[1]!装备部位,0))</f>
        <v>8</v>
      </c>
      <c r="F537" s="1">
        <v>2</v>
      </c>
      <c r="G537" s="1">
        <f t="shared" si="21"/>
        <v>45</v>
      </c>
      <c r="H537" s="10">
        <v>0</v>
      </c>
      <c r="I537" s="1">
        <v>9000</v>
      </c>
      <c r="J537" s="1">
        <v>10</v>
      </c>
      <c r="K537" s="1">
        <v>0</v>
      </c>
      <c r="L537" s="1">
        <v>0</v>
      </c>
      <c r="M537" s="1" t="s">
        <v>1936</v>
      </c>
      <c r="N537" s="1" t="s">
        <v>716</v>
      </c>
      <c r="O537" s="1">
        <v>0</v>
      </c>
      <c r="P537" s="1" t="s">
        <v>2079</v>
      </c>
      <c r="Q537" s="7" t="s">
        <v>2448</v>
      </c>
    </row>
    <row r="538" spans="1:17" ht="14.25" thickBot="1">
      <c r="A538" s="1" t="s">
        <v>570</v>
      </c>
      <c r="B538" s="3">
        <v>1</v>
      </c>
      <c r="C538" s="1" t="s">
        <v>2143</v>
      </c>
      <c r="D538" s="1" t="str">
        <f t="shared" si="20"/>
        <v>手套</v>
      </c>
      <c r="E538" s="1">
        <f>INDEX([1]游戏类型定义!$C$20:$C$29,MATCH(D538,[1]!装备部位,0))</f>
        <v>9</v>
      </c>
      <c r="F538" s="1">
        <v>2</v>
      </c>
      <c r="G538" s="1">
        <f t="shared" si="21"/>
        <v>45</v>
      </c>
      <c r="H538" s="10">
        <v>0</v>
      </c>
      <c r="I538" s="1">
        <v>9000</v>
      </c>
      <c r="J538" s="1">
        <v>10</v>
      </c>
      <c r="K538" s="1">
        <v>0</v>
      </c>
      <c r="L538" s="1">
        <v>0</v>
      </c>
      <c r="M538" s="1" t="s">
        <v>1937</v>
      </c>
      <c r="N538" s="1" t="s">
        <v>716</v>
      </c>
      <c r="O538" s="1">
        <v>0</v>
      </c>
      <c r="P538" s="1" t="s">
        <v>2079</v>
      </c>
      <c r="Q538" s="7" t="s">
        <v>2449</v>
      </c>
    </row>
    <row r="539" spans="1:17" ht="14.25" thickBot="1">
      <c r="A539" s="1" t="s">
        <v>571</v>
      </c>
      <c r="B539" s="3">
        <v>1</v>
      </c>
      <c r="C539" s="1" t="s">
        <v>2151</v>
      </c>
      <c r="D539" s="1" t="str">
        <f t="shared" si="20"/>
        <v>项链</v>
      </c>
      <c r="E539" s="1">
        <f>INDEX([1]游戏类型定义!$C$20:$C$29,MATCH(D539,[1]!装备部位,0))</f>
        <v>10</v>
      </c>
      <c r="F539" s="1">
        <v>2</v>
      </c>
      <c r="G539" s="1">
        <f t="shared" si="21"/>
        <v>45</v>
      </c>
      <c r="H539" s="10">
        <v>0</v>
      </c>
      <c r="I539" s="1">
        <v>9000</v>
      </c>
      <c r="J539" s="1">
        <v>10</v>
      </c>
      <c r="K539" s="1">
        <v>0</v>
      </c>
      <c r="L539" s="1">
        <v>0</v>
      </c>
      <c r="M539" s="1" t="s">
        <v>1938</v>
      </c>
      <c r="N539" s="1" t="s">
        <v>716</v>
      </c>
      <c r="O539" s="1">
        <v>0</v>
      </c>
      <c r="P539" s="1" t="s">
        <v>2079</v>
      </c>
      <c r="Q539" s="7" t="s">
        <v>2450</v>
      </c>
    </row>
    <row r="540" spans="1:17" ht="14.25" thickBot="1">
      <c r="A540" s="1" t="s">
        <v>572</v>
      </c>
      <c r="B540" s="3">
        <v>1</v>
      </c>
      <c r="C540" s="9" t="s">
        <v>2260</v>
      </c>
      <c r="D540" s="1" t="str">
        <f t="shared" si="20"/>
        <v>主手武器</v>
      </c>
      <c r="E540" s="1">
        <f>INDEX([1]游戏类型定义!$C$20:$C$29,MATCH(D540,[1]!装备部位,0))</f>
        <v>5</v>
      </c>
      <c r="F540" s="1">
        <v>2</v>
      </c>
      <c r="G540" s="1">
        <f t="shared" si="21"/>
        <v>45</v>
      </c>
      <c r="H540" s="10" t="s">
        <v>2320</v>
      </c>
      <c r="I540" s="1">
        <v>9000</v>
      </c>
      <c r="J540" s="1">
        <v>10</v>
      </c>
      <c r="K540" s="1">
        <v>0</v>
      </c>
      <c r="L540" s="1">
        <v>0</v>
      </c>
      <c r="M540" s="1" t="s">
        <v>2024</v>
      </c>
      <c r="N540" s="1" t="s">
        <v>717</v>
      </c>
      <c r="O540" s="1">
        <v>0</v>
      </c>
      <c r="P540" s="1" t="s">
        <v>2079</v>
      </c>
      <c r="Q540" s="7" t="s">
        <v>2451</v>
      </c>
    </row>
    <row r="541" spans="1:17" ht="14.25" thickBot="1">
      <c r="A541" s="1" t="s">
        <v>573</v>
      </c>
      <c r="B541" s="2">
        <v>0</v>
      </c>
      <c r="C541" s="9" t="s">
        <v>2046</v>
      </c>
      <c r="D541" s="1" t="str">
        <f t="shared" si="20"/>
        <v>主手武器</v>
      </c>
      <c r="E541" s="1">
        <f>INDEX([1]游戏类型定义!$C$20:$C$29,MATCH(D541,[1]!装备部位,0))</f>
        <v>5</v>
      </c>
      <c r="F541" s="1">
        <v>2</v>
      </c>
      <c r="G541" s="1">
        <f t="shared" si="21"/>
        <v>45</v>
      </c>
      <c r="H541" s="10" t="s">
        <v>2320</v>
      </c>
      <c r="I541" s="1">
        <v>9600</v>
      </c>
      <c r="J541" s="1">
        <v>10</v>
      </c>
      <c r="K541" s="1">
        <v>0</v>
      </c>
      <c r="L541" s="1">
        <v>0</v>
      </c>
      <c r="M541" s="1" t="s">
        <v>2025</v>
      </c>
      <c r="N541" s="1" t="s">
        <v>717</v>
      </c>
      <c r="O541" s="1">
        <v>0</v>
      </c>
      <c r="P541" s="1" t="s">
        <v>2079</v>
      </c>
      <c r="Q541" s="7" t="s">
        <v>2057</v>
      </c>
    </row>
    <row r="542" spans="1:17" ht="14.25" thickBot="1">
      <c r="A542" s="1" t="s">
        <v>574</v>
      </c>
      <c r="B542" s="3">
        <v>1</v>
      </c>
      <c r="C542" s="9" t="s">
        <v>2261</v>
      </c>
      <c r="D542" s="1" t="str">
        <f t="shared" si="20"/>
        <v>副手武器</v>
      </c>
      <c r="E542" s="1">
        <f>INDEX([1]游戏类型定义!$C$20:$C$29,MATCH(D542,[1]!装备部位,0))</f>
        <v>6</v>
      </c>
      <c r="F542" s="1">
        <v>2</v>
      </c>
      <c r="G542" s="1">
        <f t="shared" si="21"/>
        <v>45</v>
      </c>
      <c r="H542" s="10" t="s">
        <v>2320</v>
      </c>
      <c r="I542" s="1">
        <v>9000</v>
      </c>
      <c r="J542" s="1">
        <v>10</v>
      </c>
      <c r="K542" s="1">
        <v>0</v>
      </c>
      <c r="L542" s="1">
        <v>0</v>
      </c>
      <c r="M542" s="1" t="s">
        <v>1939</v>
      </c>
      <c r="N542" s="1" t="s">
        <v>717</v>
      </c>
      <c r="O542" s="1">
        <v>0</v>
      </c>
      <c r="P542" s="1" t="s">
        <v>2079</v>
      </c>
      <c r="Q542" s="7" t="s">
        <v>2452</v>
      </c>
    </row>
    <row r="543" spans="1:17" ht="14.25" thickBot="1">
      <c r="A543" s="1" t="s">
        <v>575</v>
      </c>
      <c r="B543" s="2">
        <v>0</v>
      </c>
      <c r="C543" s="9" t="s">
        <v>2044</v>
      </c>
      <c r="D543" s="1" t="str">
        <f t="shared" si="20"/>
        <v>副手武器</v>
      </c>
      <c r="E543" s="1">
        <f>INDEX([1]游戏类型定义!$C$20:$C$29,MATCH(D543,[1]!装备部位,0))</f>
        <v>6</v>
      </c>
      <c r="F543" s="1">
        <v>2</v>
      </c>
      <c r="G543" s="1">
        <f t="shared" si="21"/>
        <v>45</v>
      </c>
      <c r="H543" s="10" t="s">
        <v>2320</v>
      </c>
      <c r="I543" s="1">
        <v>9600</v>
      </c>
      <c r="J543" s="1">
        <v>10</v>
      </c>
      <c r="K543" s="1">
        <v>0</v>
      </c>
      <c r="L543" s="1">
        <v>0</v>
      </c>
      <c r="M543" s="1" t="s">
        <v>1940</v>
      </c>
      <c r="N543" s="1" t="s">
        <v>717</v>
      </c>
      <c r="O543" s="1">
        <v>0</v>
      </c>
      <c r="P543" s="1" t="s">
        <v>2079</v>
      </c>
      <c r="Q543" s="7" t="s">
        <v>2058</v>
      </c>
    </row>
    <row r="544" spans="1:17" ht="14.25" thickBot="1">
      <c r="A544" s="1" t="s">
        <v>576</v>
      </c>
      <c r="B544" s="3">
        <v>1</v>
      </c>
      <c r="C544" s="1" t="s">
        <v>2262</v>
      </c>
      <c r="D544" s="1" t="str">
        <f t="shared" si="20"/>
        <v>主手武器</v>
      </c>
      <c r="E544" s="1">
        <f>INDEX([1]游戏类型定义!$C$20:$C$29,MATCH(D544,[1]!装备部位,0))</f>
        <v>5</v>
      </c>
      <c r="F544" s="1">
        <v>2</v>
      </c>
      <c r="G544" s="1">
        <f t="shared" si="21"/>
        <v>45</v>
      </c>
      <c r="H544" s="10" t="s">
        <v>2321</v>
      </c>
      <c r="I544" s="1">
        <v>9000</v>
      </c>
      <c r="J544" s="1">
        <v>10</v>
      </c>
      <c r="K544" s="1">
        <v>0</v>
      </c>
      <c r="L544" s="1">
        <v>0</v>
      </c>
      <c r="M544" s="1" t="s">
        <v>2024</v>
      </c>
      <c r="N544" s="1" t="s">
        <v>717</v>
      </c>
      <c r="O544" s="1">
        <v>0</v>
      </c>
      <c r="P544" s="1" t="s">
        <v>2079</v>
      </c>
      <c r="Q544" s="7" t="s">
        <v>2453</v>
      </c>
    </row>
    <row r="545" spans="1:17" ht="14.25" thickBot="1">
      <c r="A545" s="1" t="s">
        <v>577</v>
      </c>
      <c r="B545" s="2">
        <v>0</v>
      </c>
      <c r="C545" s="1" t="s">
        <v>2040</v>
      </c>
      <c r="D545" s="1" t="str">
        <f t="shared" si="20"/>
        <v>主手武器</v>
      </c>
      <c r="E545" s="1">
        <f>INDEX([1]游戏类型定义!$C$20:$C$29,MATCH(D545,[1]!装备部位,0))</f>
        <v>5</v>
      </c>
      <c r="F545" s="1">
        <v>2</v>
      </c>
      <c r="G545" s="1">
        <f t="shared" si="21"/>
        <v>45</v>
      </c>
      <c r="H545" s="10" t="s">
        <v>2321</v>
      </c>
      <c r="I545" s="1">
        <v>9600</v>
      </c>
      <c r="J545" s="1">
        <v>10</v>
      </c>
      <c r="K545" s="1">
        <v>0</v>
      </c>
      <c r="L545" s="1">
        <v>0</v>
      </c>
      <c r="M545" s="1" t="s">
        <v>2025</v>
      </c>
      <c r="N545" s="1" t="s">
        <v>717</v>
      </c>
      <c r="O545" s="1">
        <v>0</v>
      </c>
      <c r="P545" s="1" t="s">
        <v>2079</v>
      </c>
      <c r="Q545" s="7" t="s">
        <v>2059</v>
      </c>
    </row>
    <row r="546" spans="1:17" ht="14.25" thickBot="1">
      <c r="A546" s="1" t="s">
        <v>578</v>
      </c>
      <c r="B546" s="3">
        <v>1</v>
      </c>
      <c r="C546" s="9" t="s">
        <v>2263</v>
      </c>
      <c r="D546" s="1" t="str">
        <f t="shared" si="20"/>
        <v>副手武器</v>
      </c>
      <c r="E546" s="1">
        <f>INDEX([1]游戏类型定义!$C$20:$C$29,MATCH(D546,[1]!装备部位,0))</f>
        <v>6</v>
      </c>
      <c r="F546" s="1">
        <v>2</v>
      </c>
      <c r="G546" s="1">
        <f t="shared" si="21"/>
        <v>45</v>
      </c>
      <c r="H546" s="10" t="s">
        <v>2321</v>
      </c>
      <c r="I546" s="1">
        <v>9000</v>
      </c>
      <c r="J546" s="1">
        <v>10</v>
      </c>
      <c r="K546" s="1">
        <v>0</v>
      </c>
      <c r="L546" s="1">
        <v>0</v>
      </c>
      <c r="M546" s="1" t="s">
        <v>1941</v>
      </c>
      <c r="N546" s="1" t="s">
        <v>717</v>
      </c>
      <c r="O546" s="1">
        <v>0</v>
      </c>
      <c r="P546" s="1" t="s">
        <v>2079</v>
      </c>
      <c r="Q546" s="7" t="s">
        <v>2454</v>
      </c>
    </row>
    <row r="547" spans="1:17" ht="14.25" thickBot="1">
      <c r="A547" s="1" t="s">
        <v>579</v>
      </c>
      <c r="B547" s="2">
        <v>0</v>
      </c>
      <c r="C547" s="9" t="s">
        <v>2042</v>
      </c>
      <c r="D547" s="1" t="str">
        <f t="shared" si="20"/>
        <v>副手武器</v>
      </c>
      <c r="E547" s="1">
        <f>INDEX([1]游戏类型定义!$C$20:$C$29,MATCH(D547,[1]!装备部位,0))</f>
        <v>6</v>
      </c>
      <c r="F547" s="1">
        <v>2</v>
      </c>
      <c r="G547" s="1">
        <f t="shared" si="21"/>
        <v>45</v>
      </c>
      <c r="H547" s="10" t="s">
        <v>2321</v>
      </c>
      <c r="I547" s="1">
        <v>9600</v>
      </c>
      <c r="J547" s="1">
        <v>10</v>
      </c>
      <c r="K547" s="1">
        <v>0</v>
      </c>
      <c r="L547" s="1">
        <v>0</v>
      </c>
      <c r="M547" s="1" t="s">
        <v>1942</v>
      </c>
      <c r="N547" s="1" t="s">
        <v>717</v>
      </c>
      <c r="O547" s="1">
        <v>0</v>
      </c>
      <c r="P547" s="1" t="s">
        <v>2079</v>
      </c>
      <c r="Q547" s="7" t="s">
        <v>2060</v>
      </c>
    </row>
    <row r="548" spans="1:17" ht="14.25" thickBot="1">
      <c r="A548" s="1" t="s">
        <v>580</v>
      </c>
      <c r="B548" s="3">
        <v>1</v>
      </c>
      <c r="C548" s="9" t="s">
        <v>2257</v>
      </c>
      <c r="D548" s="1" t="str">
        <f t="shared" si="20"/>
        <v>主手武器</v>
      </c>
      <c r="E548" s="1">
        <f>INDEX([1]游戏类型定义!$C$20:$C$29,MATCH(D548,[1]!装备部位,0))</f>
        <v>5</v>
      </c>
      <c r="F548" s="1">
        <v>2</v>
      </c>
      <c r="G548" s="1">
        <f t="shared" si="21"/>
        <v>45</v>
      </c>
      <c r="H548" s="10" t="s">
        <v>2322</v>
      </c>
      <c r="I548" s="1">
        <v>9000</v>
      </c>
      <c r="J548" s="1">
        <v>10</v>
      </c>
      <c r="K548" s="1">
        <v>0</v>
      </c>
      <c r="L548" s="1">
        <v>0</v>
      </c>
      <c r="M548" s="1" t="s">
        <v>2024</v>
      </c>
      <c r="N548" s="1" t="s">
        <v>717</v>
      </c>
      <c r="O548" s="1">
        <v>0</v>
      </c>
      <c r="P548" s="1" t="s">
        <v>2079</v>
      </c>
      <c r="Q548" s="7" t="s">
        <v>2455</v>
      </c>
    </row>
    <row r="549" spans="1:17" ht="14.25" thickBot="1">
      <c r="A549" s="1" t="s">
        <v>581</v>
      </c>
      <c r="B549" s="3">
        <v>1</v>
      </c>
      <c r="C549" s="9" t="s">
        <v>2264</v>
      </c>
      <c r="D549" s="1" t="str">
        <f t="shared" si="20"/>
        <v>主手武器</v>
      </c>
      <c r="E549" s="1">
        <f>INDEX([1]游戏类型定义!$C$20:$C$29,MATCH(D549,[1]!装备部位,0))</f>
        <v>5</v>
      </c>
      <c r="F549" s="1">
        <v>2</v>
      </c>
      <c r="G549" s="1">
        <f t="shared" si="21"/>
        <v>45</v>
      </c>
      <c r="H549" s="10" t="s">
        <v>2322</v>
      </c>
      <c r="I549" s="1">
        <v>9600</v>
      </c>
      <c r="J549" s="1">
        <v>10</v>
      </c>
      <c r="K549" s="1">
        <v>0</v>
      </c>
      <c r="L549" s="1">
        <v>0</v>
      </c>
      <c r="M549" s="1" t="s">
        <v>2025</v>
      </c>
      <c r="N549" s="1" t="s">
        <v>717</v>
      </c>
      <c r="O549" s="1">
        <v>0</v>
      </c>
      <c r="P549" s="1" t="s">
        <v>2079</v>
      </c>
      <c r="Q549" s="7" t="s">
        <v>2456</v>
      </c>
    </row>
    <row r="550" spans="1:17" ht="14.25" thickBot="1">
      <c r="A550" s="1" t="s">
        <v>582</v>
      </c>
      <c r="B550" s="3">
        <v>1</v>
      </c>
      <c r="C550" s="9" t="s">
        <v>2266</v>
      </c>
      <c r="D550" s="1" t="str">
        <f t="shared" si="20"/>
        <v>副手武器</v>
      </c>
      <c r="E550" s="1">
        <f>INDEX([1]游戏类型定义!$C$20:$C$29,MATCH(D550,[1]!装备部位,0))</f>
        <v>6</v>
      </c>
      <c r="F550" s="1">
        <v>2</v>
      </c>
      <c r="G550" s="1">
        <f t="shared" si="21"/>
        <v>45</v>
      </c>
      <c r="H550" s="10" t="s">
        <v>2322</v>
      </c>
      <c r="I550" s="1">
        <v>9000</v>
      </c>
      <c r="J550" s="1">
        <v>10</v>
      </c>
      <c r="K550" s="1">
        <v>0</v>
      </c>
      <c r="L550" s="1">
        <v>0</v>
      </c>
      <c r="M550" s="1" t="s">
        <v>1943</v>
      </c>
      <c r="N550" s="1" t="s">
        <v>717</v>
      </c>
      <c r="O550" s="1">
        <v>0</v>
      </c>
      <c r="P550" s="1" t="s">
        <v>2079</v>
      </c>
      <c r="Q550" s="7" t="s">
        <v>2457</v>
      </c>
    </row>
    <row r="551" spans="1:17" ht="14.25" thickBot="1">
      <c r="A551" s="1" t="s">
        <v>583</v>
      </c>
      <c r="B551" s="2">
        <v>0</v>
      </c>
      <c r="C551" s="9" t="s">
        <v>2050</v>
      </c>
      <c r="D551" s="1" t="str">
        <f t="shared" si="20"/>
        <v>副手武器</v>
      </c>
      <c r="E551" s="1">
        <f>INDEX([1]游戏类型定义!$C$20:$C$29,MATCH(D551,[1]!装备部位,0))</f>
        <v>6</v>
      </c>
      <c r="F551" s="1">
        <v>2</v>
      </c>
      <c r="G551" s="1">
        <f t="shared" si="21"/>
        <v>45</v>
      </c>
      <c r="H551" s="10" t="s">
        <v>2322</v>
      </c>
      <c r="I551" s="1">
        <v>9600</v>
      </c>
      <c r="J551" s="1">
        <v>10</v>
      </c>
      <c r="K551" s="1">
        <v>0</v>
      </c>
      <c r="L551" s="1">
        <v>0</v>
      </c>
      <c r="M551" s="1" t="s">
        <v>1944</v>
      </c>
      <c r="N551" s="1" t="s">
        <v>717</v>
      </c>
      <c r="O551" s="1">
        <v>0</v>
      </c>
      <c r="P551" s="1" t="s">
        <v>2079</v>
      </c>
      <c r="Q551" s="7" t="s">
        <v>2062</v>
      </c>
    </row>
    <row r="552" spans="1:17" ht="14.25" thickBot="1">
      <c r="A552" s="1" t="s">
        <v>584</v>
      </c>
      <c r="B552" s="3">
        <v>1</v>
      </c>
      <c r="C552" s="1" t="s">
        <v>2168</v>
      </c>
      <c r="D552" s="1" t="str">
        <f t="shared" si="20"/>
        <v>胸甲</v>
      </c>
      <c r="E552" s="1">
        <f>INDEX([1]游戏类型定义!$C$20:$C$29,MATCH(D552,[1]!装备部位,0))</f>
        <v>4</v>
      </c>
      <c r="F552" s="1">
        <v>2</v>
      </c>
      <c r="G552" s="1">
        <f t="shared" si="21"/>
        <v>45</v>
      </c>
      <c r="H552" s="10">
        <v>0</v>
      </c>
      <c r="I552" s="1">
        <v>9000</v>
      </c>
      <c r="J552" s="1">
        <v>10</v>
      </c>
      <c r="K552" s="1">
        <v>0</v>
      </c>
      <c r="L552" s="1">
        <v>0</v>
      </c>
      <c r="M552" s="1" t="s">
        <v>1945</v>
      </c>
      <c r="N552" s="1" t="s">
        <v>716</v>
      </c>
      <c r="O552" s="1">
        <v>0</v>
      </c>
      <c r="P552" s="1" t="s">
        <v>2079</v>
      </c>
      <c r="Q552" s="7" t="s">
        <v>2458</v>
      </c>
    </row>
    <row r="553" spans="1:17" ht="14.25" thickBot="1">
      <c r="A553" s="1" t="s">
        <v>585</v>
      </c>
      <c r="B553" s="3">
        <v>1</v>
      </c>
      <c r="C553" s="1" t="s">
        <v>2169</v>
      </c>
      <c r="D553" s="1" t="str">
        <f t="shared" si="20"/>
        <v>胸甲</v>
      </c>
      <c r="E553" s="1">
        <f>INDEX([1]游戏类型定义!$C$20:$C$29,MATCH(D553,[1]!装备部位,0))</f>
        <v>4</v>
      </c>
      <c r="F553" s="1">
        <v>2</v>
      </c>
      <c r="G553" s="1">
        <f t="shared" si="21"/>
        <v>45</v>
      </c>
      <c r="H553" s="10">
        <v>0</v>
      </c>
      <c r="I553" s="1">
        <v>9600</v>
      </c>
      <c r="J553" s="1">
        <v>10</v>
      </c>
      <c r="K553" s="1">
        <v>0</v>
      </c>
      <c r="L553" s="1">
        <v>0</v>
      </c>
      <c r="M553" s="1" t="s">
        <v>1946</v>
      </c>
      <c r="N553" s="1" t="s">
        <v>716</v>
      </c>
      <c r="O553" s="1">
        <v>0</v>
      </c>
      <c r="P553" s="1" t="s">
        <v>2079</v>
      </c>
      <c r="Q553" s="7" t="s">
        <v>2459</v>
      </c>
    </row>
    <row r="554" spans="1:17" ht="14.25" thickBot="1">
      <c r="A554" s="1" t="s">
        <v>586</v>
      </c>
      <c r="B554" s="3">
        <v>1</v>
      </c>
      <c r="C554" s="1" t="s">
        <v>2186</v>
      </c>
      <c r="D554" s="1" t="str">
        <f t="shared" si="20"/>
        <v>护腿</v>
      </c>
      <c r="E554" s="1">
        <f>INDEX([1]游戏类型定义!$C$20:$C$29,MATCH(D554,[1]!装备部位,0))</f>
        <v>7</v>
      </c>
      <c r="F554" s="1">
        <v>2</v>
      </c>
      <c r="G554" s="1">
        <f t="shared" si="21"/>
        <v>45</v>
      </c>
      <c r="H554" s="10">
        <v>0</v>
      </c>
      <c r="I554" s="1">
        <v>9000</v>
      </c>
      <c r="J554" s="1">
        <v>10</v>
      </c>
      <c r="K554" s="1">
        <v>0</v>
      </c>
      <c r="L554" s="1">
        <v>0</v>
      </c>
      <c r="M554" s="1" t="s">
        <v>1931</v>
      </c>
      <c r="N554" s="1" t="s">
        <v>716</v>
      </c>
      <c r="O554" s="1">
        <v>0</v>
      </c>
      <c r="P554" s="1" t="s">
        <v>2079</v>
      </c>
      <c r="Q554" s="7" t="s">
        <v>2460</v>
      </c>
    </row>
    <row r="555" spans="1:17" ht="14.25" thickBot="1">
      <c r="A555" s="1" t="s">
        <v>587</v>
      </c>
      <c r="B555" s="3">
        <v>1</v>
      </c>
      <c r="C555" s="1" t="s">
        <v>2187</v>
      </c>
      <c r="D555" s="1" t="str">
        <f t="shared" si="20"/>
        <v>护腿</v>
      </c>
      <c r="E555" s="1">
        <f>INDEX([1]游戏类型定义!$C$20:$C$29,MATCH(D555,[1]!装备部位,0))</f>
        <v>7</v>
      </c>
      <c r="F555" s="1">
        <v>2</v>
      </c>
      <c r="G555" s="1">
        <f t="shared" si="21"/>
        <v>45</v>
      </c>
      <c r="H555" s="10">
        <v>0</v>
      </c>
      <c r="I555" s="1">
        <v>9600</v>
      </c>
      <c r="J555" s="1">
        <v>10</v>
      </c>
      <c r="K555" s="1">
        <v>0</v>
      </c>
      <c r="L555" s="1">
        <v>0</v>
      </c>
      <c r="M555" s="1" t="s">
        <v>1932</v>
      </c>
      <c r="N555" s="1" t="s">
        <v>716</v>
      </c>
      <c r="O555" s="1">
        <v>0</v>
      </c>
      <c r="P555" s="1" t="s">
        <v>2079</v>
      </c>
      <c r="Q555" s="7" t="s">
        <v>2461</v>
      </c>
    </row>
    <row r="556" spans="1:17" ht="14.25" thickBot="1">
      <c r="A556" s="1" t="s">
        <v>588</v>
      </c>
      <c r="B556" s="3">
        <v>1</v>
      </c>
      <c r="C556" s="1" t="s">
        <v>2105</v>
      </c>
      <c r="D556" s="1" t="str">
        <f t="shared" ref="D556:D575" si="22">D226</f>
        <v>头盔</v>
      </c>
      <c r="E556" s="1">
        <f>INDEX([1]游戏类型定义!$C$20:$C$29,MATCH(D556,[1]!装备部位,0))</f>
        <v>1</v>
      </c>
      <c r="F556" s="1">
        <v>2</v>
      </c>
      <c r="G556" s="1">
        <f t="shared" ref="G556:G575" si="23">G226</f>
        <v>50</v>
      </c>
      <c r="H556" s="10">
        <v>0</v>
      </c>
      <c r="I556" s="1">
        <v>10000</v>
      </c>
      <c r="J556" s="1">
        <v>10</v>
      </c>
      <c r="K556" s="1">
        <v>0</v>
      </c>
      <c r="L556" s="1">
        <v>0</v>
      </c>
      <c r="M556" s="1" t="s">
        <v>1947</v>
      </c>
      <c r="N556" s="1" t="s">
        <v>718</v>
      </c>
      <c r="O556" s="1">
        <v>0</v>
      </c>
      <c r="P556" s="1" t="s">
        <v>2080</v>
      </c>
      <c r="Q556" s="7" t="s">
        <v>2462</v>
      </c>
    </row>
    <row r="557" spans="1:17" ht="14.25" thickBot="1">
      <c r="A557" s="1" t="s">
        <v>589</v>
      </c>
      <c r="B557" s="3">
        <v>1</v>
      </c>
      <c r="C557" s="1" t="s">
        <v>2115</v>
      </c>
      <c r="D557" s="1" t="str">
        <f t="shared" si="22"/>
        <v>戒指</v>
      </c>
      <c r="E557" s="1">
        <f>INDEX([1]游戏类型定义!$C$20:$C$29,MATCH(D557,[1]!装备部位,0))</f>
        <v>2</v>
      </c>
      <c r="F557" s="1">
        <v>2</v>
      </c>
      <c r="G557" s="1">
        <f t="shared" si="23"/>
        <v>50</v>
      </c>
      <c r="H557" s="10">
        <v>0</v>
      </c>
      <c r="I557" s="1">
        <v>10000</v>
      </c>
      <c r="J557" s="1">
        <v>10</v>
      </c>
      <c r="K557" s="1">
        <v>0</v>
      </c>
      <c r="L557" s="1">
        <v>0</v>
      </c>
      <c r="M557" s="1" t="s">
        <v>1948</v>
      </c>
      <c r="N557" s="1" t="s">
        <v>718</v>
      </c>
      <c r="O557" s="1">
        <v>0</v>
      </c>
      <c r="P557" s="1" t="s">
        <v>2080</v>
      </c>
      <c r="Q557" s="7" t="s">
        <v>2463</v>
      </c>
    </row>
    <row r="558" spans="1:17" ht="14.25" thickBot="1">
      <c r="A558" s="1" t="s">
        <v>590</v>
      </c>
      <c r="B558" s="3">
        <v>1</v>
      </c>
      <c r="C558" s="1" t="s">
        <v>2092</v>
      </c>
      <c r="D558" s="1" t="str">
        <f t="shared" si="22"/>
        <v>腰带</v>
      </c>
      <c r="E558" s="1">
        <f>INDEX([1]游戏类型定义!$C$20:$C$29,MATCH(D558,[1]!装备部位,0))</f>
        <v>3</v>
      </c>
      <c r="F558" s="1">
        <v>2</v>
      </c>
      <c r="G558" s="1">
        <f t="shared" si="23"/>
        <v>50</v>
      </c>
      <c r="H558" s="10">
        <v>0</v>
      </c>
      <c r="I558" s="1">
        <v>10000</v>
      </c>
      <c r="J558" s="1">
        <v>10</v>
      </c>
      <c r="K558" s="1">
        <v>0</v>
      </c>
      <c r="L558" s="1">
        <v>0</v>
      </c>
      <c r="M558" s="1" t="s">
        <v>1949</v>
      </c>
      <c r="N558" s="1" t="s">
        <v>718</v>
      </c>
      <c r="O558" s="1">
        <v>0</v>
      </c>
      <c r="P558" s="1" t="s">
        <v>2080</v>
      </c>
      <c r="Q558" s="7" t="s">
        <v>2464</v>
      </c>
    </row>
    <row r="559" spans="1:17" ht="14.25" thickBot="1">
      <c r="A559" s="1" t="s">
        <v>591</v>
      </c>
      <c r="B559" s="2">
        <v>0</v>
      </c>
      <c r="C559" s="1" t="s">
        <v>2127</v>
      </c>
      <c r="D559" s="1" t="str">
        <f t="shared" si="22"/>
        <v>鞋子</v>
      </c>
      <c r="E559" s="1">
        <f>INDEX([1]游戏类型定义!$C$20:$C$29,MATCH(D559,[1]!装备部位,0))</f>
        <v>8</v>
      </c>
      <c r="F559" s="1">
        <v>2</v>
      </c>
      <c r="G559" s="1">
        <f t="shared" si="23"/>
        <v>50</v>
      </c>
      <c r="H559" s="10">
        <v>0</v>
      </c>
      <c r="I559" s="1">
        <v>10000</v>
      </c>
      <c r="J559" s="1">
        <v>10</v>
      </c>
      <c r="K559" s="1">
        <v>0</v>
      </c>
      <c r="L559" s="1">
        <v>0</v>
      </c>
      <c r="M559" s="1" t="s">
        <v>1950</v>
      </c>
      <c r="N559" s="1" t="s">
        <v>718</v>
      </c>
      <c r="O559" s="1">
        <v>0</v>
      </c>
      <c r="P559" s="1" t="s">
        <v>2080</v>
      </c>
      <c r="Q559" s="7" t="s">
        <v>2054</v>
      </c>
    </row>
    <row r="560" spans="1:17" ht="14.25" thickBot="1">
      <c r="A560" s="1" t="s">
        <v>592</v>
      </c>
      <c r="B560" s="3">
        <v>1</v>
      </c>
      <c r="C560" s="1" t="s">
        <v>2137</v>
      </c>
      <c r="D560" s="1" t="str">
        <f t="shared" si="22"/>
        <v>手套</v>
      </c>
      <c r="E560" s="1">
        <f>INDEX([1]游戏类型定义!$C$20:$C$29,MATCH(D560,[1]!装备部位,0))</f>
        <v>9</v>
      </c>
      <c r="F560" s="1">
        <v>2</v>
      </c>
      <c r="G560" s="1">
        <f t="shared" si="23"/>
        <v>50</v>
      </c>
      <c r="H560" s="10">
        <v>0</v>
      </c>
      <c r="I560" s="1">
        <v>10000</v>
      </c>
      <c r="J560" s="1">
        <v>10</v>
      </c>
      <c r="K560" s="1">
        <v>0</v>
      </c>
      <c r="L560" s="1">
        <v>0</v>
      </c>
      <c r="M560" s="1" t="s">
        <v>1951</v>
      </c>
      <c r="N560" s="1" t="s">
        <v>718</v>
      </c>
      <c r="O560" s="1">
        <v>0</v>
      </c>
      <c r="P560" s="1" t="s">
        <v>2080</v>
      </c>
      <c r="Q560" s="7" t="s">
        <v>2465</v>
      </c>
    </row>
    <row r="561" spans="1:17" ht="14.25" thickBot="1">
      <c r="A561" s="1" t="s">
        <v>593</v>
      </c>
      <c r="B561" s="3">
        <v>1</v>
      </c>
      <c r="C561" s="1" t="s">
        <v>2152</v>
      </c>
      <c r="D561" s="1" t="str">
        <f t="shared" si="22"/>
        <v>项链</v>
      </c>
      <c r="E561" s="1">
        <f>INDEX([1]游戏类型定义!$C$20:$C$29,MATCH(D561,[1]!装备部位,0))</f>
        <v>10</v>
      </c>
      <c r="F561" s="1">
        <v>2</v>
      </c>
      <c r="G561" s="1">
        <f t="shared" si="23"/>
        <v>50</v>
      </c>
      <c r="H561" s="10">
        <v>0</v>
      </c>
      <c r="I561" s="1">
        <v>10000</v>
      </c>
      <c r="J561" s="1">
        <v>10</v>
      </c>
      <c r="K561" s="1">
        <v>0</v>
      </c>
      <c r="L561" s="1">
        <v>0</v>
      </c>
      <c r="M561" s="1" t="s">
        <v>1952</v>
      </c>
      <c r="N561" s="1" t="s">
        <v>718</v>
      </c>
      <c r="O561" s="1">
        <v>0</v>
      </c>
      <c r="P561" s="1" t="s">
        <v>2080</v>
      </c>
      <c r="Q561" s="7" t="s">
        <v>2466</v>
      </c>
    </row>
    <row r="562" spans="1:17" ht="14.25" thickBot="1">
      <c r="A562" s="1" t="s">
        <v>594</v>
      </c>
      <c r="B562" s="3">
        <v>1</v>
      </c>
      <c r="C562" s="9" t="s">
        <v>2269</v>
      </c>
      <c r="D562" s="1" t="str">
        <f t="shared" si="22"/>
        <v>主手武器</v>
      </c>
      <c r="E562" s="1">
        <f>INDEX([1]游戏类型定义!$C$20:$C$29,MATCH(D562,[1]!装备部位,0))</f>
        <v>5</v>
      </c>
      <c r="F562" s="1">
        <v>2</v>
      </c>
      <c r="G562" s="1">
        <f t="shared" si="23"/>
        <v>50</v>
      </c>
      <c r="H562" s="10" t="s">
        <v>2320</v>
      </c>
      <c r="I562" s="1">
        <v>10000</v>
      </c>
      <c r="J562" s="1">
        <v>10</v>
      </c>
      <c r="K562" s="1">
        <v>0</v>
      </c>
      <c r="L562" s="1">
        <v>0</v>
      </c>
      <c r="M562" s="1" t="s">
        <v>1953</v>
      </c>
      <c r="N562" s="1" t="s">
        <v>719</v>
      </c>
      <c r="O562" s="1">
        <v>0</v>
      </c>
      <c r="P562" s="1" t="s">
        <v>2080</v>
      </c>
      <c r="Q562" s="7" t="s">
        <v>2467</v>
      </c>
    </row>
    <row r="563" spans="1:17" ht="14.25" thickBot="1">
      <c r="A563" s="1" t="s">
        <v>595</v>
      </c>
      <c r="B563" s="3">
        <v>1</v>
      </c>
      <c r="C563" s="9" t="s">
        <v>2267</v>
      </c>
      <c r="D563" s="1" t="str">
        <f t="shared" si="22"/>
        <v>主手武器</v>
      </c>
      <c r="E563" s="1">
        <f>INDEX([1]游戏类型定义!$C$20:$C$29,MATCH(D563,[1]!装备部位,0))</f>
        <v>5</v>
      </c>
      <c r="F563" s="1">
        <v>2</v>
      </c>
      <c r="G563" s="1">
        <f t="shared" si="23"/>
        <v>50</v>
      </c>
      <c r="H563" s="10" t="s">
        <v>2320</v>
      </c>
      <c r="I563" s="1">
        <v>10600</v>
      </c>
      <c r="J563" s="1">
        <v>10</v>
      </c>
      <c r="K563" s="1">
        <v>0</v>
      </c>
      <c r="L563" s="1">
        <v>0</v>
      </c>
      <c r="M563" s="1" t="s">
        <v>1954</v>
      </c>
      <c r="N563" s="1" t="s">
        <v>719</v>
      </c>
      <c r="O563" s="1">
        <v>0</v>
      </c>
      <c r="P563" s="1" t="s">
        <v>2080</v>
      </c>
      <c r="Q563" s="7" t="s">
        <v>2468</v>
      </c>
    </row>
    <row r="564" spans="1:17" ht="14.25" thickBot="1">
      <c r="A564" s="1" t="s">
        <v>596</v>
      </c>
      <c r="B564" s="3">
        <v>1</v>
      </c>
      <c r="C564" s="9" t="s">
        <v>2268</v>
      </c>
      <c r="D564" s="1" t="str">
        <f t="shared" si="22"/>
        <v>副手武器</v>
      </c>
      <c r="E564" s="1">
        <f>INDEX([1]游戏类型定义!$C$20:$C$29,MATCH(D564,[1]!装备部位,0))</f>
        <v>6</v>
      </c>
      <c r="F564" s="1">
        <v>2</v>
      </c>
      <c r="G564" s="1">
        <f t="shared" si="23"/>
        <v>50</v>
      </c>
      <c r="H564" s="10" t="s">
        <v>2320</v>
      </c>
      <c r="I564" s="1">
        <v>10000</v>
      </c>
      <c r="J564" s="1">
        <v>10</v>
      </c>
      <c r="K564" s="1">
        <v>0</v>
      </c>
      <c r="L564" s="1">
        <v>0</v>
      </c>
      <c r="M564" s="1" t="s">
        <v>1955</v>
      </c>
      <c r="N564" s="1" t="s">
        <v>719</v>
      </c>
      <c r="O564" s="1">
        <v>0</v>
      </c>
      <c r="P564" s="1" t="s">
        <v>2080</v>
      </c>
      <c r="Q564" s="7" t="s">
        <v>2469</v>
      </c>
    </row>
    <row r="565" spans="1:17" ht="14.25" thickBot="1">
      <c r="A565" s="1" t="s">
        <v>597</v>
      </c>
      <c r="B565" s="3">
        <v>1</v>
      </c>
      <c r="C565" s="9" t="s">
        <v>2271</v>
      </c>
      <c r="D565" s="1" t="str">
        <f t="shared" si="22"/>
        <v>副手武器</v>
      </c>
      <c r="E565" s="1">
        <f>INDEX([1]游戏类型定义!$C$20:$C$29,MATCH(D565,[1]!装备部位,0))</f>
        <v>6</v>
      </c>
      <c r="F565" s="1">
        <v>2</v>
      </c>
      <c r="G565" s="1">
        <f t="shared" si="23"/>
        <v>50</v>
      </c>
      <c r="H565" s="10" t="s">
        <v>2320</v>
      </c>
      <c r="I565" s="1">
        <v>10600</v>
      </c>
      <c r="J565" s="1">
        <v>10</v>
      </c>
      <c r="K565" s="1">
        <v>0</v>
      </c>
      <c r="L565" s="1">
        <v>0</v>
      </c>
      <c r="M565" s="1" t="s">
        <v>1956</v>
      </c>
      <c r="N565" s="1" t="s">
        <v>719</v>
      </c>
      <c r="O565" s="1">
        <v>0</v>
      </c>
      <c r="P565" s="1" t="s">
        <v>2080</v>
      </c>
      <c r="Q565" s="7" t="s">
        <v>2470</v>
      </c>
    </row>
    <row r="566" spans="1:17" ht="14.25" thickBot="1">
      <c r="A566" s="1" t="s">
        <v>598</v>
      </c>
      <c r="B566" s="3">
        <v>1</v>
      </c>
      <c r="C566" s="1" t="s">
        <v>2270</v>
      </c>
      <c r="D566" s="1" t="str">
        <f t="shared" si="22"/>
        <v>主手武器</v>
      </c>
      <c r="E566" s="1">
        <f>INDEX([1]游戏类型定义!$C$20:$C$29,MATCH(D566,[1]!装备部位,0))</f>
        <v>5</v>
      </c>
      <c r="F566" s="1">
        <v>2</v>
      </c>
      <c r="G566" s="1">
        <f t="shared" si="23"/>
        <v>50</v>
      </c>
      <c r="H566" s="10" t="s">
        <v>2321</v>
      </c>
      <c r="I566" s="1">
        <v>10000</v>
      </c>
      <c r="J566" s="1">
        <v>10</v>
      </c>
      <c r="K566" s="1">
        <v>0</v>
      </c>
      <c r="L566" s="1">
        <v>0</v>
      </c>
      <c r="M566" s="1" t="s">
        <v>1953</v>
      </c>
      <c r="N566" s="1" t="s">
        <v>719</v>
      </c>
      <c r="O566" s="1">
        <v>0</v>
      </c>
      <c r="P566" s="1" t="s">
        <v>2080</v>
      </c>
      <c r="Q566" s="7" t="s">
        <v>2471</v>
      </c>
    </row>
    <row r="567" spans="1:17" ht="14.25" thickBot="1">
      <c r="A567" s="1" t="s">
        <v>599</v>
      </c>
      <c r="B567" s="3">
        <v>1</v>
      </c>
      <c r="C567" s="1" t="s">
        <v>2318</v>
      </c>
      <c r="D567" s="1" t="str">
        <f t="shared" si="22"/>
        <v>主手武器</v>
      </c>
      <c r="E567" s="1">
        <f>INDEX([1]游戏类型定义!$C$20:$C$29,MATCH(D567,[1]!装备部位,0))</f>
        <v>5</v>
      </c>
      <c r="F567" s="1">
        <v>2</v>
      </c>
      <c r="G567" s="1">
        <f t="shared" si="23"/>
        <v>50</v>
      </c>
      <c r="H567" s="10" t="s">
        <v>2321</v>
      </c>
      <c r="I567" s="1">
        <v>10600</v>
      </c>
      <c r="J567" s="1">
        <v>10</v>
      </c>
      <c r="K567" s="1">
        <v>0</v>
      </c>
      <c r="L567" s="1">
        <v>0</v>
      </c>
      <c r="M567" s="1" t="s">
        <v>1954</v>
      </c>
      <c r="N567" s="1" t="s">
        <v>719</v>
      </c>
      <c r="O567" s="1">
        <v>0</v>
      </c>
      <c r="P567" s="1" t="s">
        <v>2080</v>
      </c>
      <c r="Q567" s="7" t="s">
        <v>2472</v>
      </c>
    </row>
    <row r="568" spans="1:17" ht="14.25" thickBot="1">
      <c r="A568" s="1" t="s">
        <v>600</v>
      </c>
      <c r="B568" s="3">
        <v>1</v>
      </c>
      <c r="C568" s="9" t="s">
        <v>2272</v>
      </c>
      <c r="D568" s="1" t="str">
        <f t="shared" si="22"/>
        <v>副手武器</v>
      </c>
      <c r="E568" s="1">
        <f>INDEX([1]游戏类型定义!$C$20:$C$29,MATCH(D568,[1]!装备部位,0))</f>
        <v>6</v>
      </c>
      <c r="F568" s="1">
        <v>2</v>
      </c>
      <c r="G568" s="1">
        <f t="shared" si="23"/>
        <v>50</v>
      </c>
      <c r="H568" s="10" t="s">
        <v>2321</v>
      </c>
      <c r="I568" s="1">
        <v>10000</v>
      </c>
      <c r="J568" s="1">
        <v>10</v>
      </c>
      <c r="K568" s="1">
        <v>0</v>
      </c>
      <c r="L568" s="1">
        <v>0</v>
      </c>
      <c r="M568" s="1" t="s">
        <v>1957</v>
      </c>
      <c r="N568" s="1" t="s">
        <v>719</v>
      </c>
      <c r="O568" s="1">
        <v>0</v>
      </c>
      <c r="P568" s="1" t="s">
        <v>2080</v>
      </c>
      <c r="Q568" s="7" t="s">
        <v>2473</v>
      </c>
    </row>
    <row r="569" spans="1:17" ht="14.25" thickBot="1">
      <c r="A569" s="1" t="s">
        <v>601</v>
      </c>
      <c r="B569" s="3">
        <v>1</v>
      </c>
      <c r="C569" s="9" t="s">
        <v>2273</v>
      </c>
      <c r="D569" s="1" t="str">
        <f t="shared" si="22"/>
        <v>副手武器</v>
      </c>
      <c r="E569" s="1">
        <f>INDEX([1]游戏类型定义!$C$20:$C$29,MATCH(D569,[1]!装备部位,0))</f>
        <v>6</v>
      </c>
      <c r="F569" s="1">
        <v>2</v>
      </c>
      <c r="G569" s="1">
        <f t="shared" si="23"/>
        <v>50</v>
      </c>
      <c r="H569" s="10" t="s">
        <v>2321</v>
      </c>
      <c r="I569" s="1">
        <v>10600</v>
      </c>
      <c r="J569" s="1">
        <v>10</v>
      </c>
      <c r="K569" s="1">
        <v>0</v>
      </c>
      <c r="L569" s="1">
        <v>0</v>
      </c>
      <c r="M569" s="1" t="s">
        <v>1958</v>
      </c>
      <c r="N569" s="1" t="s">
        <v>719</v>
      </c>
      <c r="O569" s="1">
        <v>0</v>
      </c>
      <c r="P569" s="1" t="s">
        <v>2080</v>
      </c>
      <c r="Q569" s="7" t="s">
        <v>2474</v>
      </c>
    </row>
    <row r="570" spans="1:17" ht="14.25" thickBot="1">
      <c r="A570" s="1" t="s">
        <v>602</v>
      </c>
      <c r="B570" s="3">
        <v>1</v>
      </c>
      <c r="C570" s="9" t="s">
        <v>2265</v>
      </c>
      <c r="D570" s="1" t="str">
        <f t="shared" si="22"/>
        <v>主手武器</v>
      </c>
      <c r="E570" s="1">
        <f>INDEX([1]游戏类型定义!$C$20:$C$29,MATCH(D570,[1]!装备部位,0))</f>
        <v>5</v>
      </c>
      <c r="F570" s="1">
        <v>2</v>
      </c>
      <c r="G570" s="1">
        <f t="shared" si="23"/>
        <v>50</v>
      </c>
      <c r="H570" s="10" t="s">
        <v>2322</v>
      </c>
      <c r="I570" s="1">
        <v>10000</v>
      </c>
      <c r="J570" s="1">
        <v>10</v>
      </c>
      <c r="K570" s="1">
        <v>0</v>
      </c>
      <c r="L570" s="1">
        <v>0</v>
      </c>
      <c r="M570" s="1" t="s">
        <v>1953</v>
      </c>
      <c r="N570" s="1" t="s">
        <v>719</v>
      </c>
      <c r="O570" s="1">
        <v>0</v>
      </c>
      <c r="P570" s="1" t="s">
        <v>2080</v>
      </c>
      <c r="Q570" s="7" t="s">
        <v>2475</v>
      </c>
    </row>
    <row r="571" spans="1:17" ht="14.25" thickBot="1">
      <c r="A571" s="1" t="s">
        <v>603</v>
      </c>
      <c r="B571" s="3">
        <v>1</v>
      </c>
      <c r="C571" s="9" t="s">
        <v>2290</v>
      </c>
      <c r="D571" s="1" t="str">
        <f t="shared" si="22"/>
        <v>主手武器</v>
      </c>
      <c r="E571" s="1">
        <f>INDEX([1]游戏类型定义!$C$20:$C$29,MATCH(D571,[1]!装备部位,0))</f>
        <v>5</v>
      </c>
      <c r="F571" s="1">
        <v>2</v>
      </c>
      <c r="G571" s="1">
        <f t="shared" si="23"/>
        <v>50</v>
      </c>
      <c r="H571" s="10" t="s">
        <v>2322</v>
      </c>
      <c r="I571" s="1">
        <v>10600</v>
      </c>
      <c r="J571" s="1">
        <v>10</v>
      </c>
      <c r="K571" s="1">
        <v>0</v>
      </c>
      <c r="L571" s="1">
        <v>0</v>
      </c>
      <c r="M571" s="1" t="s">
        <v>1954</v>
      </c>
      <c r="N571" s="1" t="s">
        <v>719</v>
      </c>
      <c r="O571" s="1">
        <v>0</v>
      </c>
      <c r="P571" s="1" t="s">
        <v>2080</v>
      </c>
      <c r="Q571" s="7" t="s">
        <v>2476</v>
      </c>
    </row>
    <row r="572" spans="1:17" ht="14.25" thickBot="1">
      <c r="A572" s="1" t="s">
        <v>604</v>
      </c>
      <c r="B572" s="3">
        <v>1</v>
      </c>
      <c r="C572" s="9" t="s">
        <v>2275</v>
      </c>
      <c r="D572" s="1" t="str">
        <f t="shared" si="22"/>
        <v>副手武器</v>
      </c>
      <c r="E572" s="1">
        <f>INDEX([1]游戏类型定义!$C$20:$C$29,MATCH(D572,[1]!装备部位,0))</f>
        <v>6</v>
      </c>
      <c r="F572" s="1">
        <v>2</v>
      </c>
      <c r="G572" s="1">
        <f t="shared" si="23"/>
        <v>50</v>
      </c>
      <c r="H572" s="10" t="s">
        <v>2322</v>
      </c>
      <c r="I572" s="1">
        <v>10000</v>
      </c>
      <c r="J572" s="1">
        <v>10</v>
      </c>
      <c r="K572" s="1">
        <v>0</v>
      </c>
      <c r="L572" s="1">
        <v>0</v>
      </c>
      <c r="M572" s="1" t="s">
        <v>1959</v>
      </c>
      <c r="N572" s="1" t="s">
        <v>719</v>
      </c>
      <c r="O572" s="1">
        <v>0</v>
      </c>
      <c r="P572" s="1" t="s">
        <v>2080</v>
      </c>
      <c r="Q572" s="7" t="s">
        <v>2477</v>
      </c>
    </row>
    <row r="573" spans="1:17" ht="14.25" thickBot="1">
      <c r="A573" s="1" t="s">
        <v>605</v>
      </c>
      <c r="B573" s="3">
        <v>1</v>
      </c>
      <c r="C573" s="9" t="s">
        <v>2276</v>
      </c>
      <c r="D573" s="1" t="str">
        <f t="shared" si="22"/>
        <v>副手武器</v>
      </c>
      <c r="E573" s="1">
        <f>INDEX([1]游戏类型定义!$C$20:$C$29,MATCH(D573,[1]!装备部位,0))</f>
        <v>6</v>
      </c>
      <c r="F573" s="1">
        <v>2</v>
      </c>
      <c r="G573" s="1">
        <f t="shared" si="23"/>
        <v>50</v>
      </c>
      <c r="H573" s="10" t="s">
        <v>2322</v>
      </c>
      <c r="I573" s="1">
        <v>10600</v>
      </c>
      <c r="J573" s="1">
        <v>10</v>
      </c>
      <c r="K573" s="1">
        <v>0</v>
      </c>
      <c r="L573" s="1">
        <v>0</v>
      </c>
      <c r="M573" s="1" t="s">
        <v>1960</v>
      </c>
      <c r="N573" s="1" t="s">
        <v>719</v>
      </c>
      <c r="O573" s="1">
        <v>0</v>
      </c>
      <c r="P573" s="1" t="s">
        <v>2080</v>
      </c>
      <c r="Q573" s="7" t="s">
        <v>2478</v>
      </c>
    </row>
    <row r="574" spans="1:17" ht="14.25" thickBot="1">
      <c r="A574" s="1" t="s">
        <v>606</v>
      </c>
      <c r="B574" s="2">
        <v>0</v>
      </c>
      <c r="C574" s="1" t="s">
        <v>2030</v>
      </c>
      <c r="D574" s="1" t="str">
        <f t="shared" si="22"/>
        <v>胸甲</v>
      </c>
      <c r="E574" s="1">
        <f>INDEX([1]游戏类型定义!$C$20:$C$29,MATCH(D574,[1]!装备部位,0))</f>
        <v>4</v>
      </c>
      <c r="F574" s="1">
        <v>2</v>
      </c>
      <c r="G574" s="1">
        <f t="shared" si="23"/>
        <v>50</v>
      </c>
      <c r="H574" s="10">
        <v>0</v>
      </c>
      <c r="I574" s="1">
        <v>10000</v>
      </c>
      <c r="J574" s="1">
        <v>10</v>
      </c>
      <c r="K574" s="1">
        <v>0</v>
      </c>
      <c r="L574" s="1">
        <v>0</v>
      </c>
      <c r="M574" s="1" t="s">
        <v>1961</v>
      </c>
      <c r="N574" s="1" t="s">
        <v>718</v>
      </c>
      <c r="O574" s="1">
        <v>0</v>
      </c>
      <c r="P574" s="1" t="s">
        <v>2080</v>
      </c>
      <c r="Q574" s="7" t="s">
        <v>2063</v>
      </c>
    </row>
    <row r="575" spans="1:17" ht="14.25" thickBot="1">
      <c r="A575" s="1" t="s">
        <v>607</v>
      </c>
      <c r="B575" s="2">
        <v>0</v>
      </c>
      <c r="C575" s="1" t="s">
        <v>2030</v>
      </c>
      <c r="D575" s="1" t="str">
        <f t="shared" si="22"/>
        <v>胸甲</v>
      </c>
      <c r="E575" s="1">
        <f>INDEX([1]游戏类型定义!$C$20:$C$29,MATCH(D575,[1]!装备部位,0))</f>
        <v>4</v>
      </c>
      <c r="F575" s="1">
        <v>2</v>
      </c>
      <c r="G575" s="1">
        <f t="shared" si="23"/>
        <v>50</v>
      </c>
      <c r="H575" s="10">
        <v>0</v>
      </c>
      <c r="I575" s="1">
        <v>10600</v>
      </c>
      <c r="J575" s="1">
        <v>10</v>
      </c>
      <c r="K575" s="1">
        <v>0</v>
      </c>
      <c r="L575" s="1">
        <v>0</v>
      </c>
      <c r="M575" s="1" t="s">
        <v>1962</v>
      </c>
      <c r="N575" s="1" t="s">
        <v>718</v>
      </c>
      <c r="O575" s="1">
        <v>0</v>
      </c>
      <c r="P575" s="1" t="s">
        <v>2080</v>
      </c>
      <c r="Q575" s="7" t="s">
        <v>2063</v>
      </c>
    </row>
    <row r="576" spans="1:17" ht="14.25" thickBot="1">
      <c r="A576" s="1" t="s">
        <v>608</v>
      </c>
      <c r="B576" s="3">
        <v>1</v>
      </c>
      <c r="C576" s="1" t="s">
        <v>2188</v>
      </c>
      <c r="D576" s="1" t="str">
        <f t="shared" ref="D576:D595" si="24">D246</f>
        <v>护腿</v>
      </c>
      <c r="E576" s="1">
        <f>INDEX([1]游戏类型定义!$C$20:$C$29,MATCH(D576,[1]!装备部位,0))</f>
        <v>7</v>
      </c>
      <c r="F576" s="1">
        <v>2</v>
      </c>
      <c r="G576" s="1">
        <f t="shared" ref="G576:G595" si="25">G246</f>
        <v>50</v>
      </c>
      <c r="H576" s="10">
        <v>0</v>
      </c>
      <c r="I576" s="1">
        <v>10000</v>
      </c>
      <c r="J576" s="1">
        <v>10</v>
      </c>
      <c r="K576" s="1">
        <v>0</v>
      </c>
      <c r="L576" s="1">
        <v>0</v>
      </c>
      <c r="M576" s="1" t="s">
        <v>1945</v>
      </c>
      <c r="N576" s="1" t="s">
        <v>718</v>
      </c>
      <c r="O576" s="1">
        <v>0</v>
      </c>
      <c r="P576" s="1" t="s">
        <v>2080</v>
      </c>
      <c r="Q576" s="7" t="s">
        <v>2479</v>
      </c>
    </row>
    <row r="577" spans="1:17" ht="14.25" thickBot="1">
      <c r="A577" s="1" t="s">
        <v>609</v>
      </c>
      <c r="B577" s="2">
        <v>0</v>
      </c>
      <c r="C577" s="1" t="s">
        <v>2038</v>
      </c>
      <c r="D577" s="1" t="str">
        <f t="shared" si="24"/>
        <v>护腿</v>
      </c>
      <c r="E577" s="1">
        <f>INDEX([1]游戏类型定义!$C$20:$C$29,MATCH(D577,[1]!装备部位,0))</f>
        <v>7</v>
      </c>
      <c r="F577" s="1">
        <v>2</v>
      </c>
      <c r="G577" s="1">
        <f t="shared" si="25"/>
        <v>50</v>
      </c>
      <c r="H577" s="10">
        <v>0</v>
      </c>
      <c r="I577" s="1">
        <v>10600</v>
      </c>
      <c r="J577" s="1">
        <v>10</v>
      </c>
      <c r="K577" s="1">
        <v>0</v>
      </c>
      <c r="L577" s="1">
        <v>0</v>
      </c>
      <c r="M577" s="1" t="s">
        <v>1946</v>
      </c>
      <c r="N577" s="1" t="s">
        <v>718</v>
      </c>
      <c r="O577" s="1">
        <v>0</v>
      </c>
      <c r="P577" s="1" t="s">
        <v>2080</v>
      </c>
      <c r="Q577" s="7" t="s">
        <v>2064</v>
      </c>
    </row>
    <row r="578" spans="1:17" ht="14.25" thickBot="1">
      <c r="A578" s="1" t="s">
        <v>610</v>
      </c>
      <c r="B578" s="3">
        <v>1</v>
      </c>
      <c r="C578" s="1" t="s">
        <v>2106</v>
      </c>
      <c r="D578" s="1" t="str">
        <f t="shared" si="24"/>
        <v>头盔</v>
      </c>
      <c r="E578" s="1">
        <f>INDEX([1]游戏类型定义!$C$20:$C$29,MATCH(D578,[1]!装备部位,0))</f>
        <v>1</v>
      </c>
      <c r="F578" s="1">
        <v>2</v>
      </c>
      <c r="G578" s="1">
        <f t="shared" si="25"/>
        <v>55</v>
      </c>
      <c r="H578" s="10">
        <v>0</v>
      </c>
      <c r="I578" s="1">
        <v>11000</v>
      </c>
      <c r="J578" s="1">
        <v>10</v>
      </c>
      <c r="K578" s="1">
        <v>0</v>
      </c>
      <c r="L578" s="1">
        <v>0</v>
      </c>
      <c r="M578" s="1" t="s">
        <v>1963</v>
      </c>
      <c r="N578" s="1" t="s">
        <v>720</v>
      </c>
      <c r="O578" s="1">
        <v>0</v>
      </c>
      <c r="P578" s="1" t="s">
        <v>2081</v>
      </c>
      <c r="Q578" s="7" t="s">
        <v>2480</v>
      </c>
    </row>
    <row r="579" spans="1:17" ht="14.25" thickBot="1">
      <c r="A579" s="1" t="s">
        <v>611</v>
      </c>
      <c r="B579" s="3">
        <v>1</v>
      </c>
      <c r="C579" s="1" t="s">
        <v>2117</v>
      </c>
      <c r="D579" s="1" t="str">
        <f t="shared" si="24"/>
        <v>戒指</v>
      </c>
      <c r="E579" s="1">
        <f>INDEX([1]游戏类型定义!$C$20:$C$29,MATCH(D579,[1]!装备部位,0))</f>
        <v>2</v>
      </c>
      <c r="F579" s="1">
        <v>2</v>
      </c>
      <c r="G579" s="1">
        <f t="shared" si="25"/>
        <v>55</v>
      </c>
      <c r="H579" s="10">
        <v>0</v>
      </c>
      <c r="I579" s="1">
        <v>11000</v>
      </c>
      <c r="J579" s="1">
        <v>10</v>
      </c>
      <c r="K579" s="1">
        <v>0</v>
      </c>
      <c r="L579" s="1">
        <v>0</v>
      </c>
      <c r="M579" s="1" t="s">
        <v>1964</v>
      </c>
      <c r="N579" s="1" t="s">
        <v>720</v>
      </c>
      <c r="O579" s="1">
        <v>0</v>
      </c>
      <c r="P579" s="1" t="s">
        <v>2081</v>
      </c>
      <c r="Q579" s="7" t="s">
        <v>2481</v>
      </c>
    </row>
    <row r="580" spans="1:17" ht="14.25" thickBot="1">
      <c r="A580" s="1" t="s">
        <v>612</v>
      </c>
      <c r="B580" s="2">
        <v>0</v>
      </c>
      <c r="C580" s="1" t="s">
        <v>2095</v>
      </c>
      <c r="D580" s="1" t="str">
        <f t="shared" si="24"/>
        <v>腰带</v>
      </c>
      <c r="E580" s="1">
        <f>INDEX([1]游戏类型定义!$C$20:$C$29,MATCH(D580,[1]!装备部位,0))</f>
        <v>3</v>
      </c>
      <c r="F580" s="1">
        <v>2</v>
      </c>
      <c r="G580" s="1">
        <f t="shared" si="25"/>
        <v>55</v>
      </c>
      <c r="H580" s="10">
        <v>0</v>
      </c>
      <c r="I580" s="1">
        <v>11000</v>
      </c>
      <c r="J580" s="1">
        <v>10</v>
      </c>
      <c r="K580" s="1">
        <v>0</v>
      </c>
      <c r="L580" s="1">
        <v>0</v>
      </c>
      <c r="M580" s="1" t="s">
        <v>1965</v>
      </c>
      <c r="N580" s="1" t="s">
        <v>720</v>
      </c>
      <c r="O580" s="1">
        <v>0</v>
      </c>
      <c r="P580" s="1" t="s">
        <v>2081</v>
      </c>
      <c r="Q580" s="7" t="s">
        <v>2053</v>
      </c>
    </row>
    <row r="581" spans="1:17" ht="14.25" thickBot="1">
      <c r="A581" s="1" t="s">
        <v>613</v>
      </c>
      <c r="B581" s="3">
        <v>1</v>
      </c>
      <c r="C581" s="1" t="s">
        <v>2128</v>
      </c>
      <c r="D581" s="1" t="str">
        <f t="shared" si="24"/>
        <v>鞋子</v>
      </c>
      <c r="E581" s="1">
        <f>INDEX([1]游戏类型定义!$C$20:$C$29,MATCH(D581,[1]!装备部位,0))</f>
        <v>8</v>
      </c>
      <c r="F581" s="1">
        <v>2</v>
      </c>
      <c r="G581" s="1">
        <f t="shared" si="25"/>
        <v>55</v>
      </c>
      <c r="H581" s="10">
        <v>0</v>
      </c>
      <c r="I581" s="1">
        <v>11000</v>
      </c>
      <c r="J581" s="1">
        <v>10</v>
      </c>
      <c r="K581" s="1">
        <v>0</v>
      </c>
      <c r="L581" s="1">
        <v>0</v>
      </c>
      <c r="M581" s="1" t="s">
        <v>1966</v>
      </c>
      <c r="N581" s="1" t="s">
        <v>720</v>
      </c>
      <c r="O581" s="1">
        <v>0</v>
      </c>
      <c r="P581" s="1" t="s">
        <v>2081</v>
      </c>
      <c r="Q581" s="7" t="s">
        <v>2482</v>
      </c>
    </row>
    <row r="582" spans="1:17" ht="14.25" thickBot="1">
      <c r="A582" s="1" t="s">
        <v>614</v>
      </c>
      <c r="B582" s="2">
        <v>0</v>
      </c>
      <c r="C582" s="1" t="s">
        <v>2035</v>
      </c>
      <c r="D582" s="1" t="str">
        <f t="shared" si="24"/>
        <v>手套</v>
      </c>
      <c r="E582" s="1">
        <f>INDEX([1]游戏类型定义!$C$20:$C$29,MATCH(D582,[1]!装备部位,0))</f>
        <v>9</v>
      </c>
      <c r="F582" s="1">
        <v>2</v>
      </c>
      <c r="G582" s="1">
        <f t="shared" si="25"/>
        <v>55</v>
      </c>
      <c r="H582" s="10">
        <v>0</v>
      </c>
      <c r="I582" s="1">
        <v>11000</v>
      </c>
      <c r="J582" s="1">
        <v>10</v>
      </c>
      <c r="K582" s="1">
        <v>0</v>
      </c>
      <c r="L582" s="1">
        <v>0</v>
      </c>
      <c r="M582" s="1" t="s">
        <v>1951</v>
      </c>
      <c r="N582" s="1" t="s">
        <v>720</v>
      </c>
      <c r="O582" s="1">
        <v>0</v>
      </c>
      <c r="P582" s="1" t="s">
        <v>2081</v>
      </c>
      <c r="Q582" s="7" t="s">
        <v>2055</v>
      </c>
    </row>
    <row r="583" spans="1:17" ht="14.25" thickBot="1">
      <c r="A583" s="1" t="s">
        <v>615</v>
      </c>
      <c r="B583" s="3">
        <v>1</v>
      </c>
      <c r="C583" s="1" t="s">
        <v>2153</v>
      </c>
      <c r="D583" s="1" t="str">
        <f t="shared" si="24"/>
        <v>项链</v>
      </c>
      <c r="E583" s="1">
        <f>INDEX([1]游戏类型定义!$C$20:$C$29,MATCH(D583,[1]!装备部位,0))</f>
        <v>10</v>
      </c>
      <c r="F583" s="1">
        <v>2</v>
      </c>
      <c r="G583" s="1">
        <f t="shared" si="25"/>
        <v>55</v>
      </c>
      <c r="H583" s="10">
        <v>0</v>
      </c>
      <c r="I583" s="1">
        <v>11000</v>
      </c>
      <c r="J583" s="1">
        <v>10</v>
      </c>
      <c r="K583" s="1">
        <v>0</v>
      </c>
      <c r="L583" s="1">
        <v>0</v>
      </c>
      <c r="M583" s="1" t="s">
        <v>1967</v>
      </c>
      <c r="N583" s="1" t="s">
        <v>720</v>
      </c>
      <c r="O583" s="1">
        <v>0</v>
      </c>
      <c r="P583" s="1" t="s">
        <v>2081</v>
      </c>
      <c r="Q583" s="7" t="s">
        <v>2483</v>
      </c>
    </row>
    <row r="584" spans="1:17" ht="14.25" thickBot="1">
      <c r="A584" s="1" t="s">
        <v>616</v>
      </c>
      <c r="B584" s="3">
        <v>1</v>
      </c>
      <c r="C584" s="9" t="s">
        <v>2277</v>
      </c>
      <c r="D584" s="1" t="str">
        <f t="shared" si="24"/>
        <v>主手武器</v>
      </c>
      <c r="E584" s="1">
        <f>INDEX([1]游戏类型定义!$C$20:$C$29,MATCH(D584,[1]!装备部位,0))</f>
        <v>5</v>
      </c>
      <c r="F584" s="1">
        <v>2</v>
      </c>
      <c r="G584" s="1">
        <f t="shared" si="25"/>
        <v>55</v>
      </c>
      <c r="H584" s="10" t="s">
        <v>2320</v>
      </c>
      <c r="I584" s="1">
        <v>11000</v>
      </c>
      <c r="J584" s="1">
        <v>10</v>
      </c>
      <c r="K584" s="1">
        <v>0</v>
      </c>
      <c r="L584" s="1">
        <v>0</v>
      </c>
      <c r="M584" s="1" t="s">
        <v>2026</v>
      </c>
      <c r="N584" s="1" t="s">
        <v>721</v>
      </c>
      <c r="O584" s="1">
        <v>0</v>
      </c>
      <c r="P584" s="1" t="s">
        <v>2081</v>
      </c>
      <c r="Q584" s="7" t="s">
        <v>2484</v>
      </c>
    </row>
    <row r="585" spans="1:17" ht="14.25" thickBot="1">
      <c r="A585" s="1" t="s">
        <v>617</v>
      </c>
      <c r="B585" s="2">
        <v>0</v>
      </c>
      <c r="C585" s="9" t="s">
        <v>2046</v>
      </c>
      <c r="D585" s="1" t="str">
        <f t="shared" si="24"/>
        <v>主手武器</v>
      </c>
      <c r="E585" s="1">
        <f>INDEX([1]游戏类型定义!$C$20:$C$29,MATCH(D585,[1]!装备部位,0))</f>
        <v>5</v>
      </c>
      <c r="F585" s="1">
        <v>2</v>
      </c>
      <c r="G585" s="1">
        <f t="shared" si="25"/>
        <v>55</v>
      </c>
      <c r="H585" s="10" t="s">
        <v>2320</v>
      </c>
      <c r="I585" s="1">
        <v>11600</v>
      </c>
      <c r="J585" s="1">
        <v>10</v>
      </c>
      <c r="K585" s="1">
        <v>0</v>
      </c>
      <c r="L585" s="1">
        <v>0</v>
      </c>
      <c r="M585" s="1" t="s">
        <v>2027</v>
      </c>
      <c r="N585" s="1" t="s">
        <v>721</v>
      </c>
      <c r="O585" s="1">
        <v>0</v>
      </c>
      <c r="P585" s="1" t="s">
        <v>2081</v>
      </c>
      <c r="Q585" s="7" t="s">
        <v>2057</v>
      </c>
    </row>
    <row r="586" spans="1:17" ht="14.25" thickBot="1">
      <c r="A586" s="1" t="s">
        <v>618</v>
      </c>
      <c r="B586" s="3">
        <v>1</v>
      </c>
      <c r="C586" s="9" t="s">
        <v>2278</v>
      </c>
      <c r="D586" s="1" t="str">
        <f t="shared" si="24"/>
        <v>副手武器</v>
      </c>
      <c r="E586" s="1">
        <f>INDEX([1]游戏类型定义!$C$20:$C$29,MATCH(D586,[1]!装备部位,0))</f>
        <v>6</v>
      </c>
      <c r="F586" s="1">
        <v>2</v>
      </c>
      <c r="G586" s="1">
        <f t="shared" si="25"/>
        <v>55</v>
      </c>
      <c r="H586" s="10" t="s">
        <v>2320</v>
      </c>
      <c r="I586" s="1">
        <v>11000</v>
      </c>
      <c r="J586" s="1">
        <v>10</v>
      </c>
      <c r="K586" s="1">
        <v>0</v>
      </c>
      <c r="L586" s="1">
        <v>0</v>
      </c>
      <c r="M586" s="1" t="s">
        <v>1968</v>
      </c>
      <c r="N586" s="1" t="s">
        <v>721</v>
      </c>
      <c r="O586" s="1">
        <v>0</v>
      </c>
      <c r="P586" s="1" t="s">
        <v>2081</v>
      </c>
      <c r="Q586" s="7" t="s">
        <v>2485</v>
      </c>
    </row>
    <row r="587" spans="1:17" ht="14.25" thickBot="1">
      <c r="A587" s="1" t="s">
        <v>619</v>
      </c>
      <c r="B587" s="3">
        <v>1</v>
      </c>
      <c r="C587" s="9" t="s">
        <v>2279</v>
      </c>
      <c r="D587" s="1" t="str">
        <f t="shared" si="24"/>
        <v>副手武器</v>
      </c>
      <c r="E587" s="1">
        <f>INDEX([1]游戏类型定义!$C$20:$C$29,MATCH(D587,[1]!装备部位,0))</f>
        <v>6</v>
      </c>
      <c r="F587" s="1">
        <v>2</v>
      </c>
      <c r="G587" s="1">
        <f t="shared" si="25"/>
        <v>55</v>
      </c>
      <c r="H587" s="10" t="s">
        <v>2320</v>
      </c>
      <c r="I587" s="1">
        <v>11600</v>
      </c>
      <c r="J587" s="1">
        <v>10</v>
      </c>
      <c r="K587" s="1">
        <v>0</v>
      </c>
      <c r="L587" s="1">
        <v>0</v>
      </c>
      <c r="M587" s="1" t="s">
        <v>1969</v>
      </c>
      <c r="N587" s="1" t="s">
        <v>721</v>
      </c>
      <c r="O587" s="1">
        <v>0</v>
      </c>
      <c r="P587" s="1" t="s">
        <v>2081</v>
      </c>
      <c r="Q587" s="7" t="s">
        <v>2486</v>
      </c>
    </row>
    <row r="588" spans="1:17" ht="14.25" thickBot="1">
      <c r="A588" s="1" t="s">
        <v>620</v>
      </c>
      <c r="B588" s="3">
        <v>1</v>
      </c>
      <c r="C588" s="1" t="s">
        <v>2280</v>
      </c>
      <c r="D588" s="1" t="str">
        <f t="shared" si="24"/>
        <v>主手武器</v>
      </c>
      <c r="E588" s="1">
        <f>INDEX([1]游戏类型定义!$C$20:$C$29,MATCH(D588,[1]!装备部位,0))</f>
        <v>5</v>
      </c>
      <c r="F588" s="1">
        <v>2</v>
      </c>
      <c r="G588" s="1">
        <f t="shared" si="25"/>
        <v>55</v>
      </c>
      <c r="H588" s="10" t="s">
        <v>2321</v>
      </c>
      <c r="I588" s="1">
        <v>11000</v>
      </c>
      <c r="J588" s="1">
        <v>10</v>
      </c>
      <c r="K588" s="1">
        <v>0</v>
      </c>
      <c r="L588" s="1">
        <v>0</v>
      </c>
      <c r="M588" s="1" t="s">
        <v>2026</v>
      </c>
      <c r="N588" s="1" t="s">
        <v>721</v>
      </c>
      <c r="O588" s="1">
        <v>0</v>
      </c>
      <c r="P588" s="1" t="s">
        <v>2081</v>
      </c>
      <c r="Q588" s="7" t="s">
        <v>2471</v>
      </c>
    </row>
    <row r="589" spans="1:17" ht="14.25" thickBot="1">
      <c r="A589" s="1" t="s">
        <v>621</v>
      </c>
      <c r="B589" s="2">
        <v>0</v>
      </c>
      <c r="C589" s="1" t="s">
        <v>2040</v>
      </c>
      <c r="D589" s="1" t="str">
        <f t="shared" si="24"/>
        <v>主手武器</v>
      </c>
      <c r="E589" s="1">
        <f>INDEX([1]游戏类型定义!$C$20:$C$29,MATCH(D589,[1]!装备部位,0))</f>
        <v>5</v>
      </c>
      <c r="F589" s="1">
        <v>2</v>
      </c>
      <c r="G589" s="1">
        <f t="shared" si="25"/>
        <v>55</v>
      </c>
      <c r="H589" s="10" t="s">
        <v>2321</v>
      </c>
      <c r="I589" s="1">
        <v>11600</v>
      </c>
      <c r="J589" s="1">
        <v>10</v>
      </c>
      <c r="K589" s="1">
        <v>0</v>
      </c>
      <c r="L589" s="1">
        <v>0</v>
      </c>
      <c r="M589" s="1" t="s">
        <v>2027</v>
      </c>
      <c r="N589" s="1" t="s">
        <v>721</v>
      </c>
      <c r="O589" s="1">
        <v>0</v>
      </c>
      <c r="P589" s="1" t="s">
        <v>2081</v>
      </c>
      <c r="Q589" s="7" t="s">
        <v>2059</v>
      </c>
    </row>
    <row r="590" spans="1:17" ht="14.25" thickBot="1">
      <c r="A590" s="1" t="s">
        <v>622</v>
      </c>
      <c r="B590" s="3">
        <v>1</v>
      </c>
      <c r="C590" s="9" t="s">
        <v>2281</v>
      </c>
      <c r="D590" s="1" t="str">
        <f t="shared" si="24"/>
        <v>副手武器</v>
      </c>
      <c r="E590" s="1">
        <f>INDEX([1]游戏类型定义!$C$20:$C$29,MATCH(D590,[1]!装备部位,0))</f>
        <v>6</v>
      </c>
      <c r="F590" s="1">
        <v>2</v>
      </c>
      <c r="G590" s="1">
        <f t="shared" si="25"/>
        <v>55</v>
      </c>
      <c r="H590" s="10" t="s">
        <v>2321</v>
      </c>
      <c r="I590" s="1">
        <v>11000</v>
      </c>
      <c r="J590" s="1">
        <v>10</v>
      </c>
      <c r="K590" s="1">
        <v>0</v>
      </c>
      <c r="L590" s="1">
        <v>0</v>
      </c>
      <c r="M590" s="1" t="s">
        <v>1970</v>
      </c>
      <c r="N590" s="1" t="s">
        <v>721</v>
      </c>
      <c r="O590" s="1">
        <v>0</v>
      </c>
      <c r="P590" s="1" t="s">
        <v>2081</v>
      </c>
      <c r="Q590" s="7" t="s">
        <v>2487</v>
      </c>
    </row>
    <row r="591" spans="1:17" ht="14.25" thickBot="1">
      <c r="A591" s="1" t="s">
        <v>623</v>
      </c>
      <c r="B591" s="3">
        <v>1</v>
      </c>
      <c r="C591" s="9" t="s">
        <v>2282</v>
      </c>
      <c r="D591" s="1" t="str">
        <f t="shared" si="24"/>
        <v>副手武器</v>
      </c>
      <c r="E591" s="1">
        <f>INDEX([1]游戏类型定义!$C$20:$C$29,MATCH(D591,[1]!装备部位,0))</f>
        <v>6</v>
      </c>
      <c r="F591" s="1">
        <v>2</v>
      </c>
      <c r="G591" s="1">
        <f t="shared" si="25"/>
        <v>55</v>
      </c>
      <c r="H591" s="10" t="s">
        <v>2321</v>
      </c>
      <c r="I591" s="1">
        <v>11600</v>
      </c>
      <c r="J591" s="1">
        <v>10</v>
      </c>
      <c r="K591" s="1">
        <v>0</v>
      </c>
      <c r="L591" s="1">
        <v>0</v>
      </c>
      <c r="M591" s="1" t="s">
        <v>1971</v>
      </c>
      <c r="N591" s="1" t="s">
        <v>721</v>
      </c>
      <c r="O591" s="1">
        <v>0</v>
      </c>
      <c r="P591" s="1" t="s">
        <v>2081</v>
      </c>
      <c r="Q591" s="7" t="s">
        <v>2488</v>
      </c>
    </row>
    <row r="592" spans="1:17" ht="14.25" thickBot="1">
      <c r="A592" s="1" t="s">
        <v>624</v>
      </c>
      <c r="B592" s="3">
        <v>1</v>
      </c>
      <c r="C592" s="9" t="s">
        <v>2274</v>
      </c>
      <c r="D592" s="1" t="str">
        <f t="shared" si="24"/>
        <v>主手武器</v>
      </c>
      <c r="E592" s="1">
        <f>INDEX([1]游戏类型定义!$C$20:$C$29,MATCH(D592,[1]!装备部位,0))</f>
        <v>5</v>
      </c>
      <c r="F592" s="1">
        <v>2</v>
      </c>
      <c r="G592" s="1">
        <f t="shared" si="25"/>
        <v>55</v>
      </c>
      <c r="H592" s="10" t="s">
        <v>2322</v>
      </c>
      <c r="I592" s="1">
        <v>11000</v>
      </c>
      <c r="J592" s="1">
        <v>10</v>
      </c>
      <c r="K592" s="1">
        <v>0</v>
      </c>
      <c r="L592" s="1">
        <v>0</v>
      </c>
      <c r="M592" s="1" t="s">
        <v>2026</v>
      </c>
      <c r="N592" s="1" t="s">
        <v>721</v>
      </c>
      <c r="O592" s="1">
        <v>0</v>
      </c>
      <c r="P592" s="1" t="s">
        <v>2081</v>
      </c>
      <c r="Q592" s="7" t="s">
        <v>2489</v>
      </c>
    </row>
    <row r="593" spans="1:17" ht="14.25" thickBot="1">
      <c r="A593" s="1" t="s">
        <v>625</v>
      </c>
      <c r="B593" s="2">
        <v>0</v>
      </c>
      <c r="C593" s="9" t="s">
        <v>2048</v>
      </c>
      <c r="D593" s="1" t="str">
        <f t="shared" si="24"/>
        <v>主手武器</v>
      </c>
      <c r="E593" s="1">
        <f>INDEX([1]游戏类型定义!$C$20:$C$29,MATCH(D593,[1]!装备部位,0))</f>
        <v>5</v>
      </c>
      <c r="F593" s="1">
        <v>2</v>
      </c>
      <c r="G593" s="1">
        <f t="shared" si="25"/>
        <v>55</v>
      </c>
      <c r="H593" s="10" t="s">
        <v>2322</v>
      </c>
      <c r="I593" s="1">
        <v>11600</v>
      </c>
      <c r="J593" s="1">
        <v>10</v>
      </c>
      <c r="K593" s="1">
        <v>0</v>
      </c>
      <c r="L593" s="1">
        <v>0</v>
      </c>
      <c r="M593" s="1" t="s">
        <v>2027</v>
      </c>
      <c r="N593" s="1" t="s">
        <v>721</v>
      </c>
      <c r="O593" s="1">
        <v>0</v>
      </c>
      <c r="P593" s="1" t="s">
        <v>2081</v>
      </c>
      <c r="Q593" s="7" t="s">
        <v>2061</v>
      </c>
    </row>
    <row r="594" spans="1:17" ht="14.25" thickBot="1">
      <c r="A594" s="1" t="s">
        <v>626</v>
      </c>
      <c r="B594" s="3">
        <v>1</v>
      </c>
      <c r="C594" s="9" t="s">
        <v>2283</v>
      </c>
      <c r="D594" s="1" t="str">
        <f t="shared" si="24"/>
        <v>副手武器</v>
      </c>
      <c r="E594" s="1">
        <f>INDEX([1]游戏类型定义!$C$20:$C$29,MATCH(D594,[1]!装备部位,0))</f>
        <v>6</v>
      </c>
      <c r="F594" s="1">
        <v>2</v>
      </c>
      <c r="G594" s="1">
        <f t="shared" si="25"/>
        <v>55</v>
      </c>
      <c r="H594" s="10" t="s">
        <v>2322</v>
      </c>
      <c r="I594" s="1">
        <v>11000</v>
      </c>
      <c r="J594" s="1">
        <v>10</v>
      </c>
      <c r="K594" s="1">
        <v>0</v>
      </c>
      <c r="L594" s="1">
        <v>0</v>
      </c>
      <c r="M594" s="1" t="s">
        <v>1972</v>
      </c>
      <c r="N594" s="1" t="s">
        <v>721</v>
      </c>
      <c r="O594" s="1">
        <v>0</v>
      </c>
      <c r="P594" s="1" t="s">
        <v>2081</v>
      </c>
      <c r="Q594" s="7" t="s">
        <v>2490</v>
      </c>
    </row>
    <row r="595" spans="1:17" ht="14.25" thickBot="1">
      <c r="A595" s="1" t="s">
        <v>627</v>
      </c>
      <c r="B595" s="3">
        <v>1</v>
      </c>
      <c r="C595" s="9" t="s">
        <v>2285</v>
      </c>
      <c r="D595" s="1" t="str">
        <f t="shared" si="24"/>
        <v>副手武器</v>
      </c>
      <c r="E595" s="1">
        <f>INDEX([1]游戏类型定义!$C$20:$C$29,MATCH(D595,[1]!装备部位,0))</f>
        <v>6</v>
      </c>
      <c r="F595" s="1">
        <v>2</v>
      </c>
      <c r="G595" s="1">
        <f t="shared" si="25"/>
        <v>55</v>
      </c>
      <c r="H595" s="10" t="s">
        <v>2322</v>
      </c>
      <c r="I595" s="1">
        <v>11600</v>
      </c>
      <c r="J595" s="1">
        <v>10</v>
      </c>
      <c r="K595" s="1">
        <v>0</v>
      </c>
      <c r="L595" s="1">
        <v>0</v>
      </c>
      <c r="M595" s="1" t="s">
        <v>1973</v>
      </c>
      <c r="N595" s="1" t="s">
        <v>721</v>
      </c>
      <c r="O595" s="1">
        <v>0</v>
      </c>
      <c r="P595" s="1" t="s">
        <v>2081</v>
      </c>
      <c r="Q595" s="7" t="s">
        <v>2491</v>
      </c>
    </row>
    <row r="596" spans="1:17" ht="14.25" thickBot="1">
      <c r="A596" s="1" t="s">
        <v>628</v>
      </c>
      <c r="B596" s="3">
        <v>1</v>
      </c>
      <c r="C596" s="1" t="s">
        <v>2170</v>
      </c>
      <c r="D596" s="1" t="str">
        <f t="shared" ref="D596:D615" si="26">D266</f>
        <v>胸甲</v>
      </c>
      <c r="E596" s="1">
        <f>INDEX([1]游戏类型定义!$C$20:$C$29,MATCH(D596,[1]!装备部位,0))</f>
        <v>4</v>
      </c>
      <c r="F596" s="1">
        <v>2</v>
      </c>
      <c r="G596" s="1">
        <f t="shared" ref="G596:G615" si="27">G266</f>
        <v>55</v>
      </c>
      <c r="H596" s="10">
        <v>0</v>
      </c>
      <c r="I596" s="1">
        <v>11000</v>
      </c>
      <c r="J596" s="1">
        <v>10</v>
      </c>
      <c r="K596" s="1">
        <v>0</v>
      </c>
      <c r="L596" s="1">
        <v>0</v>
      </c>
      <c r="M596" s="1" t="s">
        <v>1974</v>
      </c>
      <c r="N596" s="1" t="s">
        <v>720</v>
      </c>
      <c r="O596" s="1">
        <v>0</v>
      </c>
      <c r="P596" s="1" t="s">
        <v>2081</v>
      </c>
      <c r="Q596" s="7" t="s">
        <v>2492</v>
      </c>
    </row>
    <row r="597" spans="1:17" ht="14.25" thickBot="1">
      <c r="A597" s="1" t="s">
        <v>629</v>
      </c>
      <c r="B597" s="2">
        <v>0</v>
      </c>
      <c r="C597" s="1" t="s">
        <v>2030</v>
      </c>
      <c r="D597" s="1" t="str">
        <f t="shared" si="26"/>
        <v>胸甲</v>
      </c>
      <c r="E597" s="1">
        <f>INDEX([1]游戏类型定义!$C$20:$C$29,MATCH(D597,[1]!装备部位,0))</f>
        <v>4</v>
      </c>
      <c r="F597" s="1">
        <v>2</v>
      </c>
      <c r="G597" s="1">
        <f t="shared" si="27"/>
        <v>55</v>
      </c>
      <c r="H597" s="10">
        <v>0</v>
      </c>
      <c r="I597" s="1">
        <v>11600</v>
      </c>
      <c r="J597" s="1">
        <v>10</v>
      </c>
      <c r="K597" s="1">
        <v>0</v>
      </c>
      <c r="L597" s="1">
        <v>0</v>
      </c>
      <c r="M597" s="1" t="s">
        <v>1975</v>
      </c>
      <c r="N597" s="1" t="s">
        <v>720</v>
      </c>
      <c r="O597" s="1">
        <v>0</v>
      </c>
      <c r="P597" s="1" t="s">
        <v>2081</v>
      </c>
      <c r="Q597" s="7" t="s">
        <v>2063</v>
      </c>
    </row>
    <row r="598" spans="1:17" ht="14.25" thickBot="1">
      <c r="A598" s="1" t="s">
        <v>630</v>
      </c>
      <c r="B598" s="3">
        <v>1</v>
      </c>
      <c r="C598" s="1" t="s">
        <v>2189</v>
      </c>
      <c r="D598" s="1" t="str">
        <f t="shared" si="26"/>
        <v>护腿</v>
      </c>
      <c r="E598" s="1">
        <f>INDEX([1]游戏类型定义!$C$20:$C$29,MATCH(D598,[1]!装备部位,0))</f>
        <v>7</v>
      </c>
      <c r="F598" s="1">
        <v>2</v>
      </c>
      <c r="G598" s="1">
        <f t="shared" si="27"/>
        <v>55</v>
      </c>
      <c r="H598" s="10">
        <v>0</v>
      </c>
      <c r="I598" s="1">
        <v>11000</v>
      </c>
      <c r="J598" s="1">
        <v>10</v>
      </c>
      <c r="K598" s="1">
        <v>0</v>
      </c>
      <c r="L598" s="1">
        <v>0</v>
      </c>
      <c r="M598" s="1" t="s">
        <v>1961</v>
      </c>
      <c r="N598" s="1" t="s">
        <v>720</v>
      </c>
      <c r="O598" s="1">
        <v>0</v>
      </c>
      <c r="P598" s="1" t="s">
        <v>2081</v>
      </c>
      <c r="Q598" s="7" t="s">
        <v>2493</v>
      </c>
    </row>
    <row r="599" spans="1:17" ht="14.25" thickBot="1">
      <c r="A599" s="1" t="s">
        <v>631</v>
      </c>
      <c r="B599" s="2">
        <v>0</v>
      </c>
      <c r="C599" s="1" t="s">
        <v>2038</v>
      </c>
      <c r="D599" s="1" t="str">
        <f t="shared" si="26"/>
        <v>护腿</v>
      </c>
      <c r="E599" s="1">
        <f>INDEX([1]游戏类型定义!$C$20:$C$29,MATCH(D599,[1]!装备部位,0))</f>
        <v>7</v>
      </c>
      <c r="F599" s="1">
        <v>2</v>
      </c>
      <c r="G599" s="1">
        <f t="shared" si="27"/>
        <v>55</v>
      </c>
      <c r="H599" s="10">
        <v>0</v>
      </c>
      <c r="I599" s="1">
        <v>11600</v>
      </c>
      <c r="J599" s="1">
        <v>10</v>
      </c>
      <c r="K599" s="1">
        <v>0</v>
      </c>
      <c r="L599" s="1">
        <v>0</v>
      </c>
      <c r="M599" s="1" t="s">
        <v>1962</v>
      </c>
      <c r="N599" s="1" t="s">
        <v>720</v>
      </c>
      <c r="O599" s="1">
        <v>0</v>
      </c>
      <c r="P599" s="1" t="s">
        <v>2081</v>
      </c>
      <c r="Q599" s="7" t="s">
        <v>2064</v>
      </c>
    </row>
    <row r="600" spans="1:17" ht="14.25" thickBot="1">
      <c r="A600" s="1" t="s">
        <v>632</v>
      </c>
      <c r="B600" s="3">
        <v>1</v>
      </c>
      <c r="C600" s="1" t="s">
        <v>2142</v>
      </c>
      <c r="D600" s="1" t="str">
        <f t="shared" si="26"/>
        <v>头盔</v>
      </c>
      <c r="E600" s="1">
        <f>INDEX([1]游戏类型定义!$C$20:$C$29,MATCH(D600,[1]!装备部位,0))</f>
        <v>1</v>
      </c>
      <c r="F600" s="1">
        <v>2</v>
      </c>
      <c r="G600" s="1">
        <f t="shared" si="27"/>
        <v>60</v>
      </c>
      <c r="H600" s="10">
        <v>0</v>
      </c>
      <c r="I600" s="1">
        <v>12000</v>
      </c>
      <c r="J600" s="1">
        <v>10</v>
      </c>
      <c r="K600" s="1">
        <v>0</v>
      </c>
      <c r="L600" s="1">
        <v>0</v>
      </c>
      <c r="M600" s="1" t="s">
        <v>1976</v>
      </c>
      <c r="N600" s="1" t="s">
        <v>722</v>
      </c>
      <c r="O600" s="1">
        <v>0</v>
      </c>
      <c r="P600" s="1" t="s">
        <v>2082</v>
      </c>
      <c r="Q600" s="7" t="s">
        <v>2494</v>
      </c>
    </row>
    <row r="601" spans="1:17" ht="14.25" thickBot="1">
      <c r="A601" s="1" t="s">
        <v>633</v>
      </c>
      <c r="B601" s="3">
        <v>1</v>
      </c>
      <c r="C601" s="1" t="s">
        <v>2116</v>
      </c>
      <c r="D601" s="1" t="str">
        <f t="shared" si="26"/>
        <v>戒指</v>
      </c>
      <c r="E601" s="1">
        <f>INDEX([1]游戏类型定义!$C$20:$C$29,MATCH(D601,[1]!装备部位,0))</f>
        <v>2</v>
      </c>
      <c r="F601" s="1">
        <v>2</v>
      </c>
      <c r="G601" s="1">
        <f t="shared" si="27"/>
        <v>60</v>
      </c>
      <c r="H601" s="10">
        <v>0</v>
      </c>
      <c r="I601" s="1">
        <v>12000</v>
      </c>
      <c r="J601" s="1">
        <v>10</v>
      </c>
      <c r="K601" s="1">
        <v>0</v>
      </c>
      <c r="L601" s="1">
        <v>0</v>
      </c>
      <c r="M601" s="1" t="s">
        <v>1977</v>
      </c>
      <c r="N601" s="1" t="s">
        <v>722</v>
      </c>
      <c r="O601" s="1">
        <v>0</v>
      </c>
      <c r="P601" s="1" t="s">
        <v>2082</v>
      </c>
      <c r="Q601" s="7" t="s">
        <v>2495</v>
      </c>
    </row>
    <row r="602" spans="1:17" ht="14.25" thickBot="1">
      <c r="A602" s="1" t="s">
        <v>634</v>
      </c>
      <c r="B602" s="3">
        <v>1</v>
      </c>
      <c r="C602" s="1" t="s">
        <v>2096</v>
      </c>
      <c r="D602" s="1" t="str">
        <f t="shared" si="26"/>
        <v>腰带</v>
      </c>
      <c r="E602" s="1">
        <f>INDEX([1]游戏类型定义!$C$20:$C$29,MATCH(D602,[1]!装备部位,0))</f>
        <v>3</v>
      </c>
      <c r="F602" s="1">
        <v>2</v>
      </c>
      <c r="G602" s="1">
        <f t="shared" si="27"/>
        <v>60</v>
      </c>
      <c r="H602" s="10">
        <v>0</v>
      </c>
      <c r="I602" s="1">
        <v>12000</v>
      </c>
      <c r="J602" s="1">
        <v>10</v>
      </c>
      <c r="K602" s="1">
        <v>0</v>
      </c>
      <c r="L602" s="1">
        <v>0</v>
      </c>
      <c r="M602" s="1" t="s">
        <v>1965</v>
      </c>
      <c r="N602" s="1" t="s">
        <v>722</v>
      </c>
      <c r="O602" s="1">
        <v>0</v>
      </c>
      <c r="P602" s="1" t="s">
        <v>2082</v>
      </c>
      <c r="Q602" s="7" t="s">
        <v>2496</v>
      </c>
    </row>
    <row r="603" spans="1:17" ht="14.25" thickBot="1">
      <c r="A603" s="1" t="s">
        <v>635</v>
      </c>
      <c r="B603" s="3">
        <v>1</v>
      </c>
      <c r="C603" s="1" t="s">
        <v>2140</v>
      </c>
      <c r="D603" s="1" t="str">
        <f t="shared" si="26"/>
        <v>鞋子</v>
      </c>
      <c r="E603" s="1">
        <f>INDEX([1]游戏类型定义!$C$20:$C$29,MATCH(D603,[1]!装备部位,0))</f>
        <v>8</v>
      </c>
      <c r="F603" s="1">
        <v>2</v>
      </c>
      <c r="G603" s="1">
        <f t="shared" si="27"/>
        <v>60</v>
      </c>
      <c r="H603" s="10">
        <v>0</v>
      </c>
      <c r="I603" s="1">
        <v>12000</v>
      </c>
      <c r="J603" s="1">
        <v>10</v>
      </c>
      <c r="K603" s="1">
        <v>0</v>
      </c>
      <c r="L603" s="1">
        <v>0</v>
      </c>
      <c r="M603" s="1" t="s">
        <v>1978</v>
      </c>
      <c r="N603" s="1" t="s">
        <v>722</v>
      </c>
      <c r="O603" s="1">
        <v>0</v>
      </c>
      <c r="P603" s="1" t="s">
        <v>2082</v>
      </c>
      <c r="Q603" s="7" t="s">
        <v>2497</v>
      </c>
    </row>
    <row r="604" spans="1:17" ht="14.25" thickBot="1">
      <c r="A604" s="1" t="s">
        <v>636</v>
      </c>
      <c r="B604" s="3">
        <v>1</v>
      </c>
      <c r="C604" s="1" t="s">
        <v>2138</v>
      </c>
      <c r="D604" s="1" t="str">
        <f t="shared" si="26"/>
        <v>手套</v>
      </c>
      <c r="E604" s="1">
        <f>INDEX([1]游戏类型定义!$C$20:$C$29,MATCH(D604,[1]!装备部位,0))</f>
        <v>9</v>
      </c>
      <c r="F604" s="1">
        <v>2</v>
      </c>
      <c r="G604" s="1">
        <f t="shared" si="27"/>
        <v>60</v>
      </c>
      <c r="H604" s="10">
        <v>0</v>
      </c>
      <c r="I604" s="1">
        <v>12000</v>
      </c>
      <c r="J604" s="1">
        <v>10</v>
      </c>
      <c r="K604" s="1">
        <v>0</v>
      </c>
      <c r="L604" s="1">
        <v>0</v>
      </c>
      <c r="M604" s="1" t="s">
        <v>1979</v>
      </c>
      <c r="N604" s="1" t="s">
        <v>722</v>
      </c>
      <c r="O604" s="1">
        <v>0</v>
      </c>
      <c r="P604" s="1" t="s">
        <v>2082</v>
      </c>
      <c r="Q604" s="7" t="s">
        <v>2498</v>
      </c>
    </row>
    <row r="605" spans="1:17" ht="14.25" thickBot="1">
      <c r="A605" s="1" t="s">
        <v>637</v>
      </c>
      <c r="B605" s="3">
        <v>1</v>
      </c>
      <c r="C605" s="1" t="s">
        <v>2154</v>
      </c>
      <c r="D605" s="1" t="str">
        <f t="shared" si="26"/>
        <v>项链</v>
      </c>
      <c r="E605" s="1">
        <f>INDEX([1]游戏类型定义!$C$20:$C$29,MATCH(D605,[1]!装备部位,0))</f>
        <v>10</v>
      </c>
      <c r="F605" s="1">
        <v>2</v>
      </c>
      <c r="G605" s="1">
        <f t="shared" si="27"/>
        <v>60</v>
      </c>
      <c r="H605" s="10">
        <v>0</v>
      </c>
      <c r="I605" s="1">
        <v>12000</v>
      </c>
      <c r="J605" s="1">
        <v>10</v>
      </c>
      <c r="K605" s="1">
        <v>0</v>
      </c>
      <c r="L605" s="1">
        <v>0</v>
      </c>
      <c r="M605" s="1" t="s">
        <v>1980</v>
      </c>
      <c r="N605" s="1" t="s">
        <v>722</v>
      </c>
      <c r="O605" s="1">
        <v>0</v>
      </c>
      <c r="P605" s="1" t="s">
        <v>2082</v>
      </c>
      <c r="Q605" s="7" t="s">
        <v>2499</v>
      </c>
    </row>
    <row r="606" spans="1:17" ht="14.25" thickBot="1">
      <c r="A606" s="1" t="s">
        <v>638</v>
      </c>
      <c r="B606" s="3">
        <v>1</v>
      </c>
      <c r="C606" s="9" t="s">
        <v>2297</v>
      </c>
      <c r="D606" s="1" t="str">
        <f t="shared" si="26"/>
        <v>主手武器</v>
      </c>
      <c r="E606" s="1">
        <f>INDEX([1]游戏类型定义!$C$20:$C$29,MATCH(D606,[1]!装备部位,0))</f>
        <v>5</v>
      </c>
      <c r="F606" s="1">
        <v>2</v>
      </c>
      <c r="G606" s="1">
        <f t="shared" si="27"/>
        <v>60</v>
      </c>
      <c r="H606" s="10" t="s">
        <v>2320</v>
      </c>
      <c r="I606" s="1">
        <v>12000</v>
      </c>
      <c r="J606" s="1">
        <v>10</v>
      </c>
      <c r="K606" s="1">
        <v>0</v>
      </c>
      <c r="L606" s="1">
        <v>0</v>
      </c>
      <c r="M606" s="1" t="s">
        <v>1981</v>
      </c>
      <c r="N606" s="1" t="s">
        <v>723</v>
      </c>
      <c r="O606" s="1">
        <v>0</v>
      </c>
      <c r="P606" s="1" t="s">
        <v>2082</v>
      </c>
      <c r="Q606" s="7" t="s">
        <v>2500</v>
      </c>
    </row>
    <row r="607" spans="1:17" ht="14.25" thickBot="1">
      <c r="A607" s="1" t="s">
        <v>639</v>
      </c>
      <c r="B607" s="3">
        <v>1</v>
      </c>
      <c r="C607" s="9" t="s">
        <v>2286</v>
      </c>
      <c r="D607" s="1" t="str">
        <f t="shared" si="26"/>
        <v>主手武器</v>
      </c>
      <c r="E607" s="1">
        <f>INDEX([1]游戏类型定义!$C$20:$C$29,MATCH(D607,[1]!装备部位,0))</f>
        <v>5</v>
      </c>
      <c r="F607" s="1">
        <v>2</v>
      </c>
      <c r="G607" s="1">
        <f t="shared" si="27"/>
        <v>60</v>
      </c>
      <c r="H607" s="10" t="s">
        <v>2320</v>
      </c>
      <c r="I607" s="1">
        <v>12600</v>
      </c>
      <c r="J607" s="1">
        <v>10</v>
      </c>
      <c r="K607" s="1">
        <v>0</v>
      </c>
      <c r="L607" s="1">
        <v>0</v>
      </c>
      <c r="M607" s="1" t="s">
        <v>1982</v>
      </c>
      <c r="N607" s="1" t="s">
        <v>723</v>
      </c>
      <c r="O607" s="1">
        <v>0</v>
      </c>
      <c r="P607" s="1" t="s">
        <v>2082</v>
      </c>
      <c r="Q607" s="7" t="s">
        <v>2501</v>
      </c>
    </row>
    <row r="608" spans="1:17" ht="14.25" thickBot="1">
      <c r="A608" s="1" t="s">
        <v>640</v>
      </c>
      <c r="B608" s="3">
        <v>1</v>
      </c>
      <c r="C608" s="9" t="s">
        <v>2288</v>
      </c>
      <c r="D608" s="1" t="str">
        <f t="shared" si="26"/>
        <v>副手武器</v>
      </c>
      <c r="E608" s="1">
        <f>INDEX([1]游戏类型定义!$C$20:$C$29,MATCH(D608,[1]!装备部位,0))</f>
        <v>6</v>
      </c>
      <c r="F608" s="1">
        <v>2</v>
      </c>
      <c r="G608" s="1">
        <f t="shared" si="27"/>
        <v>60</v>
      </c>
      <c r="H608" s="10" t="s">
        <v>2320</v>
      </c>
      <c r="I608" s="1">
        <v>12000</v>
      </c>
      <c r="J608" s="1">
        <v>10</v>
      </c>
      <c r="K608" s="1">
        <v>0</v>
      </c>
      <c r="L608" s="1">
        <v>0</v>
      </c>
      <c r="M608" s="1" t="s">
        <v>1983</v>
      </c>
      <c r="N608" s="1" t="s">
        <v>723</v>
      </c>
      <c r="O608" s="1">
        <v>0</v>
      </c>
      <c r="P608" s="1" t="s">
        <v>2082</v>
      </c>
      <c r="Q608" s="7" t="s">
        <v>2502</v>
      </c>
    </row>
    <row r="609" spans="1:17" ht="14.25" thickBot="1">
      <c r="A609" s="1" t="s">
        <v>641</v>
      </c>
      <c r="B609" s="2">
        <v>0</v>
      </c>
      <c r="C609" s="9" t="s">
        <v>2044</v>
      </c>
      <c r="D609" s="1" t="str">
        <f t="shared" si="26"/>
        <v>副手武器</v>
      </c>
      <c r="E609" s="1">
        <f>INDEX([1]游戏类型定义!$C$20:$C$29,MATCH(D609,[1]!装备部位,0))</f>
        <v>6</v>
      </c>
      <c r="F609" s="1">
        <v>2</v>
      </c>
      <c r="G609" s="1">
        <f t="shared" si="27"/>
        <v>60</v>
      </c>
      <c r="H609" s="10" t="s">
        <v>2320</v>
      </c>
      <c r="I609" s="1">
        <v>12600</v>
      </c>
      <c r="J609" s="1">
        <v>10</v>
      </c>
      <c r="K609" s="1">
        <v>0</v>
      </c>
      <c r="L609" s="1">
        <v>0</v>
      </c>
      <c r="M609" s="1" t="s">
        <v>1984</v>
      </c>
      <c r="N609" s="1" t="s">
        <v>723</v>
      </c>
      <c r="O609" s="1">
        <v>0</v>
      </c>
      <c r="P609" s="1" t="s">
        <v>2082</v>
      </c>
      <c r="Q609" s="7" t="s">
        <v>2058</v>
      </c>
    </row>
    <row r="610" spans="1:17" ht="14.25" thickBot="1">
      <c r="A610" s="1" t="s">
        <v>642</v>
      </c>
      <c r="B610" s="3">
        <v>1</v>
      </c>
      <c r="C610" s="1" t="s">
        <v>2289</v>
      </c>
      <c r="D610" s="1" t="str">
        <f t="shared" si="26"/>
        <v>主手武器</v>
      </c>
      <c r="E610" s="1">
        <f>INDEX([1]游戏类型定义!$C$20:$C$29,MATCH(D610,[1]!装备部位,0))</f>
        <v>5</v>
      </c>
      <c r="F610" s="1">
        <v>2</v>
      </c>
      <c r="G610" s="1">
        <f t="shared" si="27"/>
        <v>60</v>
      </c>
      <c r="H610" s="10" t="s">
        <v>2321</v>
      </c>
      <c r="I610" s="1">
        <v>12000</v>
      </c>
      <c r="J610" s="1">
        <v>10</v>
      </c>
      <c r="K610" s="1">
        <v>0</v>
      </c>
      <c r="L610" s="1">
        <v>0</v>
      </c>
      <c r="M610" s="1" t="s">
        <v>1981</v>
      </c>
      <c r="N610" s="1" t="s">
        <v>723</v>
      </c>
      <c r="O610" s="1">
        <v>0</v>
      </c>
      <c r="P610" s="1" t="s">
        <v>2082</v>
      </c>
      <c r="Q610" s="7" t="s">
        <v>2503</v>
      </c>
    </row>
    <row r="611" spans="1:17" ht="14.25" thickBot="1">
      <c r="A611" s="1" t="s">
        <v>643</v>
      </c>
      <c r="B611" s="2">
        <v>0</v>
      </c>
      <c r="C611" s="1" t="s">
        <v>2040</v>
      </c>
      <c r="D611" s="1" t="str">
        <f t="shared" si="26"/>
        <v>主手武器</v>
      </c>
      <c r="E611" s="1">
        <f>INDEX([1]游戏类型定义!$C$20:$C$29,MATCH(D611,[1]!装备部位,0))</f>
        <v>5</v>
      </c>
      <c r="F611" s="1">
        <v>2</v>
      </c>
      <c r="G611" s="1">
        <f t="shared" si="27"/>
        <v>60</v>
      </c>
      <c r="H611" s="10" t="s">
        <v>2321</v>
      </c>
      <c r="I611" s="1">
        <v>12600</v>
      </c>
      <c r="J611" s="1">
        <v>10</v>
      </c>
      <c r="K611" s="1">
        <v>0</v>
      </c>
      <c r="L611" s="1">
        <v>0</v>
      </c>
      <c r="M611" s="1" t="s">
        <v>1982</v>
      </c>
      <c r="N611" s="1" t="s">
        <v>723</v>
      </c>
      <c r="O611" s="1">
        <v>0</v>
      </c>
      <c r="P611" s="1" t="s">
        <v>2082</v>
      </c>
      <c r="Q611" s="7" t="s">
        <v>2059</v>
      </c>
    </row>
    <row r="612" spans="1:17" ht="14.25" thickBot="1">
      <c r="A612" s="1" t="s">
        <v>644</v>
      </c>
      <c r="B612" s="3">
        <v>1</v>
      </c>
      <c r="C612" s="9" t="s">
        <v>2292</v>
      </c>
      <c r="D612" s="1" t="str">
        <f t="shared" si="26"/>
        <v>副手武器</v>
      </c>
      <c r="E612" s="1">
        <f>INDEX([1]游戏类型定义!$C$20:$C$29,MATCH(D612,[1]!装备部位,0))</f>
        <v>6</v>
      </c>
      <c r="F612" s="1">
        <v>2</v>
      </c>
      <c r="G612" s="1">
        <f t="shared" si="27"/>
        <v>60</v>
      </c>
      <c r="H612" s="10" t="s">
        <v>2321</v>
      </c>
      <c r="I612" s="1">
        <v>12000</v>
      </c>
      <c r="J612" s="1">
        <v>10</v>
      </c>
      <c r="K612" s="1">
        <v>0</v>
      </c>
      <c r="L612" s="1">
        <v>0</v>
      </c>
      <c r="M612" s="1" t="s">
        <v>1985</v>
      </c>
      <c r="N612" s="1" t="s">
        <v>723</v>
      </c>
      <c r="O612" s="1">
        <v>0</v>
      </c>
      <c r="P612" s="1" t="s">
        <v>2082</v>
      </c>
      <c r="Q612" s="7" t="s">
        <v>2504</v>
      </c>
    </row>
    <row r="613" spans="1:17" ht="14.25" thickBot="1">
      <c r="A613" s="1" t="s">
        <v>645</v>
      </c>
      <c r="B613" s="2">
        <v>0</v>
      </c>
      <c r="C613" s="9" t="s">
        <v>2042</v>
      </c>
      <c r="D613" s="1" t="str">
        <f t="shared" si="26"/>
        <v>副手武器</v>
      </c>
      <c r="E613" s="1">
        <f>INDEX([1]游戏类型定义!$C$20:$C$29,MATCH(D613,[1]!装备部位,0))</f>
        <v>6</v>
      </c>
      <c r="F613" s="1">
        <v>2</v>
      </c>
      <c r="G613" s="1">
        <f t="shared" si="27"/>
        <v>60</v>
      </c>
      <c r="H613" s="10" t="s">
        <v>2321</v>
      </c>
      <c r="I613" s="1">
        <v>12600</v>
      </c>
      <c r="J613" s="1">
        <v>10</v>
      </c>
      <c r="K613" s="1">
        <v>0</v>
      </c>
      <c r="L613" s="1">
        <v>0</v>
      </c>
      <c r="M613" s="1" t="s">
        <v>1986</v>
      </c>
      <c r="N613" s="1" t="s">
        <v>723</v>
      </c>
      <c r="O613" s="1">
        <v>0</v>
      </c>
      <c r="P613" s="1" t="s">
        <v>2082</v>
      </c>
      <c r="Q613" s="7" t="s">
        <v>2060</v>
      </c>
    </row>
    <row r="614" spans="1:17" ht="14.25" thickBot="1">
      <c r="A614" s="1" t="s">
        <v>646</v>
      </c>
      <c r="B614" s="3">
        <v>1</v>
      </c>
      <c r="C614" s="9" t="s">
        <v>2291</v>
      </c>
      <c r="D614" s="1" t="str">
        <f t="shared" si="26"/>
        <v>主手武器</v>
      </c>
      <c r="E614" s="1">
        <f>INDEX([1]游戏类型定义!$C$20:$C$29,MATCH(D614,[1]!装备部位,0))</f>
        <v>5</v>
      </c>
      <c r="F614" s="1">
        <v>2</v>
      </c>
      <c r="G614" s="1">
        <f t="shared" si="27"/>
        <v>60</v>
      </c>
      <c r="H614" s="10" t="s">
        <v>2322</v>
      </c>
      <c r="I614" s="1">
        <v>12000</v>
      </c>
      <c r="J614" s="1">
        <v>10</v>
      </c>
      <c r="K614" s="1">
        <v>0</v>
      </c>
      <c r="L614" s="1">
        <v>0</v>
      </c>
      <c r="M614" s="1" t="s">
        <v>1981</v>
      </c>
      <c r="N614" s="1" t="s">
        <v>723</v>
      </c>
      <c r="O614" s="1">
        <v>0</v>
      </c>
      <c r="P614" s="1" t="s">
        <v>2082</v>
      </c>
      <c r="Q614" s="7" t="s">
        <v>2505</v>
      </c>
    </row>
    <row r="615" spans="1:17" ht="14.25" thickBot="1">
      <c r="A615" s="1" t="s">
        <v>647</v>
      </c>
      <c r="B615" s="2">
        <v>0</v>
      </c>
      <c r="C615" s="9" t="s">
        <v>2295</v>
      </c>
      <c r="D615" s="1" t="str">
        <f t="shared" si="26"/>
        <v>主手武器</v>
      </c>
      <c r="E615" s="1">
        <f>INDEX([1]游戏类型定义!$C$20:$C$29,MATCH(D615,[1]!装备部位,0))</f>
        <v>5</v>
      </c>
      <c r="F615" s="1">
        <v>2</v>
      </c>
      <c r="G615" s="1">
        <f t="shared" si="27"/>
        <v>60</v>
      </c>
      <c r="H615" s="10" t="s">
        <v>2322</v>
      </c>
      <c r="I615" s="1">
        <v>12600</v>
      </c>
      <c r="J615" s="1">
        <v>10</v>
      </c>
      <c r="K615" s="1">
        <v>0</v>
      </c>
      <c r="L615" s="1">
        <v>0</v>
      </c>
      <c r="M615" s="1" t="s">
        <v>1982</v>
      </c>
      <c r="N615" s="1" t="s">
        <v>723</v>
      </c>
      <c r="O615" s="1">
        <v>0</v>
      </c>
      <c r="P615" s="1" t="s">
        <v>2082</v>
      </c>
      <c r="Q615" s="7" t="s">
        <v>2061</v>
      </c>
    </row>
    <row r="616" spans="1:17" ht="14.25" thickBot="1">
      <c r="A616" s="1" t="s">
        <v>648</v>
      </c>
      <c r="B616" s="3">
        <v>1</v>
      </c>
      <c r="C616" s="9" t="s">
        <v>2296</v>
      </c>
      <c r="D616" s="1" t="str">
        <f t="shared" ref="D616:D635" si="28">D286</f>
        <v>副手武器</v>
      </c>
      <c r="E616" s="1">
        <f>INDEX([1]游戏类型定义!$C$20:$C$29,MATCH(D616,[1]!装备部位,0))</f>
        <v>6</v>
      </c>
      <c r="F616" s="1">
        <v>2</v>
      </c>
      <c r="G616" s="1">
        <f t="shared" ref="G616:G635" si="29">G286</f>
        <v>60</v>
      </c>
      <c r="H616" s="10" t="s">
        <v>2322</v>
      </c>
      <c r="I616" s="1">
        <v>12000</v>
      </c>
      <c r="J616" s="1">
        <v>10</v>
      </c>
      <c r="K616" s="1">
        <v>0</v>
      </c>
      <c r="L616" s="1">
        <v>0</v>
      </c>
      <c r="M616" s="1" t="s">
        <v>1987</v>
      </c>
      <c r="N616" s="1" t="s">
        <v>723</v>
      </c>
      <c r="O616" s="1">
        <v>0</v>
      </c>
      <c r="P616" s="1" t="s">
        <v>2082</v>
      </c>
      <c r="Q616" s="7" t="s">
        <v>2506</v>
      </c>
    </row>
    <row r="617" spans="1:17" ht="14.25" thickBot="1">
      <c r="A617" s="1" t="s">
        <v>649</v>
      </c>
      <c r="B617" s="2">
        <v>0</v>
      </c>
      <c r="C617" s="9" t="s">
        <v>2050</v>
      </c>
      <c r="D617" s="1" t="str">
        <f t="shared" si="28"/>
        <v>副手武器</v>
      </c>
      <c r="E617" s="1">
        <f>INDEX([1]游戏类型定义!$C$20:$C$29,MATCH(D617,[1]!装备部位,0))</f>
        <v>6</v>
      </c>
      <c r="F617" s="1">
        <v>2</v>
      </c>
      <c r="G617" s="1">
        <f t="shared" si="29"/>
        <v>60</v>
      </c>
      <c r="H617" s="10" t="s">
        <v>2322</v>
      </c>
      <c r="I617" s="1">
        <v>12600</v>
      </c>
      <c r="J617" s="1">
        <v>10</v>
      </c>
      <c r="K617" s="1">
        <v>0</v>
      </c>
      <c r="L617" s="1">
        <v>0</v>
      </c>
      <c r="M617" s="1" t="s">
        <v>1988</v>
      </c>
      <c r="N617" s="1" t="s">
        <v>723</v>
      </c>
      <c r="O617" s="1">
        <v>0</v>
      </c>
      <c r="P617" s="1" t="s">
        <v>2082</v>
      </c>
      <c r="Q617" s="7" t="s">
        <v>2062</v>
      </c>
    </row>
    <row r="618" spans="1:17" ht="14.25" thickBot="1">
      <c r="A618" s="1" t="s">
        <v>650</v>
      </c>
      <c r="B618" s="3">
        <v>1</v>
      </c>
      <c r="C618" s="1" t="s">
        <v>2171</v>
      </c>
      <c r="D618" s="1" t="str">
        <f t="shared" si="28"/>
        <v>胸甲</v>
      </c>
      <c r="E618" s="1">
        <f>INDEX([1]游戏类型定义!$C$20:$C$29,MATCH(D618,[1]!装备部位,0))</f>
        <v>4</v>
      </c>
      <c r="F618" s="1">
        <v>2</v>
      </c>
      <c r="G618" s="1">
        <f t="shared" si="29"/>
        <v>60</v>
      </c>
      <c r="H618" s="10">
        <v>0</v>
      </c>
      <c r="I618" s="1">
        <v>12000</v>
      </c>
      <c r="J618" s="1">
        <v>10</v>
      </c>
      <c r="K618" s="1">
        <v>0</v>
      </c>
      <c r="L618" s="1">
        <v>0</v>
      </c>
      <c r="M618" s="1" t="s">
        <v>1989</v>
      </c>
      <c r="N618" s="1" t="s">
        <v>722</v>
      </c>
      <c r="O618" s="1">
        <v>0</v>
      </c>
      <c r="P618" s="1" t="s">
        <v>2082</v>
      </c>
      <c r="Q618" s="7" t="s">
        <v>2507</v>
      </c>
    </row>
    <row r="619" spans="1:17" ht="14.25" thickBot="1">
      <c r="A619" s="1" t="s">
        <v>651</v>
      </c>
      <c r="B619" s="2">
        <v>0</v>
      </c>
      <c r="C619" s="1" t="s">
        <v>2172</v>
      </c>
      <c r="D619" s="1" t="str">
        <f t="shared" si="28"/>
        <v>胸甲</v>
      </c>
      <c r="E619" s="1">
        <f>INDEX([1]游戏类型定义!$C$20:$C$29,MATCH(D619,[1]!装备部位,0))</f>
        <v>4</v>
      </c>
      <c r="F619" s="1">
        <v>2</v>
      </c>
      <c r="G619" s="1">
        <f t="shared" si="29"/>
        <v>60</v>
      </c>
      <c r="H619" s="10">
        <v>0</v>
      </c>
      <c r="I619" s="1">
        <v>12600</v>
      </c>
      <c r="J619" s="1">
        <v>10</v>
      </c>
      <c r="K619" s="1">
        <v>0</v>
      </c>
      <c r="L619" s="1">
        <v>0</v>
      </c>
      <c r="M619" s="1" t="s">
        <v>1990</v>
      </c>
      <c r="N619" s="1" t="s">
        <v>722</v>
      </c>
      <c r="O619" s="1">
        <v>0</v>
      </c>
      <c r="P619" s="1" t="s">
        <v>2082</v>
      </c>
      <c r="Q619" s="7" t="s">
        <v>2063</v>
      </c>
    </row>
    <row r="620" spans="1:17" ht="14.25" thickBot="1">
      <c r="A620" s="1" t="s">
        <v>652</v>
      </c>
      <c r="B620" s="3">
        <v>1</v>
      </c>
      <c r="C620" s="1" t="s">
        <v>2191</v>
      </c>
      <c r="D620" s="1" t="str">
        <f t="shared" si="28"/>
        <v>护腿</v>
      </c>
      <c r="E620" s="1">
        <f>INDEX([1]游戏类型定义!$C$20:$C$29,MATCH(D620,[1]!装备部位,0))</f>
        <v>7</v>
      </c>
      <c r="F620" s="1">
        <v>2</v>
      </c>
      <c r="G620" s="1">
        <f t="shared" si="29"/>
        <v>60</v>
      </c>
      <c r="H620" s="10">
        <v>0</v>
      </c>
      <c r="I620" s="1">
        <v>12000</v>
      </c>
      <c r="J620" s="1">
        <v>10</v>
      </c>
      <c r="K620" s="1">
        <v>0</v>
      </c>
      <c r="L620" s="1">
        <v>0</v>
      </c>
      <c r="M620" s="1" t="s">
        <v>1991</v>
      </c>
      <c r="N620" s="1" t="s">
        <v>722</v>
      </c>
      <c r="O620" s="1">
        <v>0</v>
      </c>
      <c r="P620" s="1" t="s">
        <v>2082</v>
      </c>
      <c r="Q620" s="7" t="s">
        <v>2508</v>
      </c>
    </row>
    <row r="621" spans="1:17" ht="14.25" thickBot="1">
      <c r="A621" s="1" t="s">
        <v>653</v>
      </c>
      <c r="B621" s="3">
        <v>1</v>
      </c>
      <c r="C621" s="1" t="s">
        <v>2190</v>
      </c>
      <c r="D621" s="1" t="str">
        <f t="shared" si="28"/>
        <v>护腿</v>
      </c>
      <c r="E621" s="1">
        <f>INDEX([1]游戏类型定义!$C$20:$C$29,MATCH(D621,[1]!装备部位,0))</f>
        <v>7</v>
      </c>
      <c r="F621" s="1">
        <v>2</v>
      </c>
      <c r="G621" s="1">
        <f t="shared" si="29"/>
        <v>60</v>
      </c>
      <c r="H621" s="10">
        <v>0</v>
      </c>
      <c r="I621" s="1">
        <v>12600</v>
      </c>
      <c r="J621" s="1">
        <v>10</v>
      </c>
      <c r="K621" s="1">
        <v>0</v>
      </c>
      <c r="L621" s="1">
        <v>0</v>
      </c>
      <c r="M621" s="1" t="s">
        <v>1992</v>
      </c>
      <c r="N621" s="1" t="s">
        <v>722</v>
      </c>
      <c r="O621" s="1">
        <v>0</v>
      </c>
      <c r="P621" s="1" t="s">
        <v>2082</v>
      </c>
      <c r="Q621" s="7" t="s">
        <v>2509</v>
      </c>
    </row>
    <row r="622" spans="1:17" ht="14.25" thickBot="1">
      <c r="A622" s="1" t="s">
        <v>654</v>
      </c>
      <c r="B622" s="3">
        <v>1</v>
      </c>
      <c r="C622" s="1" t="s">
        <v>2107</v>
      </c>
      <c r="D622" s="1" t="str">
        <f t="shared" si="28"/>
        <v>头盔</v>
      </c>
      <c r="E622" s="1">
        <f>INDEX([1]游戏类型定义!$C$20:$C$29,MATCH(D622,[1]!装备部位,0))</f>
        <v>1</v>
      </c>
      <c r="F622" s="1">
        <v>2</v>
      </c>
      <c r="G622" s="1">
        <f t="shared" si="29"/>
        <v>65</v>
      </c>
      <c r="H622" s="10">
        <v>0</v>
      </c>
      <c r="I622" s="1">
        <v>13000</v>
      </c>
      <c r="J622" s="1">
        <v>10</v>
      </c>
      <c r="K622" s="1">
        <v>0</v>
      </c>
      <c r="L622" s="1">
        <v>0</v>
      </c>
      <c r="M622" s="1" t="s">
        <v>1993</v>
      </c>
      <c r="N622" s="1" t="s">
        <v>724</v>
      </c>
      <c r="O622" s="1">
        <v>0</v>
      </c>
      <c r="P622" s="1" t="s">
        <v>2083</v>
      </c>
      <c r="Q622" s="7" t="s">
        <v>2510</v>
      </c>
    </row>
    <row r="623" spans="1:17" ht="14.25" thickBot="1">
      <c r="A623" s="1" t="s">
        <v>655</v>
      </c>
      <c r="B623" s="3">
        <v>1</v>
      </c>
      <c r="C623" s="1" t="s">
        <v>2118</v>
      </c>
      <c r="D623" s="1" t="str">
        <f t="shared" si="28"/>
        <v>戒指</v>
      </c>
      <c r="E623" s="1">
        <f>INDEX([1]游戏类型定义!$C$20:$C$29,MATCH(D623,[1]!装备部位,0))</f>
        <v>2</v>
      </c>
      <c r="F623" s="1">
        <v>2</v>
      </c>
      <c r="G623" s="1">
        <f t="shared" si="29"/>
        <v>65</v>
      </c>
      <c r="H623" s="10">
        <v>0</v>
      </c>
      <c r="I623" s="1">
        <v>13000</v>
      </c>
      <c r="J623" s="1">
        <v>10</v>
      </c>
      <c r="K623" s="1">
        <v>0</v>
      </c>
      <c r="L623" s="1">
        <v>0</v>
      </c>
      <c r="M623" s="1" t="s">
        <v>1994</v>
      </c>
      <c r="N623" s="1" t="s">
        <v>724</v>
      </c>
      <c r="O623" s="1">
        <v>0</v>
      </c>
      <c r="P623" s="1" t="s">
        <v>2083</v>
      </c>
      <c r="Q623" s="7" t="s">
        <v>2511</v>
      </c>
    </row>
    <row r="624" spans="1:17" ht="14.25" thickBot="1">
      <c r="A624" s="1" t="s">
        <v>656</v>
      </c>
      <c r="B624" s="3">
        <v>1</v>
      </c>
      <c r="C624" s="1" t="s">
        <v>2097</v>
      </c>
      <c r="D624" s="1" t="str">
        <f t="shared" si="28"/>
        <v>腰带</v>
      </c>
      <c r="E624" s="1">
        <f>INDEX([1]游戏类型定义!$C$20:$C$29,MATCH(D624,[1]!装备部位,0))</f>
        <v>3</v>
      </c>
      <c r="F624" s="1">
        <v>2</v>
      </c>
      <c r="G624" s="1">
        <f t="shared" si="29"/>
        <v>65</v>
      </c>
      <c r="H624" s="10">
        <v>0</v>
      </c>
      <c r="I624" s="1">
        <v>13000</v>
      </c>
      <c r="J624" s="1">
        <v>10</v>
      </c>
      <c r="K624" s="1">
        <v>0</v>
      </c>
      <c r="L624" s="1">
        <v>0</v>
      </c>
      <c r="M624" s="1" t="s">
        <v>1995</v>
      </c>
      <c r="N624" s="1" t="s">
        <v>724</v>
      </c>
      <c r="O624" s="1">
        <v>0</v>
      </c>
      <c r="P624" s="1" t="s">
        <v>2083</v>
      </c>
      <c r="Q624" s="7" t="s">
        <v>2512</v>
      </c>
    </row>
    <row r="625" spans="1:17" ht="14.25" thickBot="1">
      <c r="A625" s="1" t="s">
        <v>657</v>
      </c>
      <c r="B625" s="3">
        <v>1</v>
      </c>
      <c r="C625" s="1" t="s">
        <v>2139</v>
      </c>
      <c r="D625" s="1" t="str">
        <f t="shared" si="28"/>
        <v>鞋子</v>
      </c>
      <c r="E625" s="1">
        <f>INDEX([1]游戏类型定义!$C$20:$C$29,MATCH(D625,[1]!装备部位,0))</f>
        <v>8</v>
      </c>
      <c r="F625" s="1">
        <v>2</v>
      </c>
      <c r="G625" s="1">
        <f t="shared" si="29"/>
        <v>65</v>
      </c>
      <c r="H625" s="10">
        <v>0</v>
      </c>
      <c r="I625" s="1">
        <v>13000</v>
      </c>
      <c r="J625" s="1">
        <v>10</v>
      </c>
      <c r="K625" s="1">
        <v>0</v>
      </c>
      <c r="L625" s="1">
        <v>0</v>
      </c>
      <c r="M625" s="1" t="s">
        <v>1996</v>
      </c>
      <c r="N625" s="1" t="s">
        <v>724</v>
      </c>
      <c r="O625" s="1">
        <v>0</v>
      </c>
      <c r="P625" s="1" t="s">
        <v>2083</v>
      </c>
      <c r="Q625" s="7" t="s">
        <v>2513</v>
      </c>
    </row>
    <row r="626" spans="1:17" ht="14.25" thickBot="1">
      <c r="A626" s="1" t="s">
        <v>658</v>
      </c>
      <c r="B626" s="3">
        <v>1</v>
      </c>
      <c r="C626" s="1" t="s">
        <v>2144</v>
      </c>
      <c r="D626" s="1" t="str">
        <f t="shared" si="28"/>
        <v>手套</v>
      </c>
      <c r="E626" s="1">
        <f>INDEX([1]游戏类型定义!$C$20:$C$29,MATCH(D626,[1]!装备部位,0))</f>
        <v>9</v>
      </c>
      <c r="F626" s="1">
        <v>2</v>
      </c>
      <c r="G626" s="1">
        <f t="shared" si="29"/>
        <v>65</v>
      </c>
      <c r="H626" s="10">
        <v>0</v>
      </c>
      <c r="I626" s="1">
        <v>13000</v>
      </c>
      <c r="J626" s="1">
        <v>10</v>
      </c>
      <c r="K626" s="1">
        <v>0</v>
      </c>
      <c r="L626" s="1">
        <v>0</v>
      </c>
      <c r="M626" s="1" t="s">
        <v>1997</v>
      </c>
      <c r="N626" s="1" t="s">
        <v>724</v>
      </c>
      <c r="O626" s="1">
        <v>0</v>
      </c>
      <c r="P626" s="1" t="s">
        <v>2083</v>
      </c>
      <c r="Q626" s="7" t="s">
        <v>2514</v>
      </c>
    </row>
    <row r="627" spans="1:17" ht="14.25" thickBot="1">
      <c r="A627" s="1" t="s">
        <v>659</v>
      </c>
      <c r="B627" s="3">
        <v>1</v>
      </c>
      <c r="C627" s="1" t="s">
        <v>2155</v>
      </c>
      <c r="D627" s="1" t="str">
        <f t="shared" si="28"/>
        <v>项链</v>
      </c>
      <c r="E627" s="1">
        <f>INDEX([1]游戏类型定义!$C$20:$C$29,MATCH(D627,[1]!装备部位,0))</f>
        <v>10</v>
      </c>
      <c r="F627" s="1">
        <v>2</v>
      </c>
      <c r="G627" s="1">
        <f t="shared" si="29"/>
        <v>65</v>
      </c>
      <c r="H627" s="10">
        <v>0</v>
      </c>
      <c r="I627" s="1">
        <v>13000</v>
      </c>
      <c r="J627" s="1">
        <v>10</v>
      </c>
      <c r="K627" s="1">
        <v>0</v>
      </c>
      <c r="L627" s="1">
        <v>0</v>
      </c>
      <c r="M627" s="1" t="s">
        <v>1998</v>
      </c>
      <c r="N627" s="1" t="s">
        <v>724</v>
      </c>
      <c r="O627" s="1">
        <v>0</v>
      </c>
      <c r="P627" s="1" t="s">
        <v>2083</v>
      </c>
      <c r="Q627" s="7" t="s">
        <v>2515</v>
      </c>
    </row>
    <row r="628" spans="1:17" ht="14.25" thickBot="1">
      <c r="A628" s="1" t="s">
        <v>660</v>
      </c>
      <c r="B628" s="3">
        <v>1</v>
      </c>
      <c r="C628" s="9" t="s">
        <v>2287</v>
      </c>
      <c r="D628" s="1" t="str">
        <f t="shared" si="28"/>
        <v>主手武器</v>
      </c>
      <c r="E628" s="1">
        <f>INDEX([1]游戏类型定义!$C$20:$C$29,MATCH(D628,[1]!装备部位,0))</f>
        <v>5</v>
      </c>
      <c r="F628" s="1">
        <v>2</v>
      </c>
      <c r="G628" s="1">
        <f t="shared" si="29"/>
        <v>65</v>
      </c>
      <c r="H628" s="10" t="s">
        <v>2320</v>
      </c>
      <c r="I628" s="1">
        <v>13000</v>
      </c>
      <c r="J628" s="1">
        <v>10</v>
      </c>
      <c r="K628" s="1">
        <v>0</v>
      </c>
      <c r="L628" s="1">
        <v>0</v>
      </c>
      <c r="M628" s="1" t="s">
        <v>2028</v>
      </c>
      <c r="N628" s="1" t="s">
        <v>725</v>
      </c>
      <c r="O628" s="1">
        <v>0</v>
      </c>
      <c r="P628" s="1" t="s">
        <v>2083</v>
      </c>
      <c r="Q628" s="7" t="s">
        <v>2516</v>
      </c>
    </row>
    <row r="629" spans="1:17" ht="14.25" thickBot="1">
      <c r="A629" s="1" t="s">
        <v>661</v>
      </c>
      <c r="B629" s="2">
        <v>0</v>
      </c>
      <c r="C629" s="9" t="s">
        <v>2298</v>
      </c>
      <c r="D629" s="1" t="str">
        <f t="shared" si="28"/>
        <v>主手武器</v>
      </c>
      <c r="E629" s="1">
        <f>INDEX([1]游戏类型定义!$C$20:$C$29,MATCH(D629,[1]!装备部位,0))</f>
        <v>5</v>
      </c>
      <c r="F629" s="1">
        <v>2</v>
      </c>
      <c r="G629" s="1">
        <f t="shared" si="29"/>
        <v>65</v>
      </c>
      <c r="H629" s="10" t="s">
        <v>2320</v>
      </c>
      <c r="I629" s="1">
        <v>13600</v>
      </c>
      <c r="J629" s="1">
        <v>10</v>
      </c>
      <c r="K629" s="1">
        <v>0</v>
      </c>
      <c r="L629" s="1">
        <v>0</v>
      </c>
      <c r="M629" s="1" t="s">
        <v>1999</v>
      </c>
      <c r="N629" s="1" t="s">
        <v>725</v>
      </c>
      <c r="O629" s="1">
        <v>0</v>
      </c>
      <c r="P629" s="1" t="s">
        <v>2083</v>
      </c>
      <c r="Q629" s="7" t="s">
        <v>2057</v>
      </c>
    </row>
    <row r="630" spans="1:17" ht="14.25" thickBot="1">
      <c r="A630" s="1" t="s">
        <v>662</v>
      </c>
      <c r="B630" s="3">
        <v>1</v>
      </c>
      <c r="C630" s="9" t="s">
        <v>2299</v>
      </c>
      <c r="D630" s="1" t="str">
        <f t="shared" si="28"/>
        <v>副手武器</v>
      </c>
      <c r="E630" s="1">
        <f>INDEX([1]游戏类型定义!$C$20:$C$29,MATCH(D630,[1]!装备部位,0))</f>
        <v>6</v>
      </c>
      <c r="F630" s="1">
        <v>2</v>
      </c>
      <c r="G630" s="1">
        <f t="shared" si="29"/>
        <v>65</v>
      </c>
      <c r="H630" s="10" t="s">
        <v>2320</v>
      </c>
      <c r="I630" s="1">
        <v>13000</v>
      </c>
      <c r="J630" s="1">
        <v>10</v>
      </c>
      <c r="K630" s="1">
        <v>0</v>
      </c>
      <c r="L630" s="1">
        <v>0</v>
      </c>
      <c r="M630" s="1" t="s">
        <v>2000</v>
      </c>
      <c r="N630" s="1" t="s">
        <v>725</v>
      </c>
      <c r="O630" s="1">
        <v>0</v>
      </c>
      <c r="P630" s="1" t="s">
        <v>2083</v>
      </c>
      <c r="Q630" s="7" t="s">
        <v>2517</v>
      </c>
    </row>
    <row r="631" spans="1:17" ht="14.25" thickBot="1">
      <c r="A631" s="1" t="s">
        <v>663</v>
      </c>
      <c r="B631" s="2">
        <v>0</v>
      </c>
      <c r="C631" s="9" t="s">
        <v>2044</v>
      </c>
      <c r="D631" s="1" t="str">
        <f t="shared" si="28"/>
        <v>副手武器</v>
      </c>
      <c r="E631" s="1">
        <f>INDEX([1]游戏类型定义!$C$20:$C$29,MATCH(D631,[1]!装备部位,0))</f>
        <v>6</v>
      </c>
      <c r="F631" s="1">
        <v>2</v>
      </c>
      <c r="G631" s="1">
        <f t="shared" si="29"/>
        <v>65</v>
      </c>
      <c r="H631" s="10" t="s">
        <v>2320</v>
      </c>
      <c r="I631" s="1">
        <v>13600</v>
      </c>
      <c r="J631" s="1">
        <v>10</v>
      </c>
      <c r="K631" s="1">
        <v>0</v>
      </c>
      <c r="L631" s="1">
        <v>0</v>
      </c>
      <c r="M631" s="1" t="s">
        <v>2000</v>
      </c>
      <c r="N631" s="1" t="s">
        <v>725</v>
      </c>
      <c r="O631" s="1">
        <v>0</v>
      </c>
      <c r="P631" s="1" t="s">
        <v>2083</v>
      </c>
      <c r="Q631" s="7" t="s">
        <v>2058</v>
      </c>
    </row>
    <row r="632" spans="1:17" ht="14.25" thickBot="1">
      <c r="A632" s="1" t="s">
        <v>664</v>
      </c>
      <c r="B632" s="3">
        <v>1</v>
      </c>
      <c r="C632" s="1" t="s">
        <v>2306</v>
      </c>
      <c r="D632" s="1" t="str">
        <f t="shared" si="28"/>
        <v>主手武器</v>
      </c>
      <c r="E632" s="1">
        <f>INDEX([1]游戏类型定义!$C$20:$C$29,MATCH(D632,[1]!装备部位,0))</f>
        <v>5</v>
      </c>
      <c r="F632" s="1">
        <v>2</v>
      </c>
      <c r="G632" s="1">
        <f t="shared" si="29"/>
        <v>65</v>
      </c>
      <c r="H632" s="10" t="s">
        <v>2321</v>
      </c>
      <c r="I632" s="1">
        <v>13000</v>
      </c>
      <c r="J632" s="1">
        <v>10</v>
      </c>
      <c r="K632" s="1">
        <v>0</v>
      </c>
      <c r="L632" s="1">
        <v>0</v>
      </c>
      <c r="M632" s="1" t="s">
        <v>2028</v>
      </c>
      <c r="N632" s="1" t="s">
        <v>725</v>
      </c>
      <c r="O632" s="1">
        <v>0</v>
      </c>
      <c r="P632" s="1" t="s">
        <v>2083</v>
      </c>
      <c r="Q632" s="7" t="s">
        <v>2518</v>
      </c>
    </row>
    <row r="633" spans="1:17" ht="14.25" thickBot="1">
      <c r="A633" s="1" t="s">
        <v>665</v>
      </c>
      <c r="B633" s="2">
        <v>0</v>
      </c>
      <c r="C633" s="1" t="s">
        <v>2303</v>
      </c>
      <c r="D633" s="1" t="str">
        <f t="shared" si="28"/>
        <v>主手武器</v>
      </c>
      <c r="E633" s="1">
        <f>INDEX([1]游戏类型定义!$C$20:$C$29,MATCH(D633,[1]!装备部位,0))</f>
        <v>5</v>
      </c>
      <c r="F633" s="1">
        <v>2</v>
      </c>
      <c r="G633" s="1">
        <f t="shared" si="29"/>
        <v>65</v>
      </c>
      <c r="H633" s="10" t="s">
        <v>2321</v>
      </c>
      <c r="I633" s="1">
        <v>13600</v>
      </c>
      <c r="J633" s="1">
        <v>10</v>
      </c>
      <c r="K633" s="1">
        <v>0</v>
      </c>
      <c r="L633" s="1">
        <v>0</v>
      </c>
      <c r="M633" s="1" t="s">
        <v>1999</v>
      </c>
      <c r="N633" s="1" t="s">
        <v>725</v>
      </c>
      <c r="O633" s="1">
        <v>0</v>
      </c>
      <c r="P633" s="1" t="s">
        <v>2083</v>
      </c>
      <c r="Q633" s="7" t="s">
        <v>2059</v>
      </c>
    </row>
    <row r="634" spans="1:17" ht="14.25" thickBot="1">
      <c r="A634" s="1" t="s">
        <v>666</v>
      </c>
      <c r="B634" s="3">
        <v>1</v>
      </c>
      <c r="C634" s="9" t="s">
        <v>2307</v>
      </c>
      <c r="D634" s="1" t="str">
        <f t="shared" si="28"/>
        <v>副手武器</v>
      </c>
      <c r="E634" s="1">
        <f>INDEX([1]游戏类型定义!$C$20:$C$29,MATCH(D634,[1]!装备部位,0))</f>
        <v>6</v>
      </c>
      <c r="F634" s="1">
        <v>2</v>
      </c>
      <c r="G634" s="1">
        <f t="shared" si="29"/>
        <v>65</v>
      </c>
      <c r="H634" s="10" t="s">
        <v>2321</v>
      </c>
      <c r="I634" s="1">
        <v>13000</v>
      </c>
      <c r="J634" s="1">
        <v>10</v>
      </c>
      <c r="K634" s="1">
        <v>0</v>
      </c>
      <c r="L634" s="1">
        <v>0</v>
      </c>
      <c r="M634" s="1" t="s">
        <v>2001</v>
      </c>
      <c r="N634" s="1" t="s">
        <v>725</v>
      </c>
      <c r="O634" s="1">
        <v>0</v>
      </c>
      <c r="P634" s="1" t="s">
        <v>2083</v>
      </c>
      <c r="Q634" s="7" t="s">
        <v>2519</v>
      </c>
    </row>
    <row r="635" spans="1:17" ht="14.25" thickBot="1">
      <c r="A635" s="1" t="s">
        <v>667</v>
      </c>
      <c r="B635" s="2">
        <v>0</v>
      </c>
      <c r="C635" s="9" t="s">
        <v>2042</v>
      </c>
      <c r="D635" s="1" t="str">
        <f t="shared" si="28"/>
        <v>副手武器</v>
      </c>
      <c r="E635" s="1">
        <f>INDEX([1]游戏类型定义!$C$20:$C$29,MATCH(D635,[1]!装备部位,0))</f>
        <v>6</v>
      </c>
      <c r="F635" s="1">
        <v>2</v>
      </c>
      <c r="G635" s="1">
        <f t="shared" si="29"/>
        <v>65</v>
      </c>
      <c r="H635" s="10" t="s">
        <v>2321</v>
      </c>
      <c r="I635" s="1">
        <v>13600</v>
      </c>
      <c r="J635" s="1">
        <v>10</v>
      </c>
      <c r="K635" s="1">
        <v>0</v>
      </c>
      <c r="L635" s="1">
        <v>0</v>
      </c>
      <c r="M635" s="1" t="s">
        <v>2001</v>
      </c>
      <c r="N635" s="1" t="s">
        <v>725</v>
      </c>
      <c r="O635" s="1">
        <v>0</v>
      </c>
      <c r="P635" s="1" t="s">
        <v>2083</v>
      </c>
      <c r="Q635" s="7" t="s">
        <v>2060</v>
      </c>
    </row>
    <row r="636" spans="1:17" ht="14.25" thickBot="1">
      <c r="A636" s="1" t="s">
        <v>668</v>
      </c>
      <c r="B636" s="3">
        <v>1</v>
      </c>
      <c r="C636" s="9" t="s">
        <v>2294</v>
      </c>
      <c r="D636" s="1" t="str">
        <f t="shared" ref="D636:D655" si="30">D306</f>
        <v>主手武器</v>
      </c>
      <c r="E636" s="1">
        <f>INDEX([1]游戏类型定义!$C$20:$C$29,MATCH(D636,[1]!装备部位,0))</f>
        <v>5</v>
      </c>
      <c r="F636" s="1">
        <v>2</v>
      </c>
      <c r="G636" s="1">
        <f t="shared" ref="G636:G655" si="31">G306</f>
        <v>65</v>
      </c>
      <c r="H636" s="10" t="s">
        <v>2322</v>
      </c>
      <c r="I636" s="1">
        <v>13000</v>
      </c>
      <c r="J636" s="1">
        <v>10</v>
      </c>
      <c r="K636" s="1">
        <v>0</v>
      </c>
      <c r="L636" s="1">
        <v>0</v>
      </c>
      <c r="M636" s="1" t="s">
        <v>2028</v>
      </c>
      <c r="N636" s="1" t="s">
        <v>725</v>
      </c>
      <c r="O636" s="1">
        <v>0</v>
      </c>
      <c r="P636" s="1" t="s">
        <v>2083</v>
      </c>
      <c r="Q636" s="7" t="s">
        <v>2520</v>
      </c>
    </row>
    <row r="637" spans="1:17" ht="14.25" thickBot="1">
      <c r="A637" s="1" t="s">
        <v>669</v>
      </c>
      <c r="B637" s="2">
        <v>0</v>
      </c>
      <c r="C637" s="9" t="s">
        <v>2048</v>
      </c>
      <c r="D637" s="1" t="str">
        <f t="shared" si="30"/>
        <v>主手武器</v>
      </c>
      <c r="E637" s="1">
        <f>INDEX([1]游戏类型定义!$C$20:$C$29,MATCH(D637,[1]!装备部位,0))</f>
        <v>5</v>
      </c>
      <c r="F637" s="1">
        <v>2</v>
      </c>
      <c r="G637" s="1">
        <f t="shared" si="31"/>
        <v>65</v>
      </c>
      <c r="H637" s="10" t="s">
        <v>2322</v>
      </c>
      <c r="I637" s="1">
        <v>13600</v>
      </c>
      <c r="J637" s="1">
        <v>10</v>
      </c>
      <c r="K637" s="1">
        <v>0</v>
      </c>
      <c r="L637" s="1">
        <v>0</v>
      </c>
      <c r="M637" s="1" t="s">
        <v>1999</v>
      </c>
      <c r="N637" s="1" t="s">
        <v>725</v>
      </c>
      <c r="O637" s="1">
        <v>0</v>
      </c>
      <c r="P637" s="1" t="s">
        <v>2083</v>
      </c>
      <c r="Q637" s="7" t="s">
        <v>2061</v>
      </c>
    </row>
    <row r="638" spans="1:17" ht="14.25" thickBot="1">
      <c r="A638" s="1" t="s">
        <v>670</v>
      </c>
      <c r="B638" s="3">
        <v>1</v>
      </c>
      <c r="C638" s="9" t="s">
        <v>2284</v>
      </c>
      <c r="D638" s="1" t="str">
        <f t="shared" si="30"/>
        <v>副手武器</v>
      </c>
      <c r="E638" s="1">
        <f>INDEX([1]游戏类型定义!$C$20:$C$29,MATCH(D638,[1]!装备部位,0))</f>
        <v>6</v>
      </c>
      <c r="F638" s="1">
        <v>2</v>
      </c>
      <c r="G638" s="1">
        <f t="shared" si="31"/>
        <v>65</v>
      </c>
      <c r="H638" s="10" t="s">
        <v>2322</v>
      </c>
      <c r="I638" s="1">
        <v>13000</v>
      </c>
      <c r="J638" s="1">
        <v>10</v>
      </c>
      <c r="K638" s="1">
        <v>0</v>
      </c>
      <c r="L638" s="1">
        <v>0</v>
      </c>
      <c r="M638" s="1" t="s">
        <v>2002</v>
      </c>
      <c r="N638" s="1" t="s">
        <v>725</v>
      </c>
      <c r="O638" s="1">
        <v>0</v>
      </c>
      <c r="P638" s="1" t="s">
        <v>2083</v>
      </c>
      <c r="Q638" s="7" t="s">
        <v>2521</v>
      </c>
    </row>
    <row r="639" spans="1:17" ht="14.25" thickBot="1">
      <c r="A639" s="1" t="s">
        <v>671</v>
      </c>
      <c r="B639" s="2">
        <v>0</v>
      </c>
      <c r="C639" s="9" t="s">
        <v>2050</v>
      </c>
      <c r="D639" s="1" t="str">
        <f t="shared" si="30"/>
        <v>副手武器</v>
      </c>
      <c r="E639" s="1">
        <f>INDEX([1]游戏类型定义!$C$20:$C$29,MATCH(D639,[1]!装备部位,0))</f>
        <v>6</v>
      </c>
      <c r="F639" s="1">
        <v>2</v>
      </c>
      <c r="G639" s="1">
        <f t="shared" si="31"/>
        <v>65</v>
      </c>
      <c r="H639" s="10" t="s">
        <v>2322</v>
      </c>
      <c r="I639" s="1">
        <v>13600</v>
      </c>
      <c r="J639" s="1">
        <v>10</v>
      </c>
      <c r="K639" s="1">
        <v>0</v>
      </c>
      <c r="L639" s="1">
        <v>0</v>
      </c>
      <c r="M639" s="1" t="s">
        <v>2003</v>
      </c>
      <c r="N639" s="1" t="s">
        <v>725</v>
      </c>
      <c r="O639" s="1">
        <v>0</v>
      </c>
      <c r="P639" s="1" t="s">
        <v>2083</v>
      </c>
      <c r="Q639" s="7" t="s">
        <v>2062</v>
      </c>
    </row>
    <row r="640" spans="1:17" ht="14.25" thickBot="1">
      <c r="A640" s="1" t="s">
        <v>672</v>
      </c>
      <c r="B640" s="3">
        <v>1</v>
      </c>
      <c r="C640" s="1" t="s">
        <v>2175</v>
      </c>
      <c r="D640" s="1" t="str">
        <f t="shared" si="30"/>
        <v>胸甲</v>
      </c>
      <c r="E640" s="1">
        <f>INDEX([1]游戏类型定义!$C$20:$C$29,MATCH(D640,[1]!装备部位,0))</f>
        <v>4</v>
      </c>
      <c r="F640" s="1">
        <v>2</v>
      </c>
      <c r="G640" s="1">
        <f t="shared" si="31"/>
        <v>65</v>
      </c>
      <c r="H640" s="10">
        <v>0</v>
      </c>
      <c r="I640" s="1">
        <v>13000</v>
      </c>
      <c r="J640" s="1">
        <v>10</v>
      </c>
      <c r="K640" s="1">
        <v>0</v>
      </c>
      <c r="L640" s="1">
        <v>0</v>
      </c>
      <c r="M640" s="1" t="s">
        <v>2004</v>
      </c>
      <c r="N640" s="1" t="s">
        <v>724</v>
      </c>
      <c r="O640" s="1">
        <v>0</v>
      </c>
      <c r="P640" s="1" t="s">
        <v>2083</v>
      </c>
      <c r="Q640" s="7" t="s">
        <v>2522</v>
      </c>
    </row>
    <row r="641" spans="1:17" ht="14.25" thickBot="1">
      <c r="A641" s="1" t="s">
        <v>673</v>
      </c>
      <c r="B641" s="2">
        <v>0</v>
      </c>
      <c r="C641" s="1" t="s">
        <v>2030</v>
      </c>
      <c r="D641" s="1" t="str">
        <f t="shared" si="30"/>
        <v>胸甲</v>
      </c>
      <c r="E641" s="1">
        <f>INDEX([1]游戏类型定义!$C$20:$C$29,MATCH(D641,[1]!装备部位,0))</f>
        <v>4</v>
      </c>
      <c r="F641" s="1">
        <v>2</v>
      </c>
      <c r="G641" s="1">
        <f t="shared" si="31"/>
        <v>65</v>
      </c>
      <c r="H641" s="10">
        <v>0</v>
      </c>
      <c r="I641" s="1">
        <v>13600</v>
      </c>
      <c r="J641" s="1">
        <v>10</v>
      </c>
      <c r="K641" s="1">
        <v>0</v>
      </c>
      <c r="L641" s="1">
        <v>0</v>
      </c>
      <c r="M641" s="1" t="s">
        <v>2004</v>
      </c>
      <c r="N641" s="1" t="s">
        <v>724</v>
      </c>
      <c r="O641" s="1">
        <v>0</v>
      </c>
      <c r="P641" s="1" t="s">
        <v>2083</v>
      </c>
      <c r="Q641" s="7" t="s">
        <v>2063</v>
      </c>
    </row>
    <row r="642" spans="1:17" ht="14.25" thickBot="1">
      <c r="A642" s="1" t="s">
        <v>674</v>
      </c>
      <c r="B642" s="3">
        <v>1</v>
      </c>
      <c r="C642" s="1" t="s">
        <v>2192</v>
      </c>
      <c r="D642" s="1" t="str">
        <f t="shared" si="30"/>
        <v>护腿</v>
      </c>
      <c r="E642" s="1">
        <f>INDEX([1]游戏类型定义!$C$20:$C$29,MATCH(D642,[1]!装备部位,0))</f>
        <v>7</v>
      </c>
      <c r="F642" s="1">
        <v>2</v>
      </c>
      <c r="G642" s="1">
        <f t="shared" si="31"/>
        <v>65</v>
      </c>
      <c r="H642" s="10">
        <v>0</v>
      </c>
      <c r="I642" s="1">
        <v>13000</v>
      </c>
      <c r="J642" s="1">
        <v>10</v>
      </c>
      <c r="K642" s="1">
        <v>0</v>
      </c>
      <c r="L642" s="1">
        <v>0</v>
      </c>
      <c r="M642" s="1" t="s">
        <v>2005</v>
      </c>
      <c r="N642" s="1" t="s">
        <v>724</v>
      </c>
      <c r="O642" s="1">
        <v>0</v>
      </c>
      <c r="P642" s="1" t="s">
        <v>2083</v>
      </c>
      <c r="Q642" s="7" t="s">
        <v>2523</v>
      </c>
    </row>
    <row r="643" spans="1:17" ht="14.25" thickBot="1">
      <c r="A643" s="1" t="s">
        <v>675</v>
      </c>
      <c r="B643" s="2">
        <v>0</v>
      </c>
      <c r="C643" s="1" t="s">
        <v>2038</v>
      </c>
      <c r="D643" s="1" t="str">
        <f t="shared" si="30"/>
        <v>护腿</v>
      </c>
      <c r="E643" s="1">
        <f>INDEX([1]游戏类型定义!$C$20:$C$29,MATCH(D643,[1]!装备部位,0))</f>
        <v>7</v>
      </c>
      <c r="F643" s="1">
        <v>2</v>
      </c>
      <c r="G643" s="1">
        <f t="shared" si="31"/>
        <v>65</v>
      </c>
      <c r="H643" s="10">
        <v>0</v>
      </c>
      <c r="I643" s="1">
        <v>13600</v>
      </c>
      <c r="J643" s="1">
        <v>10</v>
      </c>
      <c r="K643" s="1">
        <v>0</v>
      </c>
      <c r="L643" s="1">
        <v>0</v>
      </c>
      <c r="M643" s="1" t="s">
        <v>2005</v>
      </c>
      <c r="N643" s="1" t="s">
        <v>724</v>
      </c>
      <c r="O643" s="1">
        <v>0</v>
      </c>
      <c r="P643" s="1" t="s">
        <v>2083</v>
      </c>
      <c r="Q643" s="7" t="s">
        <v>2064</v>
      </c>
    </row>
    <row r="644" spans="1:17" ht="14.25" thickBot="1">
      <c r="A644" s="1" t="s">
        <v>676</v>
      </c>
      <c r="B644" s="2">
        <v>0</v>
      </c>
      <c r="C644" s="1" t="s">
        <v>2130</v>
      </c>
      <c r="D644" s="1" t="str">
        <f t="shared" si="30"/>
        <v>头盔</v>
      </c>
      <c r="E644" s="1">
        <f>INDEX([1]游戏类型定义!$C$20:$C$29,MATCH(D644,[1]!装备部位,0))</f>
        <v>1</v>
      </c>
      <c r="F644" s="1">
        <v>2</v>
      </c>
      <c r="G644" s="1">
        <f t="shared" si="31"/>
        <v>70</v>
      </c>
      <c r="H644" s="10">
        <v>0</v>
      </c>
      <c r="I644" s="1">
        <v>14000</v>
      </c>
      <c r="J644" s="1">
        <v>10</v>
      </c>
      <c r="K644" s="1">
        <v>0</v>
      </c>
      <c r="L644" s="1">
        <v>0</v>
      </c>
      <c r="M644" s="1" t="s">
        <v>1798</v>
      </c>
      <c r="N644" s="1" t="s">
        <v>726</v>
      </c>
      <c r="O644" s="1">
        <v>0</v>
      </c>
      <c r="P644" s="1" t="s">
        <v>2084</v>
      </c>
      <c r="Q644" s="7" t="s">
        <v>2051</v>
      </c>
    </row>
    <row r="645" spans="1:17" ht="14.25" thickBot="1">
      <c r="A645" s="1" t="s">
        <v>677</v>
      </c>
      <c r="B645" s="2">
        <v>0</v>
      </c>
      <c r="C645" s="1" t="s">
        <v>2119</v>
      </c>
      <c r="D645" s="1" t="str">
        <f t="shared" si="30"/>
        <v>戒指</v>
      </c>
      <c r="E645" s="1">
        <f>INDEX([1]游戏类型定义!$C$20:$C$29,MATCH(D645,[1]!装备部位,0))</f>
        <v>2</v>
      </c>
      <c r="F645" s="1">
        <v>2</v>
      </c>
      <c r="G645" s="1">
        <f t="shared" si="31"/>
        <v>70</v>
      </c>
      <c r="H645" s="10">
        <v>0</v>
      </c>
      <c r="I645" s="1">
        <v>14000</v>
      </c>
      <c r="J645" s="1">
        <v>10</v>
      </c>
      <c r="K645" s="1">
        <v>0</v>
      </c>
      <c r="L645" s="1">
        <v>0</v>
      </c>
      <c r="M645" s="1" t="s">
        <v>2006</v>
      </c>
      <c r="N645" s="1" t="s">
        <v>726</v>
      </c>
      <c r="O645" s="1">
        <v>0</v>
      </c>
      <c r="P645" s="1" t="s">
        <v>2084</v>
      </c>
      <c r="Q645" s="7" t="s">
        <v>2052</v>
      </c>
    </row>
    <row r="646" spans="1:17" ht="14.25" thickBot="1">
      <c r="A646" s="1" t="s">
        <v>678</v>
      </c>
      <c r="B646" s="2">
        <v>0</v>
      </c>
      <c r="C646" s="1" t="s">
        <v>2129</v>
      </c>
      <c r="D646" s="1" t="str">
        <f t="shared" si="30"/>
        <v>腰带</v>
      </c>
      <c r="E646" s="1">
        <f>INDEX([1]游戏类型定义!$C$20:$C$29,MATCH(D646,[1]!装备部位,0))</f>
        <v>3</v>
      </c>
      <c r="F646" s="1">
        <v>2</v>
      </c>
      <c r="G646" s="1">
        <f t="shared" si="31"/>
        <v>70</v>
      </c>
      <c r="H646" s="10">
        <v>0</v>
      </c>
      <c r="I646" s="1">
        <v>14000</v>
      </c>
      <c r="J646" s="1">
        <v>10</v>
      </c>
      <c r="K646" s="1">
        <v>0</v>
      </c>
      <c r="L646" s="1">
        <v>0</v>
      </c>
      <c r="M646" s="1" t="s">
        <v>2007</v>
      </c>
      <c r="N646" s="1" t="s">
        <v>726</v>
      </c>
      <c r="O646" s="1">
        <v>0</v>
      </c>
      <c r="P646" s="1" t="s">
        <v>2084</v>
      </c>
      <c r="Q646" s="7" t="s">
        <v>2053</v>
      </c>
    </row>
    <row r="647" spans="1:17" ht="14.25" thickBot="1">
      <c r="A647" s="1" t="s">
        <v>679</v>
      </c>
      <c r="B647" s="2">
        <v>0</v>
      </c>
      <c r="C647" s="1" t="s">
        <v>2131</v>
      </c>
      <c r="D647" s="1" t="str">
        <f t="shared" si="30"/>
        <v>鞋子</v>
      </c>
      <c r="E647" s="1">
        <f>INDEX([1]游戏类型定义!$C$20:$C$29,MATCH(D647,[1]!装备部位,0))</f>
        <v>8</v>
      </c>
      <c r="F647" s="1">
        <v>2</v>
      </c>
      <c r="G647" s="1">
        <f t="shared" si="31"/>
        <v>70</v>
      </c>
      <c r="H647" s="10">
        <v>0</v>
      </c>
      <c r="I647" s="1">
        <v>14000</v>
      </c>
      <c r="J647" s="1">
        <v>10</v>
      </c>
      <c r="K647" s="1">
        <v>0</v>
      </c>
      <c r="L647" s="1">
        <v>0</v>
      </c>
      <c r="M647" s="1" t="s">
        <v>2008</v>
      </c>
      <c r="N647" s="1" t="s">
        <v>726</v>
      </c>
      <c r="O647" s="1">
        <v>0</v>
      </c>
      <c r="P647" s="1" t="s">
        <v>2084</v>
      </c>
      <c r="Q647" s="7" t="s">
        <v>2054</v>
      </c>
    </row>
    <row r="648" spans="1:17" ht="14.25" thickBot="1">
      <c r="A648" s="1" t="s">
        <v>680</v>
      </c>
      <c r="B648" s="2">
        <v>0</v>
      </c>
      <c r="C648" s="1" t="s">
        <v>2145</v>
      </c>
      <c r="D648" s="1" t="str">
        <f t="shared" si="30"/>
        <v>手套</v>
      </c>
      <c r="E648" s="1">
        <f>INDEX([1]游戏类型定义!$C$20:$C$29,MATCH(D648,[1]!装备部位,0))</f>
        <v>9</v>
      </c>
      <c r="F648" s="1">
        <v>2</v>
      </c>
      <c r="G648" s="1">
        <f t="shared" si="31"/>
        <v>70</v>
      </c>
      <c r="H648" s="10">
        <v>0</v>
      </c>
      <c r="I648" s="1">
        <v>14000</v>
      </c>
      <c r="J648" s="1">
        <v>10</v>
      </c>
      <c r="K648" s="1">
        <v>0</v>
      </c>
      <c r="L648" s="1">
        <v>0</v>
      </c>
      <c r="M648" s="1" t="s">
        <v>2009</v>
      </c>
      <c r="N648" s="1" t="s">
        <v>726</v>
      </c>
      <c r="O648" s="1">
        <v>0</v>
      </c>
      <c r="P648" s="1" t="s">
        <v>2084</v>
      </c>
      <c r="Q648" s="7" t="s">
        <v>2055</v>
      </c>
    </row>
    <row r="649" spans="1:17" ht="14.25" thickBot="1">
      <c r="A649" s="1" t="s">
        <v>681</v>
      </c>
      <c r="B649" s="2">
        <v>0</v>
      </c>
      <c r="C649" s="1" t="s">
        <v>2156</v>
      </c>
      <c r="D649" s="1" t="str">
        <f t="shared" si="30"/>
        <v>项链</v>
      </c>
      <c r="E649" s="1">
        <f>INDEX([1]游戏类型定义!$C$20:$C$29,MATCH(D649,[1]!装备部位,0))</f>
        <v>10</v>
      </c>
      <c r="F649" s="1">
        <v>2</v>
      </c>
      <c r="G649" s="1">
        <f t="shared" si="31"/>
        <v>70</v>
      </c>
      <c r="H649" s="10">
        <v>0</v>
      </c>
      <c r="I649" s="1">
        <v>14000</v>
      </c>
      <c r="J649" s="1">
        <v>10</v>
      </c>
      <c r="K649" s="1">
        <v>0</v>
      </c>
      <c r="L649" s="1">
        <v>0</v>
      </c>
      <c r="M649" s="1" t="s">
        <v>1803</v>
      </c>
      <c r="N649" s="1" t="s">
        <v>726</v>
      </c>
      <c r="O649" s="1">
        <v>0</v>
      </c>
      <c r="P649" s="1" t="s">
        <v>2084</v>
      </c>
      <c r="Q649" s="7" t="s">
        <v>2056</v>
      </c>
    </row>
    <row r="650" spans="1:17" ht="14.25" thickBot="1">
      <c r="A650" s="1" t="s">
        <v>682</v>
      </c>
      <c r="B650" s="3">
        <v>1</v>
      </c>
      <c r="C650" s="9" t="s">
        <v>2298</v>
      </c>
      <c r="D650" s="1" t="str">
        <f t="shared" si="30"/>
        <v>主手武器</v>
      </c>
      <c r="E650" s="1">
        <f>INDEX([1]游戏类型定义!$C$20:$C$29,MATCH(D650,[1]!装备部位,0))</f>
        <v>5</v>
      </c>
      <c r="F650" s="1">
        <v>2</v>
      </c>
      <c r="G650" s="1">
        <f t="shared" si="31"/>
        <v>70</v>
      </c>
      <c r="H650" s="10" t="s">
        <v>2320</v>
      </c>
      <c r="I650" s="1">
        <v>14000</v>
      </c>
      <c r="J650" s="1">
        <v>10</v>
      </c>
      <c r="K650" s="1">
        <v>0</v>
      </c>
      <c r="L650" s="1">
        <v>0</v>
      </c>
      <c r="M650" s="1" t="s">
        <v>2029</v>
      </c>
      <c r="N650" s="1" t="s">
        <v>727</v>
      </c>
      <c r="O650" s="1">
        <v>0</v>
      </c>
      <c r="P650" s="1" t="s">
        <v>2084</v>
      </c>
      <c r="Q650" s="7" t="s">
        <v>2524</v>
      </c>
    </row>
    <row r="651" spans="1:17" ht="14.25" thickBot="1">
      <c r="A651" s="1" t="s">
        <v>683</v>
      </c>
      <c r="B651" s="2">
        <v>0</v>
      </c>
      <c r="C651" s="9" t="s">
        <v>2309</v>
      </c>
      <c r="D651" s="1" t="str">
        <f t="shared" si="30"/>
        <v>主手武器</v>
      </c>
      <c r="E651" s="1">
        <f>INDEX([1]游戏类型定义!$C$20:$C$29,MATCH(D651,[1]!装备部位,0))</f>
        <v>5</v>
      </c>
      <c r="F651" s="1">
        <v>2</v>
      </c>
      <c r="G651" s="1">
        <f t="shared" si="31"/>
        <v>70</v>
      </c>
      <c r="H651" s="10" t="s">
        <v>2320</v>
      </c>
      <c r="I651" s="1">
        <v>14600</v>
      </c>
      <c r="J651" s="1">
        <v>10</v>
      </c>
      <c r="K651" s="1">
        <v>0</v>
      </c>
      <c r="L651" s="1">
        <v>0</v>
      </c>
      <c r="M651" s="1" t="s">
        <v>2029</v>
      </c>
      <c r="N651" s="1" t="s">
        <v>727</v>
      </c>
      <c r="O651" s="1">
        <v>0</v>
      </c>
      <c r="P651" s="1" t="s">
        <v>2084</v>
      </c>
      <c r="Q651" s="7" t="s">
        <v>2057</v>
      </c>
    </row>
    <row r="652" spans="1:17" ht="14.25" thickBot="1">
      <c r="A652" s="1" t="s">
        <v>684</v>
      </c>
      <c r="B652" s="3">
        <v>1</v>
      </c>
      <c r="C652" s="9" t="s">
        <v>2310</v>
      </c>
      <c r="D652" s="1" t="str">
        <f t="shared" si="30"/>
        <v>副手武器</v>
      </c>
      <c r="E652" s="1">
        <f>INDEX([1]游戏类型定义!$C$20:$C$29,MATCH(D652,[1]!装备部位,0))</f>
        <v>6</v>
      </c>
      <c r="F652" s="1">
        <v>2</v>
      </c>
      <c r="G652" s="1">
        <f t="shared" si="31"/>
        <v>70</v>
      </c>
      <c r="H652" s="10" t="s">
        <v>2320</v>
      </c>
      <c r="I652" s="1">
        <v>14000</v>
      </c>
      <c r="J652" s="1">
        <v>10</v>
      </c>
      <c r="K652" s="1">
        <v>0</v>
      </c>
      <c r="L652" s="1">
        <v>0</v>
      </c>
      <c r="M652" s="1" t="s">
        <v>2010</v>
      </c>
      <c r="N652" s="1" t="s">
        <v>727</v>
      </c>
      <c r="O652" s="1">
        <v>0</v>
      </c>
      <c r="P652" s="1" t="s">
        <v>2084</v>
      </c>
      <c r="Q652" s="7" t="s">
        <v>2525</v>
      </c>
    </row>
    <row r="653" spans="1:17" ht="14.25" thickBot="1">
      <c r="A653" s="1" t="s">
        <v>685</v>
      </c>
      <c r="B653" s="2">
        <v>0</v>
      </c>
      <c r="C653" s="9" t="s">
        <v>2308</v>
      </c>
      <c r="D653" s="1" t="str">
        <f t="shared" si="30"/>
        <v>副手武器</v>
      </c>
      <c r="E653" s="1">
        <f>INDEX([1]游戏类型定义!$C$20:$C$29,MATCH(D653,[1]!装备部位,0))</f>
        <v>6</v>
      </c>
      <c r="F653" s="1">
        <v>2</v>
      </c>
      <c r="G653" s="1">
        <f t="shared" si="31"/>
        <v>70</v>
      </c>
      <c r="H653" s="10" t="s">
        <v>2320</v>
      </c>
      <c r="I653" s="1">
        <v>14600</v>
      </c>
      <c r="J653" s="1">
        <v>10</v>
      </c>
      <c r="K653" s="1">
        <v>0</v>
      </c>
      <c r="L653" s="1">
        <v>0</v>
      </c>
      <c r="M653" s="1" t="s">
        <v>2010</v>
      </c>
      <c r="N653" s="1" t="s">
        <v>727</v>
      </c>
      <c r="O653" s="1">
        <v>0</v>
      </c>
      <c r="P653" s="1" t="s">
        <v>2084</v>
      </c>
      <c r="Q653" s="7" t="s">
        <v>2058</v>
      </c>
    </row>
    <row r="654" spans="1:17" ht="14.25" thickBot="1">
      <c r="A654" s="1" t="s">
        <v>686</v>
      </c>
      <c r="B654" s="3">
        <v>1</v>
      </c>
      <c r="C654" s="1" t="s">
        <v>2303</v>
      </c>
      <c r="D654" s="1" t="str">
        <f t="shared" si="30"/>
        <v>主手武器</v>
      </c>
      <c r="E654" s="1">
        <f>INDEX([1]游戏类型定义!$C$20:$C$29,MATCH(D654,[1]!装备部位,0))</f>
        <v>5</v>
      </c>
      <c r="F654" s="1">
        <v>2</v>
      </c>
      <c r="G654" s="1">
        <f t="shared" si="31"/>
        <v>70</v>
      </c>
      <c r="H654" s="10" t="s">
        <v>2321</v>
      </c>
      <c r="I654" s="1">
        <v>14000</v>
      </c>
      <c r="J654" s="1">
        <v>10</v>
      </c>
      <c r="K654" s="1">
        <v>0</v>
      </c>
      <c r="L654" s="1">
        <v>0</v>
      </c>
      <c r="M654" s="1" t="s">
        <v>2029</v>
      </c>
      <c r="N654" s="1" t="s">
        <v>727</v>
      </c>
      <c r="O654" s="1">
        <v>0</v>
      </c>
      <c r="P654" s="1" t="s">
        <v>2084</v>
      </c>
      <c r="Q654" s="7" t="s">
        <v>2526</v>
      </c>
    </row>
    <row r="655" spans="1:17" ht="14.25" thickBot="1">
      <c r="A655" s="1" t="s">
        <v>687</v>
      </c>
      <c r="B655" s="2">
        <v>0</v>
      </c>
      <c r="C655" s="1" t="s">
        <v>2302</v>
      </c>
      <c r="D655" s="1" t="str">
        <f t="shared" si="30"/>
        <v>主手武器</v>
      </c>
      <c r="E655" s="1">
        <f>INDEX([1]游戏类型定义!$C$20:$C$29,MATCH(D655,[1]!装备部位,0))</f>
        <v>5</v>
      </c>
      <c r="F655" s="1">
        <v>2</v>
      </c>
      <c r="G655" s="1">
        <f t="shared" si="31"/>
        <v>70</v>
      </c>
      <c r="H655" s="10" t="s">
        <v>2321</v>
      </c>
      <c r="I655" s="1">
        <v>14600</v>
      </c>
      <c r="J655" s="1">
        <v>10</v>
      </c>
      <c r="K655" s="1">
        <v>0</v>
      </c>
      <c r="L655" s="1">
        <v>0</v>
      </c>
      <c r="M655" s="1" t="s">
        <v>2029</v>
      </c>
      <c r="N655" s="1" t="s">
        <v>727</v>
      </c>
      <c r="O655" s="1">
        <v>0</v>
      </c>
      <c r="P655" s="1" t="s">
        <v>2084</v>
      </c>
      <c r="Q655" s="7" t="s">
        <v>2059</v>
      </c>
    </row>
    <row r="656" spans="1:17" ht="14.25" thickBot="1">
      <c r="A656" s="1" t="s">
        <v>688</v>
      </c>
      <c r="B656" s="3">
        <v>1</v>
      </c>
      <c r="C656" s="9" t="s">
        <v>2293</v>
      </c>
      <c r="D656" s="1" t="str">
        <f>D326</f>
        <v>副手武器</v>
      </c>
      <c r="E656" s="1">
        <f>INDEX([1]游戏类型定义!$C$20:$C$29,MATCH(D656,[1]!装备部位,0))</f>
        <v>6</v>
      </c>
      <c r="F656" s="1">
        <v>2</v>
      </c>
      <c r="G656" s="1">
        <f>G326</f>
        <v>70</v>
      </c>
      <c r="H656" s="10" t="s">
        <v>2321</v>
      </c>
      <c r="I656" s="1">
        <v>14000</v>
      </c>
      <c r="J656" s="1">
        <v>10</v>
      </c>
      <c r="K656" s="1">
        <v>0</v>
      </c>
      <c r="L656" s="1">
        <v>0</v>
      </c>
      <c r="M656" s="1" t="s">
        <v>2011</v>
      </c>
      <c r="N656" s="1" t="s">
        <v>727</v>
      </c>
      <c r="O656" s="1">
        <v>0</v>
      </c>
      <c r="P656" s="1" t="s">
        <v>2084</v>
      </c>
      <c r="Q656" s="7" t="s">
        <v>2527</v>
      </c>
    </row>
    <row r="657" spans="1:17" ht="14.25" thickBot="1">
      <c r="A657" s="1" t="s">
        <v>689</v>
      </c>
      <c r="B657" s="2">
        <v>0</v>
      </c>
      <c r="C657" s="9" t="s">
        <v>2042</v>
      </c>
      <c r="D657" s="1" t="str">
        <f>D327</f>
        <v>副手武器</v>
      </c>
      <c r="E657" s="1">
        <f>INDEX([1]游戏类型定义!$C$20:$C$29,MATCH(D657,[1]!装备部位,0))</f>
        <v>6</v>
      </c>
      <c r="F657" s="1">
        <v>2</v>
      </c>
      <c r="G657" s="1">
        <f>G327</f>
        <v>70</v>
      </c>
      <c r="H657" s="10" t="s">
        <v>2321</v>
      </c>
      <c r="I657" s="1">
        <v>14600</v>
      </c>
      <c r="J657" s="1">
        <v>10</v>
      </c>
      <c r="K657" s="1">
        <v>0</v>
      </c>
      <c r="L657" s="1">
        <v>0</v>
      </c>
      <c r="M657" s="1" t="s">
        <v>2011</v>
      </c>
      <c r="N657" s="1" t="s">
        <v>727</v>
      </c>
      <c r="O657" s="1">
        <v>0</v>
      </c>
      <c r="P657" s="1" t="s">
        <v>2084</v>
      </c>
      <c r="Q657" s="7" t="s">
        <v>2060</v>
      </c>
    </row>
    <row r="658" spans="1:17" ht="14.25" thickBot="1">
      <c r="A658" s="1" t="s">
        <v>690</v>
      </c>
      <c r="B658" s="3">
        <v>1</v>
      </c>
      <c r="C658" s="9" t="s">
        <v>2300</v>
      </c>
      <c r="D658" s="1" t="str">
        <f>D328</f>
        <v>主手武器</v>
      </c>
      <c r="E658" s="1">
        <f>INDEX([1]游戏类型定义!$C$20:$C$29,MATCH(D658,[1]!装备部位,0))</f>
        <v>5</v>
      </c>
      <c r="F658" s="1">
        <v>2</v>
      </c>
      <c r="G658" s="1">
        <f>G328</f>
        <v>70</v>
      </c>
      <c r="H658" s="10" t="s">
        <v>2322</v>
      </c>
      <c r="I658" s="1">
        <v>14000</v>
      </c>
      <c r="J658" s="1">
        <v>10</v>
      </c>
      <c r="K658" s="1">
        <v>0</v>
      </c>
      <c r="L658" s="1">
        <v>0</v>
      </c>
      <c r="M658" s="1" t="s">
        <v>2029</v>
      </c>
      <c r="N658" s="1" t="s">
        <v>727</v>
      </c>
      <c r="O658" s="1">
        <v>0</v>
      </c>
      <c r="P658" s="1" t="s">
        <v>2084</v>
      </c>
      <c r="Q658" s="7" t="s">
        <v>2528</v>
      </c>
    </row>
    <row r="659" spans="1:17" ht="14.25" thickBot="1">
      <c r="A659" s="1" t="s">
        <v>691</v>
      </c>
      <c r="B659" s="2">
        <v>0</v>
      </c>
      <c r="C659" s="9" t="s">
        <v>2301</v>
      </c>
      <c r="D659" s="1" t="str">
        <f>D329</f>
        <v>主手武器</v>
      </c>
      <c r="E659" s="1">
        <f>INDEX([1]游戏类型定义!$C$20:$C$29,MATCH(D659,[1]!装备部位,0))</f>
        <v>5</v>
      </c>
      <c r="F659" s="1">
        <v>2</v>
      </c>
      <c r="G659" s="1">
        <f>G329</f>
        <v>70</v>
      </c>
      <c r="H659" s="10" t="s">
        <v>2322</v>
      </c>
      <c r="I659" s="1">
        <v>14600</v>
      </c>
      <c r="J659" s="1">
        <v>10</v>
      </c>
      <c r="K659" s="1">
        <v>0</v>
      </c>
      <c r="L659" s="1">
        <v>0</v>
      </c>
      <c r="M659" s="1" t="s">
        <v>2029</v>
      </c>
      <c r="N659" s="1" t="s">
        <v>727</v>
      </c>
      <c r="O659" s="1">
        <v>0</v>
      </c>
      <c r="P659" s="1" t="s">
        <v>2084</v>
      </c>
      <c r="Q659" s="7" t="s">
        <v>2061</v>
      </c>
    </row>
    <row r="660" spans="1:17" ht="14.25" thickBot="1">
      <c r="A660" s="1" t="s">
        <v>692</v>
      </c>
      <c r="B660" s="3">
        <v>1</v>
      </c>
      <c r="C660" s="9" t="s">
        <v>2304</v>
      </c>
      <c r="D660" s="1" t="str">
        <f>D330</f>
        <v>副手武器</v>
      </c>
      <c r="E660" s="1">
        <f>INDEX([1]游戏类型定义!$C$20:$C$29,MATCH(D660,[1]!装备部位,0))</f>
        <v>6</v>
      </c>
      <c r="F660" s="1">
        <v>2</v>
      </c>
      <c r="G660" s="1">
        <f>G330</f>
        <v>70</v>
      </c>
      <c r="H660" s="10" t="s">
        <v>2322</v>
      </c>
      <c r="I660" s="1">
        <v>14000</v>
      </c>
      <c r="J660" s="1">
        <v>10</v>
      </c>
      <c r="K660" s="1">
        <v>0</v>
      </c>
      <c r="L660" s="1">
        <v>0</v>
      </c>
      <c r="M660" s="1" t="s">
        <v>2012</v>
      </c>
      <c r="N660" s="1" t="s">
        <v>727</v>
      </c>
      <c r="O660" s="1">
        <v>0</v>
      </c>
      <c r="P660" s="1" t="s">
        <v>2084</v>
      </c>
      <c r="Q660" s="7" t="s">
        <v>2529</v>
      </c>
    </row>
    <row r="661" spans="1:17" ht="14.25" thickBot="1">
      <c r="A661" s="1" t="s">
        <v>693</v>
      </c>
      <c r="B661" s="2">
        <v>0</v>
      </c>
      <c r="C661" s="9" t="s">
        <v>2305</v>
      </c>
      <c r="D661" s="1" t="str">
        <f t="shared" ref="D661:D675" si="32">D331</f>
        <v>副手武器</v>
      </c>
      <c r="E661" s="1">
        <f>INDEX([1]游戏类型定义!$C$20:$C$29,MATCH(D661,[1]!装备部位,0))</f>
        <v>6</v>
      </c>
      <c r="F661" s="1">
        <v>2</v>
      </c>
      <c r="G661" s="1">
        <f t="shared" ref="G661:G675" si="33">G331</f>
        <v>70</v>
      </c>
      <c r="H661" s="10" t="s">
        <v>2322</v>
      </c>
      <c r="I661" s="1">
        <v>14600</v>
      </c>
      <c r="J661" s="1">
        <v>10</v>
      </c>
      <c r="K661" s="1">
        <v>0</v>
      </c>
      <c r="L661" s="1">
        <v>0</v>
      </c>
      <c r="M661" s="1" t="s">
        <v>2013</v>
      </c>
      <c r="N661" s="1" t="s">
        <v>727</v>
      </c>
      <c r="O661" s="1">
        <v>0</v>
      </c>
      <c r="P661" s="1" t="s">
        <v>2084</v>
      </c>
      <c r="Q661" s="7" t="s">
        <v>2062</v>
      </c>
    </row>
    <row r="662" spans="1:17" ht="14.25" thickBot="1">
      <c r="A662" s="1" t="s">
        <v>694</v>
      </c>
      <c r="B662" s="2">
        <v>0</v>
      </c>
      <c r="C662" s="1" t="s">
        <v>2176</v>
      </c>
      <c r="D662" s="1" t="str">
        <f t="shared" si="32"/>
        <v>胸甲</v>
      </c>
      <c r="E662" s="1">
        <f>INDEX([1]游戏类型定义!$C$20:$C$29,MATCH(D662,[1]!装备部位,0))</f>
        <v>4</v>
      </c>
      <c r="F662" s="1">
        <v>2</v>
      </c>
      <c r="G662" s="1">
        <f t="shared" si="33"/>
        <v>70</v>
      </c>
      <c r="H662" s="10">
        <v>0</v>
      </c>
      <c r="I662" s="1">
        <v>14000</v>
      </c>
      <c r="J662" s="1">
        <v>10</v>
      </c>
      <c r="K662" s="1">
        <v>0</v>
      </c>
      <c r="L662" s="1">
        <v>0</v>
      </c>
      <c r="M662" s="1" t="s">
        <v>1812</v>
      </c>
      <c r="N662" s="1" t="s">
        <v>726</v>
      </c>
      <c r="O662" s="1">
        <v>0</v>
      </c>
      <c r="P662" s="1" t="s">
        <v>2084</v>
      </c>
      <c r="Q662" s="7" t="s">
        <v>2063</v>
      </c>
    </row>
    <row r="663" spans="1:17" ht="14.25" thickBot="1">
      <c r="A663" s="1" t="s">
        <v>695</v>
      </c>
      <c r="B663" s="2">
        <v>0</v>
      </c>
      <c r="C663" s="1" t="s">
        <v>2173</v>
      </c>
      <c r="D663" s="1" t="str">
        <f t="shared" si="32"/>
        <v>胸甲</v>
      </c>
      <c r="E663" s="1">
        <f>INDEX([1]游戏类型定义!$C$20:$C$29,MATCH(D663,[1]!装备部位,0))</f>
        <v>4</v>
      </c>
      <c r="F663" s="1">
        <v>2</v>
      </c>
      <c r="G663" s="1">
        <f t="shared" si="33"/>
        <v>70</v>
      </c>
      <c r="H663" s="10">
        <v>0</v>
      </c>
      <c r="I663" s="1">
        <v>14600</v>
      </c>
      <c r="J663" s="1">
        <v>10</v>
      </c>
      <c r="K663" s="1">
        <v>0</v>
      </c>
      <c r="L663" s="1">
        <v>0</v>
      </c>
      <c r="M663" s="1" t="s">
        <v>1812</v>
      </c>
      <c r="N663" s="1" t="s">
        <v>726</v>
      </c>
      <c r="O663" s="1">
        <v>0</v>
      </c>
      <c r="P663" s="1" t="s">
        <v>2084</v>
      </c>
      <c r="Q663" s="7" t="s">
        <v>2063</v>
      </c>
    </row>
    <row r="664" spans="1:17" ht="14.25" thickBot="1">
      <c r="A664" s="1" t="s">
        <v>696</v>
      </c>
      <c r="B664" s="2">
        <v>0</v>
      </c>
      <c r="C664" s="1" t="s">
        <v>2193</v>
      </c>
      <c r="D664" s="1" t="str">
        <f t="shared" si="32"/>
        <v>护腿</v>
      </c>
      <c r="E664" s="1">
        <f>INDEX([1]游戏类型定义!$C$20:$C$29,MATCH(D664,[1]!装备部位,0))</f>
        <v>7</v>
      </c>
      <c r="F664" s="1">
        <v>2</v>
      </c>
      <c r="G664" s="1">
        <f t="shared" si="33"/>
        <v>70</v>
      </c>
      <c r="H664" s="10">
        <v>0</v>
      </c>
      <c r="I664" s="1">
        <v>14000</v>
      </c>
      <c r="J664" s="1">
        <v>10</v>
      </c>
      <c r="K664" s="1">
        <v>0</v>
      </c>
      <c r="L664" s="1">
        <v>0</v>
      </c>
      <c r="M664" s="1" t="s">
        <v>1812</v>
      </c>
      <c r="N664" s="1" t="s">
        <v>726</v>
      </c>
      <c r="O664" s="1">
        <v>0</v>
      </c>
      <c r="P664" s="1" t="s">
        <v>2084</v>
      </c>
      <c r="Q664" s="7" t="s">
        <v>2064</v>
      </c>
    </row>
    <row r="665" spans="1:17" ht="14.25" thickBot="1">
      <c r="A665" s="1" t="s">
        <v>697</v>
      </c>
      <c r="B665" s="2">
        <v>0</v>
      </c>
      <c r="C665" s="1" t="s">
        <v>2194</v>
      </c>
      <c r="D665" s="1" t="str">
        <f t="shared" si="32"/>
        <v>护腿</v>
      </c>
      <c r="E665" s="1">
        <f>INDEX([1]游戏类型定义!$C$20:$C$29,MATCH(D665,[1]!装备部位,0))</f>
        <v>7</v>
      </c>
      <c r="F665" s="1">
        <v>2</v>
      </c>
      <c r="G665" s="1">
        <f t="shared" si="33"/>
        <v>70</v>
      </c>
      <c r="H665" s="10">
        <v>0</v>
      </c>
      <c r="I665" s="1">
        <v>14600</v>
      </c>
      <c r="J665" s="1">
        <v>10</v>
      </c>
      <c r="K665" s="1">
        <v>0</v>
      </c>
      <c r="L665" s="1">
        <v>0</v>
      </c>
      <c r="M665" s="1" t="s">
        <v>1812</v>
      </c>
      <c r="N665" s="1" t="s">
        <v>726</v>
      </c>
      <c r="O665" s="1">
        <v>0</v>
      </c>
      <c r="P665" s="1" t="s">
        <v>2084</v>
      </c>
      <c r="Q665" s="7" t="s">
        <v>2064</v>
      </c>
    </row>
    <row r="666" spans="1:17" ht="14.25" thickBot="1">
      <c r="A666" s="1" t="s">
        <v>728</v>
      </c>
      <c r="B666" s="2">
        <v>0</v>
      </c>
      <c r="C666" s="1" t="s">
        <v>2031</v>
      </c>
      <c r="D666" s="1" t="str">
        <f t="shared" si="32"/>
        <v>头盔</v>
      </c>
      <c r="E666" s="1">
        <f>INDEX([1]游戏类型定义!$C$20:$C$29,MATCH(D666,[1]!装备部位,0))</f>
        <v>1</v>
      </c>
      <c r="F666" s="1">
        <v>3</v>
      </c>
      <c r="G666" s="1">
        <f t="shared" si="33"/>
        <v>1</v>
      </c>
      <c r="H666" s="10">
        <v>0</v>
      </c>
      <c r="I666" s="1">
        <v>500</v>
      </c>
      <c r="J666" s="1">
        <v>20</v>
      </c>
      <c r="K666" s="1">
        <v>0</v>
      </c>
      <c r="L666" s="1">
        <v>0</v>
      </c>
      <c r="M666" s="1" t="s">
        <v>1798</v>
      </c>
      <c r="N666" s="1" t="s">
        <v>1058</v>
      </c>
      <c r="O666" s="1">
        <v>0</v>
      </c>
      <c r="P666" s="1" t="s">
        <v>2070</v>
      </c>
      <c r="Q666" s="7" t="s">
        <v>2051</v>
      </c>
    </row>
    <row r="667" spans="1:17" ht="14.25" thickBot="1">
      <c r="A667" s="1" t="s">
        <v>729</v>
      </c>
      <c r="B667" s="2">
        <v>0</v>
      </c>
      <c r="C667" s="1" t="s">
        <v>2032</v>
      </c>
      <c r="D667" s="1" t="str">
        <f t="shared" si="32"/>
        <v>戒指</v>
      </c>
      <c r="E667" s="1">
        <f>INDEX([1]游戏类型定义!$C$20:$C$29,MATCH(D667,[1]!装备部位,0))</f>
        <v>2</v>
      </c>
      <c r="F667" s="1">
        <v>3</v>
      </c>
      <c r="G667" s="1">
        <f t="shared" si="33"/>
        <v>1</v>
      </c>
      <c r="H667" s="10">
        <v>0</v>
      </c>
      <c r="I667" s="1">
        <v>500</v>
      </c>
      <c r="J667" s="1">
        <v>20</v>
      </c>
      <c r="K667" s="1">
        <v>0</v>
      </c>
      <c r="L667" s="1">
        <v>0</v>
      </c>
      <c r="M667" s="1" t="s">
        <v>1799</v>
      </c>
      <c r="N667" s="1" t="s">
        <v>1058</v>
      </c>
      <c r="O667" s="1">
        <v>0</v>
      </c>
      <c r="P667" s="1" t="s">
        <v>2070</v>
      </c>
      <c r="Q667" s="7" t="s">
        <v>2052</v>
      </c>
    </row>
    <row r="668" spans="1:17" ht="14.25" thickBot="1">
      <c r="A668" s="1" t="s">
        <v>730</v>
      </c>
      <c r="B668" s="2">
        <v>0</v>
      </c>
      <c r="C668" s="1" t="s">
        <v>2033</v>
      </c>
      <c r="D668" s="1" t="str">
        <f t="shared" si="32"/>
        <v>腰带</v>
      </c>
      <c r="E668" s="1">
        <f>INDEX([1]游戏类型定义!$C$20:$C$29,MATCH(D668,[1]!装备部位,0))</f>
        <v>3</v>
      </c>
      <c r="F668" s="1">
        <v>3</v>
      </c>
      <c r="G668" s="1">
        <f t="shared" si="33"/>
        <v>1</v>
      </c>
      <c r="H668" s="10">
        <v>0</v>
      </c>
      <c r="I668" s="1">
        <v>500</v>
      </c>
      <c r="J668" s="1">
        <v>20</v>
      </c>
      <c r="K668" s="1">
        <v>0</v>
      </c>
      <c r="L668" s="1">
        <v>0</v>
      </c>
      <c r="M668" s="1" t="s">
        <v>1800</v>
      </c>
      <c r="N668" s="1" t="s">
        <v>1058</v>
      </c>
      <c r="O668" s="1">
        <v>0</v>
      </c>
      <c r="P668" s="1" t="s">
        <v>2070</v>
      </c>
      <c r="Q668" s="7" t="s">
        <v>2053</v>
      </c>
    </row>
    <row r="669" spans="1:17" ht="14.25" thickBot="1">
      <c r="A669" s="1" t="s">
        <v>731</v>
      </c>
      <c r="B669" s="3">
        <v>1</v>
      </c>
      <c r="C669" s="1" t="s">
        <v>2036</v>
      </c>
      <c r="D669" s="1" t="str">
        <f t="shared" si="32"/>
        <v>鞋子</v>
      </c>
      <c r="E669" s="1">
        <f>INDEX([1]游戏类型定义!$C$20:$C$29,MATCH(D669,[1]!装备部位,0))</f>
        <v>8</v>
      </c>
      <c r="F669" s="1">
        <v>3</v>
      </c>
      <c r="G669" s="1">
        <f t="shared" si="33"/>
        <v>1</v>
      </c>
      <c r="H669" s="10">
        <v>0</v>
      </c>
      <c r="I669" s="1">
        <v>500</v>
      </c>
      <c r="J669" s="1">
        <v>20</v>
      </c>
      <c r="K669" s="1">
        <v>0</v>
      </c>
      <c r="L669" s="1">
        <v>0</v>
      </c>
      <c r="M669" s="1" t="s">
        <v>1801</v>
      </c>
      <c r="N669" s="1" t="s">
        <v>1058</v>
      </c>
      <c r="O669" s="1">
        <v>0</v>
      </c>
      <c r="P669" s="1" t="s">
        <v>2070</v>
      </c>
      <c r="Q669" s="7" t="s">
        <v>2054</v>
      </c>
    </row>
    <row r="670" spans="1:17" ht="14.25" thickBot="1">
      <c r="A670" s="1" t="s">
        <v>732</v>
      </c>
      <c r="B670" s="3">
        <v>1</v>
      </c>
      <c r="C670" s="1" t="s">
        <v>2035</v>
      </c>
      <c r="D670" s="1" t="str">
        <f t="shared" si="32"/>
        <v>手套</v>
      </c>
      <c r="E670" s="1">
        <f>INDEX([1]游戏类型定义!$C$20:$C$29,MATCH(D670,[1]!装备部位,0))</f>
        <v>9</v>
      </c>
      <c r="F670" s="1">
        <v>3</v>
      </c>
      <c r="G670" s="1">
        <f t="shared" si="33"/>
        <v>1</v>
      </c>
      <c r="H670" s="10">
        <v>0</v>
      </c>
      <c r="I670" s="1">
        <v>500</v>
      </c>
      <c r="J670" s="1">
        <v>20</v>
      </c>
      <c r="K670" s="1">
        <v>0</v>
      </c>
      <c r="L670" s="1">
        <v>0</v>
      </c>
      <c r="M670" s="1" t="s">
        <v>1802</v>
      </c>
      <c r="N670" s="1" t="s">
        <v>1058</v>
      </c>
      <c r="O670" s="1">
        <v>0</v>
      </c>
      <c r="P670" s="1" t="s">
        <v>2070</v>
      </c>
      <c r="Q670" s="7" t="s">
        <v>2055</v>
      </c>
    </row>
    <row r="671" spans="1:17" ht="14.25" thickBot="1">
      <c r="A671" s="1" t="s">
        <v>733</v>
      </c>
      <c r="B671" s="2">
        <v>0</v>
      </c>
      <c r="C671" s="1" t="s">
        <v>2034</v>
      </c>
      <c r="D671" s="1" t="str">
        <f t="shared" si="32"/>
        <v>项链</v>
      </c>
      <c r="E671" s="1">
        <f>INDEX([1]游戏类型定义!$C$20:$C$29,MATCH(D671,[1]!装备部位,0))</f>
        <v>10</v>
      </c>
      <c r="F671" s="1">
        <v>3</v>
      </c>
      <c r="G671" s="1">
        <f t="shared" si="33"/>
        <v>1</v>
      </c>
      <c r="H671" s="10">
        <v>0</v>
      </c>
      <c r="I671" s="1">
        <v>500</v>
      </c>
      <c r="J671" s="1">
        <v>20</v>
      </c>
      <c r="K671" s="1">
        <v>0</v>
      </c>
      <c r="L671" s="1">
        <v>0</v>
      </c>
      <c r="M671" s="1" t="s">
        <v>1803</v>
      </c>
      <c r="N671" s="1" t="s">
        <v>1058</v>
      </c>
      <c r="O671" s="1">
        <v>0</v>
      </c>
      <c r="P671" s="1" t="s">
        <v>2070</v>
      </c>
      <c r="Q671" s="7" t="s">
        <v>2056</v>
      </c>
    </row>
    <row r="672" spans="1:17" ht="14.25" thickBot="1">
      <c r="A672" s="1" t="s">
        <v>734</v>
      </c>
      <c r="B672" s="3">
        <v>1</v>
      </c>
      <c r="C672" s="9" t="s">
        <v>2045</v>
      </c>
      <c r="D672" s="1" t="str">
        <f t="shared" si="32"/>
        <v>主手武器</v>
      </c>
      <c r="E672" s="1">
        <f>INDEX([1]游戏类型定义!$C$20:$C$29,MATCH(D672,[1]!装备部位,0))</f>
        <v>5</v>
      </c>
      <c r="F672" s="1">
        <v>3</v>
      </c>
      <c r="G672" s="1">
        <f t="shared" si="33"/>
        <v>1</v>
      </c>
      <c r="H672" s="10" t="s">
        <v>2320</v>
      </c>
      <c r="I672" s="1">
        <v>500</v>
      </c>
      <c r="J672" s="1">
        <v>20</v>
      </c>
      <c r="K672" s="1">
        <v>0</v>
      </c>
      <c r="L672" s="1">
        <v>0</v>
      </c>
      <c r="M672" s="1" t="s">
        <v>2014</v>
      </c>
      <c r="N672" s="1" t="s">
        <v>1059</v>
      </c>
      <c r="O672" s="1">
        <v>0</v>
      </c>
      <c r="P672" s="1" t="s">
        <v>2070</v>
      </c>
      <c r="Q672" s="7" t="s">
        <v>2057</v>
      </c>
    </row>
    <row r="673" spans="1:17" ht="14.25" thickBot="1">
      <c r="A673" s="1" t="s">
        <v>735</v>
      </c>
      <c r="B673" s="3">
        <v>1</v>
      </c>
      <c r="C673" s="9" t="s">
        <v>2046</v>
      </c>
      <c r="D673" s="1" t="str">
        <f t="shared" si="32"/>
        <v>主手武器</v>
      </c>
      <c r="E673" s="1">
        <f>INDEX([1]游戏类型定义!$C$20:$C$29,MATCH(D673,[1]!装备部位,0))</f>
        <v>5</v>
      </c>
      <c r="F673" s="1">
        <v>3</v>
      </c>
      <c r="G673" s="1">
        <f t="shared" si="33"/>
        <v>1</v>
      </c>
      <c r="H673" s="10" t="s">
        <v>2320</v>
      </c>
      <c r="I673" s="1">
        <v>2000</v>
      </c>
      <c r="J673" s="1">
        <v>20</v>
      </c>
      <c r="K673" s="1">
        <v>0</v>
      </c>
      <c r="L673" s="1">
        <v>0</v>
      </c>
      <c r="M673" s="1" t="s">
        <v>2015</v>
      </c>
      <c r="N673" s="1" t="s">
        <v>1059</v>
      </c>
      <c r="O673" s="1">
        <v>0</v>
      </c>
      <c r="P673" s="1" t="s">
        <v>2070</v>
      </c>
      <c r="Q673" s="7" t="s">
        <v>2325</v>
      </c>
    </row>
    <row r="674" spans="1:17" ht="14.25" thickBot="1">
      <c r="A674" s="1" t="s">
        <v>736</v>
      </c>
      <c r="B674" s="3">
        <v>1</v>
      </c>
      <c r="C674" s="9" t="s">
        <v>2043</v>
      </c>
      <c r="D674" s="1" t="str">
        <f t="shared" si="32"/>
        <v>副手武器</v>
      </c>
      <c r="E674" s="1">
        <f>INDEX([1]游戏类型定义!$C$20:$C$29,MATCH(D674,[1]!装备部位,0))</f>
        <v>6</v>
      </c>
      <c r="F674" s="1">
        <v>3</v>
      </c>
      <c r="G674" s="1">
        <f t="shared" si="33"/>
        <v>1</v>
      </c>
      <c r="H674" s="10" t="s">
        <v>2320</v>
      </c>
      <c r="I674" s="1">
        <v>500</v>
      </c>
      <c r="J674" s="1">
        <v>20</v>
      </c>
      <c r="K674" s="1">
        <v>0</v>
      </c>
      <c r="L674" s="1">
        <v>0</v>
      </c>
      <c r="M674" s="1" t="s">
        <v>1804</v>
      </c>
      <c r="N674" s="1" t="s">
        <v>1059</v>
      </c>
      <c r="O674" s="1">
        <v>0</v>
      </c>
      <c r="P674" s="1" t="s">
        <v>2070</v>
      </c>
      <c r="Q674" s="7" t="s">
        <v>2058</v>
      </c>
    </row>
    <row r="675" spans="1:17" ht="14.25" thickBot="1">
      <c r="A675" s="1" t="s">
        <v>737</v>
      </c>
      <c r="B675" s="2">
        <v>0</v>
      </c>
      <c r="C675" s="9" t="s">
        <v>2044</v>
      </c>
      <c r="D675" s="1" t="str">
        <f t="shared" si="32"/>
        <v>副手武器</v>
      </c>
      <c r="E675" s="1">
        <f>INDEX([1]游戏类型定义!$C$20:$C$29,MATCH(D675,[1]!装备部位,0))</f>
        <v>6</v>
      </c>
      <c r="F675" s="1">
        <v>3</v>
      </c>
      <c r="G675" s="1">
        <f t="shared" si="33"/>
        <v>1</v>
      </c>
      <c r="H675" s="10" t="s">
        <v>2320</v>
      </c>
      <c r="I675" s="1">
        <v>2000</v>
      </c>
      <c r="J675" s="1">
        <v>20</v>
      </c>
      <c r="K675" s="1">
        <v>0</v>
      </c>
      <c r="L675" s="1">
        <v>0</v>
      </c>
      <c r="M675" s="1" t="s">
        <v>1805</v>
      </c>
      <c r="N675" s="1" t="s">
        <v>1059</v>
      </c>
      <c r="O675" s="1">
        <v>0</v>
      </c>
      <c r="P675" s="1" t="s">
        <v>2070</v>
      </c>
      <c r="Q675" s="7" t="s">
        <v>2058</v>
      </c>
    </row>
    <row r="676" spans="1:17" ht="14.25" thickBot="1">
      <c r="A676" s="1" t="s">
        <v>738</v>
      </c>
      <c r="B676" s="3">
        <v>1</v>
      </c>
      <c r="C676" s="1" t="s">
        <v>2039</v>
      </c>
      <c r="D676" s="1" t="str">
        <f t="shared" ref="D676:D695" si="34">D346</f>
        <v>主手武器</v>
      </c>
      <c r="E676" s="1">
        <f>INDEX([1]游戏类型定义!$C$20:$C$29,MATCH(D676,[1]!装备部位,0))</f>
        <v>5</v>
      </c>
      <c r="F676" s="1">
        <v>3</v>
      </c>
      <c r="G676" s="1">
        <f t="shared" ref="G676:G695" si="35">G346</f>
        <v>1</v>
      </c>
      <c r="H676" s="10" t="s">
        <v>2321</v>
      </c>
      <c r="I676" s="1">
        <v>500</v>
      </c>
      <c r="J676" s="1">
        <v>20</v>
      </c>
      <c r="K676" s="1">
        <v>0</v>
      </c>
      <c r="L676" s="1">
        <v>0</v>
      </c>
      <c r="M676" s="1" t="s">
        <v>2014</v>
      </c>
      <c r="N676" s="1" t="s">
        <v>1059</v>
      </c>
      <c r="O676" s="1">
        <v>0</v>
      </c>
      <c r="P676" s="1" t="s">
        <v>2070</v>
      </c>
      <c r="Q676" s="7" t="s">
        <v>2059</v>
      </c>
    </row>
    <row r="677" spans="1:17" ht="14.25" thickBot="1">
      <c r="A677" s="1" t="s">
        <v>739</v>
      </c>
      <c r="B677" s="3">
        <v>1</v>
      </c>
      <c r="C677" s="1" t="s">
        <v>2040</v>
      </c>
      <c r="D677" s="1" t="str">
        <f t="shared" si="34"/>
        <v>主手武器</v>
      </c>
      <c r="E677" s="1">
        <f>INDEX([1]游戏类型定义!$C$20:$C$29,MATCH(D677,[1]!装备部位,0))</f>
        <v>5</v>
      </c>
      <c r="F677" s="1">
        <v>3</v>
      </c>
      <c r="G677" s="1">
        <f t="shared" si="35"/>
        <v>1</v>
      </c>
      <c r="H677" s="10" t="s">
        <v>2321</v>
      </c>
      <c r="I677" s="1">
        <v>2000</v>
      </c>
      <c r="J677" s="1">
        <v>20</v>
      </c>
      <c r="K677" s="1">
        <v>0</v>
      </c>
      <c r="L677" s="1">
        <v>0</v>
      </c>
      <c r="M677" s="1" t="s">
        <v>2015</v>
      </c>
      <c r="N677" s="1" t="s">
        <v>1059</v>
      </c>
      <c r="O677" s="1">
        <v>0</v>
      </c>
      <c r="P677" s="1" t="s">
        <v>2070</v>
      </c>
      <c r="Q677" s="7" t="s">
        <v>2326</v>
      </c>
    </row>
    <row r="678" spans="1:17" ht="14.25" thickBot="1">
      <c r="A678" s="1" t="s">
        <v>740</v>
      </c>
      <c r="B678" s="3">
        <v>1</v>
      </c>
      <c r="C678" s="9" t="s">
        <v>2041</v>
      </c>
      <c r="D678" s="1" t="str">
        <f t="shared" si="34"/>
        <v>副手武器</v>
      </c>
      <c r="E678" s="1">
        <f>INDEX([1]游戏类型定义!$C$20:$C$29,MATCH(D678,[1]!装备部位,0))</f>
        <v>6</v>
      </c>
      <c r="F678" s="1">
        <v>3</v>
      </c>
      <c r="G678" s="1">
        <f t="shared" si="35"/>
        <v>1</v>
      </c>
      <c r="H678" s="10" t="s">
        <v>2321</v>
      </c>
      <c r="I678" s="1">
        <v>500</v>
      </c>
      <c r="J678" s="1">
        <v>20</v>
      </c>
      <c r="K678" s="1">
        <v>0</v>
      </c>
      <c r="L678" s="1">
        <v>0</v>
      </c>
      <c r="M678" s="1" t="s">
        <v>1806</v>
      </c>
      <c r="N678" s="1" t="s">
        <v>1059</v>
      </c>
      <c r="O678" s="1">
        <v>0</v>
      </c>
      <c r="P678" s="1" t="s">
        <v>2070</v>
      </c>
      <c r="Q678" s="7" t="s">
        <v>2060</v>
      </c>
    </row>
    <row r="679" spans="1:17" ht="14.25" thickBot="1">
      <c r="A679" s="1" t="s">
        <v>741</v>
      </c>
      <c r="B679" s="2">
        <v>0</v>
      </c>
      <c r="C679" s="9" t="s">
        <v>2042</v>
      </c>
      <c r="D679" s="1" t="str">
        <f t="shared" si="34"/>
        <v>副手武器</v>
      </c>
      <c r="E679" s="1">
        <f>INDEX([1]游戏类型定义!$C$20:$C$29,MATCH(D679,[1]!装备部位,0))</f>
        <v>6</v>
      </c>
      <c r="F679" s="1">
        <v>3</v>
      </c>
      <c r="G679" s="1">
        <f t="shared" si="35"/>
        <v>1</v>
      </c>
      <c r="H679" s="10" t="s">
        <v>2321</v>
      </c>
      <c r="I679" s="1">
        <v>2000</v>
      </c>
      <c r="J679" s="1">
        <v>20</v>
      </c>
      <c r="K679" s="1">
        <v>0</v>
      </c>
      <c r="L679" s="1">
        <v>0</v>
      </c>
      <c r="M679" s="1" t="s">
        <v>1807</v>
      </c>
      <c r="N679" s="1" t="s">
        <v>1059</v>
      </c>
      <c r="O679" s="1">
        <v>0</v>
      </c>
      <c r="P679" s="1" t="s">
        <v>2070</v>
      </c>
      <c r="Q679" s="7" t="s">
        <v>2060</v>
      </c>
    </row>
    <row r="680" spans="1:17" ht="14.25" thickBot="1">
      <c r="A680" s="1" t="s">
        <v>742</v>
      </c>
      <c r="B680" s="3">
        <v>1</v>
      </c>
      <c r="C680" s="9" t="s">
        <v>2047</v>
      </c>
      <c r="D680" s="1" t="str">
        <f t="shared" si="34"/>
        <v>主手武器</v>
      </c>
      <c r="E680" s="1">
        <f>INDEX([1]游戏类型定义!$C$20:$C$29,MATCH(D680,[1]!装备部位,0))</f>
        <v>5</v>
      </c>
      <c r="F680" s="1">
        <v>3</v>
      </c>
      <c r="G680" s="1">
        <f t="shared" si="35"/>
        <v>1</v>
      </c>
      <c r="H680" s="10" t="s">
        <v>2322</v>
      </c>
      <c r="I680" s="1">
        <v>500</v>
      </c>
      <c r="J680" s="1">
        <v>20</v>
      </c>
      <c r="K680" s="1">
        <v>0</v>
      </c>
      <c r="L680" s="1">
        <v>0</v>
      </c>
      <c r="M680" s="1" t="s">
        <v>2014</v>
      </c>
      <c r="N680" s="1" t="s">
        <v>1059</v>
      </c>
      <c r="O680" s="1">
        <v>0</v>
      </c>
      <c r="P680" s="1" t="s">
        <v>2070</v>
      </c>
      <c r="Q680" s="7" t="s">
        <v>2061</v>
      </c>
    </row>
    <row r="681" spans="1:17" ht="14.25" thickBot="1">
      <c r="A681" s="1" t="s">
        <v>743</v>
      </c>
      <c r="B681" s="3">
        <v>1</v>
      </c>
      <c r="C681" s="9" t="s">
        <v>2048</v>
      </c>
      <c r="D681" s="1" t="str">
        <f t="shared" si="34"/>
        <v>主手武器</v>
      </c>
      <c r="E681" s="1">
        <f>INDEX([1]游戏类型定义!$C$20:$C$29,MATCH(D681,[1]!装备部位,0))</f>
        <v>5</v>
      </c>
      <c r="F681" s="1">
        <v>3</v>
      </c>
      <c r="G681" s="1">
        <f t="shared" si="35"/>
        <v>1</v>
      </c>
      <c r="H681" s="10" t="s">
        <v>2322</v>
      </c>
      <c r="I681" s="1">
        <v>2000</v>
      </c>
      <c r="J681" s="1">
        <v>20</v>
      </c>
      <c r="K681" s="1">
        <v>0</v>
      </c>
      <c r="L681" s="1">
        <v>0</v>
      </c>
      <c r="M681" s="1" t="s">
        <v>2015</v>
      </c>
      <c r="N681" s="1" t="s">
        <v>1059</v>
      </c>
      <c r="O681" s="1">
        <v>0</v>
      </c>
      <c r="P681" s="1" t="s">
        <v>2070</v>
      </c>
      <c r="Q681" s="7" t="s">
        <v>2327</v>
      </c>
    </row>
    <row r="682" spans="1:17" ht="14.25" thickBot="1">
      <c r="A682" s="1" t="s">
        <v>744</v>
      </c>
      <c r="B682" s="3">
        <v>1</v>
      </c>
      <c r="C682" s="9" t="s">
        <v>2049</v>
      </c>
      <c r="D682" s="1" t="str">
        <f t="shared" si="34"/>
        <v>副手武器</v>
      </c>
      <c r="E682" s="1">
        <f>INDEX([1]游戏类型定义!$C$20:$C$29,MATCH(D682,[1]!装备部位,0))</f>
        <v>6</v>
      </c>
      <c r="F682" s="1">
        <v>3</v>
      </c>
      <c r="G682" s="1">
        <f t="shared" si="35"/>
        <v>1</v>
      </c>
      <c r="H682" s="10" t="s">
        <v>2322</v>
      </c>
      <c r="I682" s="1">
        <v>500</v>
      </c>
      <c r="J682" s="1">
        <v>20</v>
      </c>
      <c r="K682" s="1">
        <v>0</v>
      </c>
      <c r="L682" s="1">
        <v>0</v>
      </c>
      <c r="M682" s="1" t="s">
        <v>1808</v>
      </c>
      <c r="N682" s="1" t="s">
        <v>1059</v>
      </c>
      <c r="O682" s="1">
        <v>0</v>
      </c>
      <c r="P682" s="1" t="s">
        <v>2070</v>
      </c>
      <c r="Q682" s="7" t="s">
        <v>2062</v>
      </c>
    </row>
    <row r="683" spans="1:17" ht="14.25" thickBot="1">
      <c r="A683" s="1" t="s">
        <v>745</v>
      </c>
      <c r="B683" s="2">
        <v>0</v>
      </c>
      <c r="C683" s="9" t="s">
        <v>2050</v>
      </c>
      <c r="D683" s="1" t="str">
        <f t="shared" si="34"/>
        <v>副手武器</v>
      </c>
      <c r="E683" s="1">
        <f>INDEX([1]游戏类型定义!$C$20:$C$29,MATCH(D683,[1]!装备部位,0))</f>
        <v>6</v>
      </c>
      <c r="F683" s="1">
        <v>3</v>
      </c>
      <c r="G683" s="1">
        <f t="shared" si="35"/>
        <v>1</v>
      </c>
      <c r="H683" s="10" t="s">
        <v>2322</v>
      </c>
      <c r="I683" s="1">
        <v>2000</v>
      </c>
      <c r="J683" s="1">
        <v>20</v>
      </c>
      <c r="K683" s="1">
        <v>0</v>
      </c>
      <c r="L683" s="1">
        <v>0</v>
      </c>
      <c r="M683" s="1" t="s">
        <v>1809</v>
      </c>
      <c r="N683" s="1" t="s">
        <v>1059</v>
      </c>
      <c r="O683" s="1">
        <v>0</v>
      </c>
      <c r="P683" s="1" t="s">
        <v>2070</v>
      </c>
      <c r="Q683" s="7" t="s">
        <v>2062</v>
      </c>
    </row>
    <row r="684" spans="1:17" ht="14.25" thickBot="1">
      <c r="A684" s="1" t="s">
        <v>746</v>
      </c>
      <c r="B684" s="3">
        <v>1</v>
      </c>
      <c r="C684" s="1" t="s">
        <v>2030</v>
      </c>
      <c r="D684" s="1" t="str">
        <f t="shared" si="34"/>
        <v>胸甲</v>
      </c>
      <c r="E684" s="1">
        <f>INDEX([1]游戏类型定义!$C$20:$C$29,MATCH(D684,[1]!装备部位,0))</f>
        <v>4</v>
      </c>
      <c r="F684" s="1">
        <v>3</v>
      </c>
      <c r="G684" s="1">
        <f t="shared" si="35"/>
        <v>1</v>
      </c>
      <c r="H684" s="10">
        <v>0</v>
      </c>
      <c r="I684" s="1">
        <v>500</v>
      </c>
      <c r="J684" s="1">
        <v>20</v>
      </c>
      <c r="K684" s="1">
        <v>0</v>
      </c>
      <c r="L684" s="1">
        <v>0</v>
      </c>
      <c r="M684" s="1" t="s">
        <v>1810</v>
      </c>
      <c r="N684" s="1" t="s">
        <v>1058</v>
      </c>
      <c r="O684" s="1">
        <v>0</v>
      </c>
      <c r="P684" s="1" t="s">
        <v>2070</v>
      </c>
      <c r="Q684" s="7" t="s">
        <v>2063</v>
      </c>
    </row>
    <row r="685" spans="1:17" ht="14.25" thickBot="1">
      <c r="A685" s="1" t="s">
        <v>747</v>
      </c>
      <c r="B685" s="2">
        <v>0</v>
      </c>
      <c r="C685" s="1" t="s">
        <v>2030</v>
      </c>
      <c r="D685" s="1" t="str">
        <f t="shared" si="34"/>
        <v>胸甲</v>
      </c>
      <c r="E685" s="1">
        <f>INDEX([1]游戏类型定义!$C$20:$C$29,MATCH(D685,[1]!装备部位,0))</f>
        <v>4</v>
      </c>
      <c r="F685" s="1">
        <v>3</v>
      </c>
      <c r="G685" s="1">
        <f t="shared" si="35"/>
        <v>1</v>
      </c>
      <c r="H685" s="10">
        <v>0</v>
      </c>
      <c r="I685" s="1">
        <v>2000</v>
      </c>
      <c r="J685" s="1">
        <v>20</v>
      </c>
      <c r="K685" s="1">
        <v>0</v>
      </c>
      <c r="L685" s="1">
        <v>0</v>
      </c>
      <c r="M685" s="1" t="s">
        <v>1811</v>
      </c>
      <c r="N685" s="1" t="s">
        <v>1058</v>
      </c>
      <c r="O685" s="1">
        <v>0</v>
      </c>
      <c r="P685" s="1" t="s">
        <v>2070</v>
      </c>
      <c r="Q685" s="7" t="s">
        <v>2063</v>
      </c>
    </row>
    <row r="686" spans="1:17" ht="14.25" thickBot="1">
      <c r="A686" s="1" t="s">
        <v>748</v>
      </c>
      <c r="B686" s="2">
        <v>0</v>
      </c>
      <c r="C686" s="1" t="s">
        <v>2037</v>
      </c>
      <c r="D686" s="1" t="str">
        <f t="shared" si="34"/>
        <v>护腿</v>
      </c>
      <c r="E686" s="1">
        <f>INDEX([1]游戏类型定义!$C$20:$C$29,MATCH(D686,[1]!装备部位,0))</f>
        <v>7</v>
      </c>
      <c r="F686" s="1">
        <v>3</v>
      </c>
      <c r="G686" s="1">
        <f t="shared" si="35"/>
        <v>1</v>
      </c>
      <c r="H686" s="10">
        <v>0</v>
      </c>
      <c r="I686" s="1">
        <v>500</v>
      </c>
      <c r="J686" s="1">
        <v>20</v>
      </c>
      <c r="K686" s="1">
        <v>0</v>
      </c>
      <c r="L686" s="1">
        <v>0</v>
      </c>
      <c r="M686" s="1" t="s">
        <v>1812</v>
      </c>
      <c r="N686" s="1" t="s">
        <v>1058</v>
      </c>
      <c r="O686" s="1">
        <v>0</v>
      </c>
      <c r="P686" s="1" t="s">
        <v>2070</v>
      </c>
      <c r="Q686" s="7" t="s">
        <v>2064</v>
      </c>
    </row>
    <row r="687" spans="1:17" ht="14.25" thickBot="1">
      <c r="A687" s="1" t="s">
        <v>749</v>
      </c>
      <c r="B687" s="2">
        <v>0</v>
      </c>
      <c r="C687" s="1" t="s">
        <v>2038</v>
      </c>
      <c r="D687" s="1" t="str">
        <f t="shared" si="34"/>
        <v>护腿</v>
      </c>
      <c r="E687" s="1">
        <f>INDEX([1]游戏类型定义!$C$20:$C$29,MATCH(D687,[1]!装备部位,0))</f>
        <v>7</v>
      </c>
      <c r="F687" s="1">
        <v>3</v>
      </c>
      <c r="G687" s="1">
        <f t="shared" si="35"/>
        <v>1</v>
      </c>
      <c r="H687" s="10">
        <v>0</v>
      </c>
      <c r="I687" s="1">
        <v>2000</v>
      </c>
      <c r="J687" s="1">
        <v>20</v>
      </c>
      <c r="K687" s="1">
        <v>0</v>
      </c>
      <c r="L687" s="1">
        <v>0</v>
      </c>
      <c r="M687" s="1" t="s">
        <v>1813</v>
      </c>
      <c r="N687" s="1" t="s">
        <v>1058</v>
      </c>
      <c r="O687" s="1">
        <v>0</v>
      </c>
      <c r="P687" s="1" t="s">
        <v>2070</v>
      </c>
      <c r="Q687" s="7" t="s">
        <v>2064</v>
      </c>
    </row>
    <row r="688" spans="1:17" ht="14.25" thickBot="1">
      <c r="A688" s="1" t="s">
        <v>750</v>
      </c>
      <c r="B688" s="3">
        <v>1</v>
      </c>
      <c r="C688" s="1" t="s">
        <v>2031</v>
      </c>
      <c r="D688" s="1" t="str">
        <f t="shared" si="34"/>
        <v>头盔</v>
      </c>
      <c r="E688" s="1">
        <f>INDEX([1]游戏类型定义!$C$20:$C$29,MATCH(D688,[1]!装备部位,0))</f>
        <v>1</v>
      </c>
      <c r="F688" s="1">
        <v>3</v>
      </c>
      <c r="G688" s="1">
        <f t="shared" si="35"/>
        <v>5</v>
      </c>
      <c r="H688" s="10">
        <v>0</v>
      </c>
      <c r="I688" s="1">
        <v>2500</v>
      </c>
      <c r="J688" s="1">
        <v>20</v>
      </c>
      <c r="K688" s="1">
        <v>0</v>
      </c>
      <c r="L688" s="1">
        <v>0</v>
      </c>
      <c r="M688" s="1" t="s">
        <v>1814</v>
      </c>
      <c r="N688" s="1" t="s">
        <v>1060</v>
      </c>
      <c r="O688" s="1">
        <v>0</v>
      </c>
      <c r="P688" s="1" t="s">
        <v>2071</v>
      </c>
      <c r="Q688" s="7" t="s">
        <v>2051</v>
      </c>
    </row>
    <row r="689" spans="1:17" ht="14.25" thickBot="1">
      <c r="A689" s="1" t="s">
        <v>751</v>
      </c>
      <c r="B689" s="3">
        <v>1</v>
      </c>
      <c r="C689" s="1" t="s">
        <v>2032</v>
      </c>
      <c r="D689" s="1" t="str">
        <f t="shared" si="34"/>
        <v>戒指</v>
      </c>
      <c r="E689" s="1">
        <f>INDEX([1]游戏类型定义!$C$20:$C$29,MATCH(D689,[1]!装备部位,0))</f>
        <v>2</v>
      </c>
      <c r="F689" s="1">
        <v>3</v>
      </c>
      <c r="G689" s="1">
        <f t="shared" si="35"/>
        <v>5</v>
      </c>
      <c r="H689" s="10">
        <v>0</v>
      </c>
      <c r="I689" s="1">
        <v>2500</v>
      </c>
      <c r="J689" s="1">
        <v>20</v>
      </c>
      <c r="K689" s="1">
        <v>0</v>
      </c>
      <c r="L689" s="1">
        <v>0</v>
      </c>
      <c r="M689" s="1" t="s">
        <v>1815</v>
      </c>
      <c r="N689" s="1" t="s">
        <v>1060</v>
      </c>
      <c r="O689" s="1">
        <v>0</v>
      </c>
      <c r="P689" s="1" t="s">
        <v>2071</v>
      </c>
      <c r="Q689" s="7" t="s">
        <v>2052</v>
      </c>
    </row>
    <row r="690" spans="1:17" ht="14.25" thickBot="1">
      <c r="A690" s="1" t="s">
        <v>752</v>
      </c>
      <c r="B690" s="3">
        <v>1</v>
      </c>
      <c r="C690" s="1" t="s">
        <v>2033</v>
      </c>
      <c r="D690" s="1" t="str">
        <f t="shared" si="34"/>
        <v>腰带</v>
      </c>
      <c r="E690" s="1">
        <f>INDEX([1]游戏类型定义!$C$20:$C$29,MATCH(D690,[1]!装备部位,0))</f>
        <v>3</v>
      </c>
      <c r="F690" s="1">
        <v>3</v>
      </c>
      <c r="G690" s="1">
        <f t="shared" si="35"/>
        <v>5</v>
      </c>
      <c r="H690" s="10">
        <v>0</v>
      </c>
      <c r="I690" s="1">
        <v>2500</v>
      </c>
      <c r="J690" s="1">
        <v>20</v>
      </c>
      <c r="K690" s="1">
        <v>0</v>
      </c>
      <c r="L690" s="1">
        <v>0</v>
      </c>
      <c r="M690" s="1" t="s">
        <v>2324</v>
      </c>
      <c r="N690" s="1" t="s">
        <v>1060</v>
      </c>
      <c r="O690" s="1">
        <v>0</v>
      </c>
      <c r="P690" s="1" t="s">
        <v>2071</v>
      </c>
      <c r="Q690" s="7" t="s">
        <v>2053</v>
      </c>
    </row>
    <row r="691" spans="1:17" ht="14.25" thickBot="1">
      <c r="A691" s="1" t="s">
        <v>753</v>
      </c>
      <c r="B691" s="2">
        <v>0</v>
      </c>
      <c r="C691" s="1" t="s">
        <v>2036</v>
      </c>
      <c r="D691" s="1" t="str">
        <f t="shared" si="34"/>
        <v>鞋子</v>
      </c>
      <c r="E691" s="1">
        <f>INDEX([1]游戏类型定义!$C$20:$C$29,MATCH(D691,[1]!装备部位,0))</f>
        <v>8</v>
      </c>
      <c r="F691" s="1">
        <v>3</v>
      </c>
      <c r="G691" s="1">
        <f t="shared" si="35"/>
        <v>5</v>
      </c>
      <c r="H691" s="10">
        <v>0</v>
      </c>
      <c r="I691" s="1">
        <v>2500</v>
      </c>
      <c r="J691" s="1">
        <v>20</v>
      </c>
      <c r="K691" s="1">
        <v>0</v>
      </c>
      <c r="L691" s="1">
        <v>0</v>
      </c>
      <c r="M691" s="1" t="s">
        <v>1816</v>
      </c>
      <c r="N691" s="1" t="s">
        <v>1060</v>
      </c>
      <c r="O691" s="1">
        <v>0</v>
      </c>
      <c r="P691" s="1" t="s">
        <v>2071</v>
      </c>
      <c r="Q691" s="7" t="s">
        <v>2054</v>
      </c>
    </row>
    <row r="692" spans="1:17" ht="14.25" thickBot="1">
      <c r="A692" s="1" t="s">
        <v>754</v>
      </c>
      <c r="B692" s="2">
        <v>0</v>
      </c>
      <c r="C692" s="1" t="s">
        <v>2035</v>
      </c>
      <c r="D692" s="1" t="str">
        <f t="shared" si="34"/>
        <v>手套</v>
      </c>
      <c r="E692" s="1">
        <f>INDEX([1]游戏类型定义!$C$20:$C$29,MATCH(D692,[1]!装备部位,0))</f>
        <v>9</v>
      </c>
      <c r="F692" s="1">
        <v>3</v>
      </c>
      <c r="G692" s="1">
        <f t="shared" si="35"/>
        <v>5</v>
      </c>
      <c r="H692" s="10">
        <v>0</v>
      </c>
      <c r="I692" s="1">
        <v>2500</v>
      </c>
      <c r="J692" s="1">
        <v>20</v>
      </c>
      <c r="K692" s="1">
        <v>0</v>
      </c>
      <c r="L692" s="1">
        <v>0</v>
      </c>
      <c r="M692" s="1" t="s">
        <v>1817</v>
      </c>
      <c r="N692" s="1" t="s">
        <v>1060</v>
      </c>
      <c r="O692" s="1">
        <v>0</v>
      </c>
      <c r="P692" s="1" t="s">
        <v>2071</v>
      </c>
      <c r="Q692" s="7" t="s">
        <v>2055</v>
      </c>
    </row>
    <row r="693" spans="1:17" ht="14.25" thickBot="1">
      <c r="A693" s="1" t="s">
        <v>755</v>
      </c>
      <c r="B693" s="3">
        <v>1</v>
      </c>
      <c r="C693" s="1" t="s">
        <v>2034</v>
      </c>
      <c r="D693" s="1" t="str">
        <f t="shared" si="34"/>
        <v>项链</v>
      </c>
      <c r="E693" s="1">
        <f>INDEX([1]游戏类型定义!$C$20:$C$29,MATCH(D693,[1]!装备部位,0))</f>
        <v>10</v>
      </c>
      <c r="F693" s="1">
        <v>3</v>
      </c>
      <c r="G693" s="1">
        <f t="shared" si="35"/>
        <v>5</v>
      </c>
      <c r="H693" s="10">
        <v>0</v>
      </c>
      <c r="I693" s="1">
        <v>2500</v>
      </c>
      <c r="J693" s="1">
        <v>20</v>
      </c>
      <c r="K693" s="1">
        <v>0</v>
      </c>
      <c r="L693" s="1">
        <v>0</v>
      </c>
      <c r="M693" s="1" t="s">
        <v>1818</v>
      </c>
      <c r="N693" s="1" t="s">
        <v>1060</v>
      </c>
      <c r="O693" s="1">
        <v>0</v>
      </c>
      <c r="P693" s="1" t="s">
        <v>2071</v>
      </c>
      <c r="Q693" s="7" t="s">
        <v>2056</v>
      </c>
    </row>
    <row r="694" spans="1:17" ht="14.25" thickBot="1">
      <c r="A694" s="1" t="s">
        <v>756</v>
      </c>
      <c r="B694" s="3">
        <v>1</v>
      </c>
      <c r="C694" s="9" t="s">
        <v>2195</v>
      </c>
      <c r="D694" s="1" t="str">
        <f t="shared" si="34"/>
        <v>主手武器</v>
      </c>
      <c r="E694" s="1">
        <f>INDEX([1]游戏类型定义!$C$20:$C$29,MATCH(D694,[1]!装备部位,0))</f>
        <v>5</v>
      </c>
      <c r="F694" s="1">
        <v>3</v>
      </c>
      <c r="G694" s="1">
        <f t="shared" si="35"/>
        <v>5</v>
      </c>
      <c r="H694" s="10" t="s">
        <v>2320</v>
      </c>
      <c r="I694" s="1">
        <v>2500</v>
      </c>
      <c r="J694" s="1">
        <v>20</v>
      </c>
      <c r="K694" s="1">
        <v>0</v>
      </c>
      <c r="L694" s="1">
        <v>0</v>
      </c>
      <c r="M694" s="1" t="s">
        <v>1819</v>
      </c>
      <c r="N694" s="1" t="s">
        <v>1061</v>
      </c>
      <c r="O694" s="1">
        <v>0</v>
      </c>
      <c r="P694" s="1" t="s">
        <v>2071</v>
      </c>
      <c r="Q694" s="7" t="s">
        <v>2328</v>
      </c>
    </row>
    <row r="695" spans="1:17" ht="14.25" thickBot="1">
      <c r="A695" s="1" t="s">
        <v>757</v>
      </c>
      <c r="B695" s="3">
        <v>1</v>
      </c>
      <c r="C695" s="9" t="s">
        <v>2197</v>
      </c>
      <c r="D695" s="1" t="str">
        <f t="shared" si="34"/>
        <v>主手武器</v>
      </c>
      <c r="E695" s="1">
        <f>INDEX([1]游戏类型定义!$C$20:$C$29,MATCH(D695,[1]!装备部位,0))</f>
        <v>5</v>
      </c>
      <c r="F695" s="1">
        <v>3</v>
      </c>
      <c r="G695" s="1">
        <f t="shared" si="35"/>
        <v>5</v>
      </c>
      <c r="H695" s="10" t="s">
        <v>2320</v>
      </c>
      <c r="I695" s="1">
        <v>4000</v>
      </c>
      <c r="J695" s="1">
        <v>20</v>
      </c>
      <c r="K695" s="1">
        <v>0</v>
      </c>
      <c r="L695" s="1">
        <v>0</v>
      </c>
      <c r="M695" s="1" t="s">
        <v>2016</v>
      </c>
      <c r="N695" s="1" t="s">
        <v>1061</v>
      </c>
      <c r="O695" s="1">
        <v>0</v>
      </c>
      <c r="P695" s="1" t="s">
        <v>2071</v>
      </c>
      <c r="Q695" s="7" t="s">
        <v>2329</v>
      </c>
    </row>
    <row r="696" spans="1:17" ht="14.25" thickBot="1">
      <c r="A696" s="1" t="s">
        <v>758</v>
      </c>
      <c r="B696" s="3">
        <v>1</v>
      </c>
      <c r="C696" s="9" t="s">
        <v>2086</v>
      </c>
      <c r="D696" s="1" t="str">
        <f t="shared" ref="D696:D715" si="36">D366</f>
        <v>副手武器</v>
      </c>
      <c r="E696" s="1">
        <f>INDEX([1]游戏类型定义!$C$20:$C$29,MATCH(D696,[1]!装备部位,0))</f>
        <v>6</v>
      </c>
      <c r="F696" s="1">
        <v>3</v>
      </c>
      <c r="G696" s="1">
        <f t="shared" ref="G696:G715" si="37">G366</f>
        <v>5</v>
      </c>
      <c r="H696" s="10" t="s">
        <v>2320</v>
      </c>
      <c r="I696" s="1">
        <v>2500</v>
      </c>
      <c r="J696" s="1">
        <v>20</v>
      </c>
      <c r="K696" s="1">
        <v>0</v>
      </c>
      <c r="L696" s="1">
        <v>0</v>
      </c>
      <c r="M696" s="1" t="s">
        <v>1820</v>
      </c>
      <c r="N696" s="1" t="s">
        <v>1061</v>
      </c>
      <c r="O696" s="1">
        <v>0</v>
      </c>
      <c r="P696" s="1" t="s">
        <v>2071</v>
      </c>
      <c r="Q696" s="7" t="s">
        <v>2330</v>
      </c>
    </row>
    <row r="697" spans="1:17" ht="14.25" thickBot="1">
      <c r="A697" s="1" t="s">
        <v>759</v>
      </c>
      <c r="B697" s="2">
        <v>0</v>
      </c>
      <c r="C697" s="9" t="s">
        <v>2044</v>
      </c>
      <c r="D697" s="1" t="str">
        <f t="shared" si="36"/>
        <v>副手武器</v>
      </c>
      <c r="E697" s="1">
        <f>INDEX([1]游戏类型定义!$C$20:$C$29,MATCH(D697,[1]!装备部位,0))</f>
        <v>6</v>
      </c>
      <c r="F697" s="1">
        <v>3</v>
      </c>
      <c r="G697" s="1">
        <f t="shared" si="37"/>
        <v>5</v>
      </c>
      <c r="H697" s="10" t="s">
        <v>2320</v>
      </c>
      <c r="I697" s="1">
        <v>4000</v>
      </c>
      <c r="J697" s="1">
        <v>20</v>
      </c>
      <c r="K697" s="1">
        <v>0</v>
      </c>
      <c r="L697" s="1">
        <v>0</v>
      </c>
      <c r="M697" s="1" t="s">
        <v>1821</v>
      </c>
      <c r="N697" s="1" t="s">
        <v>1061</v>
      </c>
      <c r="O697" s="1">
        <v>0</v>
      </c>
      <c r="P697" s="1" t="s">
        <v>2071</v>
      </c>
      <c r="Q697" s="7" t="s">
        <v>2058</v>
      </c>
    </row>
    <row r="698" spans="1:17" ht="14.25" thickBot="1">
      <c r="A698" s="1" t="s">
        <v>760</v>
      </c>
      <c r="B698" s="3">
        <v>1</v>
      </c>
      <c r="C698" s="1" t="s">
        <v>2201</v>
      </c>
      <c r="D698" s="1" t="str">
        <f t="shared" si="36"/>
        <v>主手武器</v>
      </c>
      <c r="E698" s="1">
        <f>INDEX([1]游戏类型定义!$C$20:$C$29,MATCH(D698,[1]!装备部位,0))</f>
        <v>5</v>
      </c>
      <c r="F698" s="1">
        <v>3</v>
      </c>
      <c r="G698" s="1">
        <f t="shared" si="37"/>
        <v>5</v>
      </c>
      <c r="H698" s="10" t="s">
        <v>2321</v>
      </c>
      <c r="I698" s="1">
        <v>2500</v>
      </c>
      <c r="J698" s="1">
        <v>20</v>
      </c>
      <c r="K698" s="1">
        <v>0</v>
      </c>
      <c r="L698" s="1">
        <v>0</v>
      </c>
      <c r="M698" s="1" t="s">
        <v>1819</v>
      </c>
      <c r="N698" s="1" t="s">
        <v>1061</v>
      </c>
      <c r="O698" s="1">
        <v>0</v>
      </c>
      <c r="P698" s="1" t="s">
        <v>2071</v>
      </c>
      <c r="Q698" s="7" t="s">
        <v>2530</v>
      </c>
    </row>
    <row r="699" spans="1:17" ht="14.25" thickBot="1">
      <c r="A699" s="1" t="s">
        <v>761</v>
      </c>
      <c r="B699" s="3">
        <v>1</v>
      </c>
      <c r="C699" s="1" t="s">
        <v>2202</v>
      </c>
      <c r="D699" s="1" t="str">
        <f t="shared" si="36"/>
        <v>主手武器</v>
      </c>
      <c r="E699" s="1">
        <f>INDEX([1]游戏类型定义!$C$20:$C$29,MATCH(D699,[1]!装备部位,0))</f>
        <v>5</v>
      </c>
      <c r="F699" s="1">
        <v>3</v>
      </c>
      <c r="G699" s="1">
        <f t="shared" si="37"/>
        <v>5</v>
      </c>
      <c r="H699" s="10" t="s">
        <v>2321</v>
      </c>
      <c r="I699" s="1">
        <v>4000</v>
      </c>
      <c r="J699" s="1">
        <v>20</v>
      </c>
      <c r="K699" s="1">
        <v>0</v>
      </c>
      <c r="L699" s="1">
        <v>0</v>
      </c>
      <c r="M699" s="1" t="s">
        <v>2016</v>
      </c>
      <c r="N699" s="1" t="s">
        <v>1061</v>
      </c>
      <c r="O699" s="1">
        <v>0</v>
      </c>
      <c r="P699" s="1" t="s">
        <v>2071</v>
      </c>
      <c r="Q699" s="7" t="s">
        <v>2531</v>
      </c>
    </row>
    <row r="700" spans="1:17" ht="14.25" thickBot="1">
      <c r="A700" s="1" t="s">
        <v>762</v>
      </c>
      <c r="B700" s="3">
        <v>1</v>
      </c>
      <c r="C700" s="9" t="s">
        <v>2203</v>
      </c>
      <c r="D700" s="1" t="str">
        <f t="shared" si="36"/>
        <v>副手武器</v>
      </c>
      <c r="E700" s="1">
        <f>INDEX([1]游戏类型定义!$C$20:$C$29,MATCH(D700,[1]!装备部位,0))</f>
        <v>6</v>
      </c>
      <c r="F700" s="1">
        <v>3</v>
      </c>
      <c r="G700" s="1">
        <f t="shared" si="37"/>
        <v>5</v>
      </c>
      <c r="H700" s="10" t="s">
        <v>2321</v>
      </c>
      <c r="I700" s="1">
        <v>2500</v>
      </c>
      <c r="J700" s="1">
        <v>20</v>
      </c>
      <c r="K700" s="1">
        <v>0</v>
      </c>
      <c r="L700" s="1">
        <v>0</v>
      </c>
      <c r="M700" s="1" t="s">
        <v>1822</v>
      </c>
      <c r="N700" s="1" t="s">
        <v>1061</v>
      </c>
      <c r="O700" s="1">
        <v>0</v>
      </c>
      <c r="P700" s="1" t="s">
        <v>2071</v>
      </c>
      <c r="Q700" s="7" t="s">
        <v>2331</v>
      </c>
    </row>
    <row r="701" spans="1:17" ht="14.25" thickBot="1">
      <c r="A701" s="1" t="s">
        <v>763</v>
      </c>
      <c r="B701" s="2">
        <v>0</v>
      </c>
      <c r="C701" s="9" t="s">
        <v>2042</v>
      </c>
      <c r="D701" s="1" t="str">
        <f t="shared" si="36"/>
        <v>副手武器</v>
      </c>
      <c r="E701" s="1">
        <f>INDEX([1]游戏类型定义!$C$20:$C$29,MATCH(D701,[1]!装备部位,0))</f>
        <v>6</v>
      </c>
      <c r="F701" s="1">
        <v>3</v>
      </c>
      <c r="G701" s="1">
        <f t="shared" si="37"/>
        <v>5</v>
      </c>
      <c r="H701" s="10" t="s">
        <v>2321</v>
      </c>
      <c r="I701" s="1">
        <v>4000</v>
      </c>
      <c r="J701" s="1">
        <v>20</v>
      </c>
      <c r="K701" s="1">
        <v>0</v>
      </c>
      <c r="L701" s="1">
        <v>0</v>
      </c>
      <c r="M701" s="1" t="s">
        <v>1823</v>
      </c>
      <c r="N701" s="1" t="s">
        <v>1061</v>
      </c>
      <c r="O701" s="1">
        <v>0</v>
      </c>
      <c r="P701" s="1" t="s">
        <v>2071</v>
      </c>
      <c r="Q701" s="7" t="s">
        <v>2060</v>
      </c>
    </row>
    <row r="702" spans="1:17" ht="14.25" thickBot="1">
      <c r="A702" s="1" t="s">
        <v>764</v>
      </c>
      <c r="B702" s="3">
        <v>1</v>
      </c>
      <c r="C702" s="9" t="s">
        <v>2204</v>
      </c>
      <c r="D702" s="1" t="str">
        <f t="shared" si="36"/>
        <v>主手武器</v>
      </c>
      <c r="E702" s="1">
        <f>INDEX([1]游戏类型定义!$C$20:$C$29,MATCH(D702,[1]!装备部位,0))</f>
        <v>5</v>
      </c>
      <c r="F702" s="1">
        <v>3</v>
      </c>
      <c r="G702" s="1">
        <f t="shared" si="37"/>
        <v>5</v>
      </c>
      <c r="H702" s="10" t="s">
        <v>2322</v>
      </c>
      <c r="I702" s="1">
        <v>2500</v>
      </c>
      <c r="J702" s="1">
        <v>20</v>
      </c>
      <c r="K702" s="1">
        <v>0</v>
      </c>
      <c r="L702" s="1">
        <v>0</v>
      </c>
      <c r="M702" s="1" t="s">
        <v>1819</v>
      </c>
      <c r="N702" s="1" t="s">
        <v>1061</v>
      </c>
      <c r="O702" s="1">
        <v>0</v>
      </c>
      <c r="P702" s="1" t="s">
        <v>2071</v>
      </c>
      <c r="Q702" s="7" t="s">
        <v>2332</v>
      </c>
    </row>
    <row r="703" spans="1:17" ht="14.25" thickBot="1">
      <c r="A703" s="1" t="s">
        <v>765</v>
      </c>
      <c r="B703" s="3">
        <v>1</v>
      </c>
      <c r="C703" s="9" t="s">
        <v>2205</v>
      </c>
      <c r="D703" s="1" t="str">
        <f t="shared" si="36"/>
        <v>主手武器</v>
      </c>
      <c r="E703" s="1">
        <f>INDEX([1]游戏类型定义!$C$20:$C$29,MATCH(D703,[1]!装备部位,0))</f>
        <v>5</v>
      </c>
      <c r="F703" s="1">
        <v>3</v>
      </c>
      <c r="G703" s="1">
        <f t="shared" si="37"/>
        <v>5</v>
      </c>
      <c r="H703" s="10" t="s">
        <v>2322</v>
      </c>
      <c r="I703" s="1">
        <v>4000</v>
      </c>
      <c r="J703" s="1">
        <v>20</v>
      </c>
      <c r="K703" s="1">
        <v>0</v>
      </c>
      <c r="L703" s="1">
        <v>0</v>
      </c>
      <c r="M703" s="1" t="s">
        <v>2016</v>
      </c>
      <c r="N703" s="1" t="s">
        <v>1061</v>
      </c>
      <c r="O703" s="1">
        <v>0</v>
      </c>
      <c r="P703" s="1" t="s">
        <v>2071</v>
      </c>
      <c r="Q703" s="7" t="s">
        <v>2333</v>
      </c>
    </row>
    <row r="704" spans="1:17" ht="14.25" thickBot="1">
      <c r="A704" s="1" t="s">
        <v>766</v>
      </c>
      <c r="B704" s="3">
        <v>1</v>
      </c>
      <c r="C704" s="9" t="s">
        <v>2206</v>
      </c>
      <c r="D704" s="1" t="str">
        <f t="shared" si="36"/>
        <v>副手武器</v>
      </c>
      <c r="E704" s="1">
        <f>INDEX([1]游戏类型定义!$C$20:$C$29,MATCH(D704,[1]!装备部位,0))</f>
        <v>6</v>
      </c>
      <c r="F704" s="1">
        <v>3</v>
      </c>
      <c r="G704" s="1">
        <f t="shared" si="37"/>
        <v>5</v>
      </c>
      <c r="H704" s="10" t="s">
        <v>2322</v>
      </c>
      <c r="I704" s="1">
        <v>2500</v>
      </c>
      <c r="J704" s="1">
        <v>20</v>
      </c>
      <c r="K704" s="1">
        <v>0</v>
      </c>
      <c r="L704" s="1">
        <v>0</v>
      </c>
      <c r="M704" s="1" t="s">
        <v>1824</v>
      </c>
      <c r="N704" s="1" t="s">
        <v>1061</v>
      </c>
      <c r="O704" s="1">
        <v>0</v>
      </c>
      <c r="P704" s="1" t="s">
        <v>2071</v>
      </c>
      <c r="Q704" s="7" t="s">
        <v>2334</v>
      </c>
    </row>
    <row r="705" spans="1:17" ht="14.25" thickBot="1">
      <c r="A705" s="1" t="s">
        <v>767</v>
      </c>
      <c r="B705" s="2">
        <v>0</v>
      </c>
      <c r="C705" s="9" t="s">
        <v>2050</v>
      </c>
      <c r="D705" s="1" t="str">
        <f t="shared" si="36"/>
        <v>副手武器</v>
      </c>
      <c r="E705" s="1">
        <f>INDEX([1]游戏类型定义!$C$20:$C$29,MATCH(D705,[1]!装备部位,0))</f>
        <v>6</v>
      </c>
      <c r="F705" s="1">
        <v>3</v>
      </c>
      <c r="G705" s="1">
        <f t="shared" si="37"/>
        <v>5</v>
      </c>
      <c r="H705" s="10" t="s">
        <v>2322</v>
      </c>
      <c r="I705" s="1">
        <v>4000</v>
      </c>
      <c r="J705" s="1">
        <v>20</v>
      </c>
      <c r="K705" s="1">
        <v>0</v>
      </c>
      <c r="L705" s="1">
        <v>0</v>
      </c>
      <c r="M705" s="1" t="s">
        <v>1825</v>
      </c>
      <c r="N705" s="1" t="s">
        <v>1061</v>
      </c>
      <c r="O705" s="1">
        <v>0</v>
      </c>
      <c r="P705" s="1" t="s">
        <v>2071</v>
      </c>
      <c r="Q705" s="7" t="s">
        <v>2062</v>
      </c>
    </row>
    <row r="706" spans="1:17" ht="14.25" thickBot="1">
      <c r="A706" s="1" t="s">
        <v>768</v>
      </c>
      <c r="B706" s="3">
        <v>1</v>
      </c>
      <c r="C706" s="1" t="s">
        <v>2157</v>
      </c>
      <c r="D706" s="1" t="str">
        <f t="shared" si="36"/>
        <v>胸甲</v>
      </c>
      <c r="E706" s="1">
        <f>INDEX([1]游戏类型定义!$C$20:$C$29,MATCH(D706,[1]!装备部位,0))</f>
        <v>4</v>
      </c>
      <c r="F706" s="1">
        <v>3</v>
      </c>
      <c r="G706" s="1">
        <f t="shared" si="37"/>
        <v>5</v>
      </c>
      <c r="H706" s="10">
        <v>0</v>
      </c>
      <c r="I706" s="1">
        <v>2500</v>
      </c>
      <c r="J706" s="1">
        <v>20</v>
      </c>
      <c r="K706" s="1">
        <v>0</v>
      </c>
      <c r="L706" s="1">
        <v>0</v>
      </c>
      <c r="M706" s="1" t="s">
        <v>1826</v>
      </c>
      <c r="N706" s="1" t="s">
        <v>1060</v>
      </c>
      <c r="O706" s="1">
        <v>0</v>
      </c>
      <c r="P706" s="1" t="s">
        <v>2071</v>
      </c>
      <c r="Q706" s="7" t="s">
        <v>2335</v>
      </c>
    </row>
    <row r="707" spans="1:17" ht="14.25" thickBot="1">
      <c r="A707" s="1" t="s">
        <v>769</v>
      </c>
      <c r="B707" s="3">
        <v>1</v>
      </c>
      <c r="C707" s="1" t="s">
        <v>2158</v>
      </c>
      <c r="D707" s="1" t="str">
        <f t="shared" si="36"/>
        <v>胸甲</v>
      </c>
      <c r="E707" s="1">
        <f>INDEX([1]游戏类型定义!$C$20:$C$29,MATCH(D707,[1]!装备部位,0))</f>
        <v>4</v>
      </c>
      <c r="F707" s="1">
        <v>3</v>
      </c>
      <c r="G707" s="1">
        <f t="shared" si="37"/>
        <v>5</v>
      </c>
      <c r="H707" s="10">
        <v>0</v>
      </c>
      <c r="I707" s="1">
        <v>4000</v>
      </c>
      <c r="J707" s="1">
        <v>20</v>
      </c>
      <c r="K707" s="1">
        <v>0</v>
      </c>
      <c r="L707" s="1">
        <v>0</v>
      </c>
      <c r="M707" s="1" t="s">
        <v>1827</v>
      </c>
      <c r="N707" s="1" t="s">
        <v>1060</v>
      </c>
      <c r="O707" s="1">
        <v>0</v>
      </c>
      <c r="P707" s="1" t="s">
        <v>2071</v>
      </c>
      <c r="Q707" s="7" t="s">
        <v>2336</v>
      </c>
    </row>
    <row r="708" spans="1:17" ht="14.25" thickBot="1">
      <c r="A708" s="1" t="s">
        <v>770</v>
      </c>
      <c r="B708" s="3">
        <v>1</v>
      </c>
      <c r="C708" s="1" t="s">
        <v>2037</v>
      </c>
      <c r="D708" s="1" t="str">
        <f t="shared" si="36"/>
        <v>护腿</v>
      </c>
      <c r="E708" s="1">
        <f>INDEX([1]游戏类型定义!$C$20:$C$29,MATCH(D708,[1]!装备部位,0))</f>
        <v>7</v>
      </c>
      <c r="F708" s="1">
        <v>3</v>
      </c>
      <c r="G708" s="1">
        <f t="shared" si="37"/>
        <v>5</v>
      </c>
      <c r="H708" s="10">
        <v>0</v>
      </c>
      <c r="I708" s="1">
        <v>2500</v>
      </c>
      <c r="J708" s="1">
        <v>20</v>
      </c>
      <c r="K708" s="1">
        <v>0</v>
      </c>
      <c r="L708" s="1">
        <v>0</v>
      </c>
      <c r="M708" s="1" t="s">
        <v>1810</v>
      </c>
      <c r="N708" s="1" t="s">
        <v>1060</v>
      </c>
      <c r="O708" s="1">
        <v>0</v>
      </c>
      <c r="P708" s="1" t="s">
        <v>2071</v>
      </c>
      <c r="Q708" s="7" t="s">
        <v>2064</v>
      </c>
    </row>
    <row r="709" spans="1:17" ht="14.25" thickBot="1">
      <c r="A709" s="1" t="s">
        <v>771</v>
      </c>
      <c r="B709" s="3">
        <v>1</v>
      </c>
      <c r="C709" s="1" t="s">
        <v>2174</v>
      </c>
      <c r="D709" s="1" t="str">
        <f t="shared" si="36"/>
        <v>护腿</v>
      </c>
      <c r="E709" s="1">
        <f>INDEX([1]游戏类型定义!$C$20:$C$29,MATCH(D709,[1]!装备部位,0))</f>
        <v>7</v>
      </c>
      <c r="F709" s="1">
        <v>3</v>
      </c>
      <c r="G709" s="1">
        <f t="shared" si="37"/>
        <v>5</v>
      </c>
      <c r="H709" s="10">
        <v>0</v>
      </c>
      <c r="I709" s="1">
        <v>4000</v>
      </c>
      <c r="J709" s="1">
        <v>20</v>
      </c>
      <c r="K709" s="1">
        <v>0</v>
      </c>
      <c r="L709" s="1">
        <v>0</v>
      </c>
      <c r="M709" s="1" t="s">
        <v>1828</v>
      </c>
      <c r="N709" s="1" t="s">
        <v>1060</v>
      </c>
      <c r="O709" s="1">
        <v>0</v>
      </c>
      <c r="P709" s="1" t="s">
        <v>2071</v>
      </c>
      <c r="Q709" s="7" t="s">
        <v>2337</v>
      </c>
    </row>
    <row r="710" spans="1:17" ht="14.25" thickBot="1">
      <c r="A710" s="1" t="s">
        <v>772</v>
      </c>
      <c r="B710" s="3">
        <v>1</v>
      </c>
      <c r="C710" s="1" t="s">
        <v>2102</v>
      </c>
      <c r="D710" s="1" t="str">
        <f t="shared" si="36"/>
        <v>头盔</v>
      </c>
      <c r="E710" s="1">
        <f>INDEX([1]游戏类型定义!$C$20:$C$29,MATCH(D710,[1]!装备部位,0))</f>
        <v>1</v>
      </c>
      <c r="F710" s="1">
        <v>3</v>
      </c>
      <c r="G710" s="1">
        <f t="shared" si="37"/>
        <v>10</v>
      </c>
      <c r="H710" s="10">
        <v>0</v>
      </c>
      <c r="I710" s="1">
        <v>5000</v>
      </c>
      <c r="J710" s="1">
        <v>20</v>
      </c>
      <c r="K710" s="1">
        <v>0</v>
      </c>
      <c r="L710" s="1">
        <v>7500</v>
      </c>
      <c r="M710" s="1" t="s">
        <v>1829</v>
      </c>
      <c r="N710" s="1" t="s">
        <v>1062</v>
      </c>
      <c r="O710" s="1">
        <v>0</v>
      </c>
      <c r="P710" s="1" t="s">
        <v>2072</v>
      </c>
      <c r="Q710" s="7" t="s">
        <v>2338</v>
      </c>
    </row>
    <row r="711" spans="1:17" ht="14.25" thickBot="1">
      <c r="A711" s="1" t="s">
        <v>773</v>
      </c>
      <c r="B711" s="3">
        <v>1</v>
      </c>
      <c r="C711" s="1" t="s">
        <v>2108</v>
      </c>
      <c r="D711" s="1" t="str">
        <f t="shared" si="36"/>
        <v>戒指</v>
      </c>
      <c r="E711" s="1">
        <f>INDEX([1]游戏类型定义!$C$20:$C$29,MATCH(D711,[1]!装备部位,0))</f>
        <v>2</v>
      </c>
      <c r="F711" s="1">
        <v>3</v>
      </c>
      <c r="G711" s="1">
        <f t="shared" si="37"/>
        <v>10</v>
      </c>
      <c r="H711" s="10">
        <v>0</v>
      </c>
      <c r="I711" s="1">
        <v>5000</v>
      </c>
      <c r="J711" s="1">
        <v>20</v>
      </c>
      <c r="K711" s="1">
        <v>0</v>
      </c>
      <c r="L711" s="1">
        <v>7500</v>
      </c>
      <c r="M711" s="1" t="s">
        <v>1830</v>
      </c>
      <c r="N711" s="1" t="s">
        <v>1062</v>
      </c>
      <c r="O711" s="1">
        <v>0</v>
      </c>
      <c r="P711" s="1" t="s">
        <v>2072</v>
      </c>
      <c r="Q711" s="7" t="s">
        <v>2339</v>
      </c>
    </row>
    <row r="712" spans="1:17" ht="14.25" thickBot="1">
      <c r="A712" s="1" t="s">
        <v>774</v>
      </c>
      <c r="B712" s="3">
        <v>1</v>
      </c>
      <c r="C712" s="1" t="s">
        <v>2087</v>
      </c>
      <c r="D712" s="1" t="str">
        <f t="shared" si="36"/>
        <v>腰带</v>
      </c>
      <c r="E712" s="1">
        <f>INDEX([1]游戏类型定义!$C$20:$C$29,MATCH(D712,[1]!装备部位,0))</f>
        <v>3</v>
      </c>
      <c r="F712" s="1">
        <v>3</v>
      </c>
      <c r="G712" s="1">
        <f t="shared" si="37"/>
        <v>10</v>
      </c>
      <c r="H712" s="10">
        <v>0</v>
      </c>
      <c r="I712" s="1">
        <v>5000</v>
      </c>
      <c r="J712" s="1">
        <v>20</v>
      </c>
      <c r="K712" s="1">
        <v>0</v>
      </c>
      <c r="L712" s="1">
        <v>7500</v>
      </c>
      <c r="M712" s="1" t="s">
        <v>1831</v>
      </c>
      <c r="N712" s="1" t="s">
        <v>1062</v>
      </c>
      <c r="O712" s="1">
        <v>0</v>
      </c>
      <c r="P712" s="1" t="s">
        <v>2072</v>
      </c>
      <c r="Q712" s="7" t="s">
        <v>2340</v>
      </c>
    </row>
    <row r="713" spans="1:17" ht="14.25" thickBot="1">
      <c r="A713" s="1" t="s">
        <v>775</v>
      </c>
      <c r="B713" s="3">
        <v>1</v>
      </c>
      <c r="C713" s="1" t="s">
        <v>2120</v>
      </c>
      <c r="D713" s="1" t="str">
        <f t="shared" si="36"/>
        <v>鞋子</v>
      </c>
      <c r="E713" s="1">
        <f>INDEX([1]游戏类型定义!$C$20:$C$29,MATCH(D713,[1]!装备部位,0))</f>
        <v>8</v>
      </c>
      <c r="F713" s="1">
        <v>3</v>
      </c>
      <c r="G713" s="1">
        <f t="shared" si="37"/>
        <v>10</v>
      </c>
      <c r="H713" s="10">
        <v>0</v>
      </c>
      <c r="I713" s="1">
        <v>5000</v>
      </c>
      <c r="J713" s="1">
        <v>20</v>
      </c>
      <c r="K713" s="1">
        <v>0</v>
      </c>
      <c r="L713" s="1">
        <v>7500</v>
      </c>
      <c r="M713" s="1" t="s">
        <v>1832</v>
      </c>
      <c r="N713" s="1" t="s">
        <v>1062</v>
      </c>
      <c r="O713" s="1">
        <v>0</v>
      </c>
      <c r="P713" s="1" t="s">
        <v>2072</v>
      </c>
      <c r="Q713" s="7" t="s">
        <v>2341</v>
      </c>
    </row>
    <row r="714" spans="1:17" ht="14.25" thickBot="1">
      <c r="A714" s="1" t="s">
        <v>776</v>
      </c>
      <c r="B714" s="3">
        <v>1</v>
      </c>
      <c r="C714" s="1" t="s">
        <v>2132</v>
      </c>
      <c r="D714" s="1" t="str">
        <f t="shared" si="36"/>
        <v>手套</v>
      </c>
      <c r="E714" s="1">
        <f>INDEX([1]游戏类型定义!$C$20:$C$29,MATCH(D714,[1]!装备部位,0))</f>
        <v>9</v>
      </c>
      <c r="F714" s="1">
        <v>3</v>
      </c>
      <c r="G714" s="1">
        <f t="shared" si="37"/>
        <v>10</v>
      </c>
      <c r="H714" s="10">
        <v>0</v>
      </c>
      <c r="I714" s="1">
        <v>5000</v>
      </c>
      <c r="J714" s="1">
        <v>20</v>
      </c>
      <c r="K714" s="1">
        <v>0</v>
      </c>
      <c r="L714" s="1">
        <v>7500</v>
      </c>
      <c r="M714" s="1" t="s">
        <v>1833</v>
      </c>
      <c r="N714" s="1" t="s">
        <v>1062</v>
      </c>
      <c r="O714" s="1">
        <v>0</v>
      </c>
      <c r="P714" s="1" t="s">
        <v>2072</v>
      </c>
      <c r="Q714" s="7" t="s">
        <v>2342</v>
      </c>
    </row>
    <row r="715" spans="1:17" ht="14.25" thickBot="1">
      <c r="A715" s="1" t="s">
        <v>777</v>
      </c>
      <c r="B715" s="2">
        <v>0</v>
      </c>
      <c r="C715" s="1" t="s">
        <v>2034</v>
      </c>
      <c r="D715" s="1" t="str">
        <f t="shared" si="36"/>
        <v>项链</v>
      </c>
      <c r="E715" s="1">
        <f>INDEX([1]游戏类型定义!$C$20:$C$29,MATCH(D715,[1]!装备部位,0))</f>
        <v>10</v>
      </c>
      <c r="F715" s="1">
        <v>3</v>
      </c>
      <c r="G715" s="1">
        <f t="shared" si="37"/>
        <v>10</v>
      </c>
      <c r="H715" s="10">
        <v>0</v>
      </c>
      <c r="I715" s="1">
        <v>5000</v>
      </c>
      <c r="J715" s="1">
        <v>20</v>
      </c>
      <c r="K715" s="1">
        <v>0</v>
      </c>
      <c r="L715" s="1">
        <v>7500</v>
      </c>
      <c r="M715" s="1" t="s">
        <v>1818</v>
      </c>
      <c r="N715" s="1" t="s">
        <v>1062</v>
      </c>
      <c r="O715" s="1">
        <v>0</v>
      </c>
      <c r="P715" s="1" t="s">
        <v>2072</v>
      </c>
      <c r="Q715" s="7" t="s">
        <v>2056</v>
      </c>
    </row>
    <row r="716" spans="1:17" ht="14.25" thickBot="1">
      <c r="A716" s="1" t="s">
        <v>778</v>
      </c>
      <c r="B716" s="3">
        <v>1</v>
      </c>
      <c r="C716" s="9" t="s">
        <v>2207</v>
      </c>
      <c r="D716" s="1" t="str">
        <f t="shared" ref="D716:D735" si="38">D386</f>
        <v>主手武器</v>
      </c>
      <c r="E716" s="1">
        <f>INDEX([1]游戏类型定义!$C$20:$C$29,MATCH(D716,[1]!装备部位,0))</f>
        <v>5</v>
      </c>
      <c r="F716" s="1">
        <v>3</v>
      </c>
      <c r="G716" s="1">
        <f t="shared" ref="G716:G735" si="39">G386</f>
        <v>10</v>
      </c>
      <c r="H716" s="10" t="s">
        <v>2320</v>
      </c>
      <c r="I716" s="1">
        <v>5000</v>
      </c>
      <c r="J716" s="1">
        <v>20</v>
      </c>
      <c r="K716" s="1">
        <v>0</v>
      </c>
      <c r="L716" s="1">
        <v>7500</v>
      </c>
      <c r="M716" s="1" t="s">
        <v>1834</v>
      </c>
      <c r="N716" s="1" t="s">
        <v>1063</v>
      </c>
      <c r="O716" s="1">
        <v>0</v>
      </c>
      <c r="P716" s="1" t="s">
        <v>2072</v>
      </c>
      <c r="Q716" s="7" t="s">
        <v>2343</v>
      </c>
    </row>
    <row r="717" spans="1:17" ht="14.25" thickBot="1">
      <c r="A717" s="1" t="s">
        <v>779</v>
      </c>
      <c r="B717" s="3">
        <v>1</v>
      </c>
      <c r="C717" s="9" t="s">
        <v>2208</v>
      </c>
      <c r="D717" s="1" t="str">
        <f t="shared" si="38"/>
        <v>主手武器</v>
      </c>
      <c r="E717" s="1">
        <f>INDEX([1]游戏类型定义!$C$20:$C$29,MATCH(D717,[1]!装备部位,0))</f>
        <v>5</v>
      </c>
      <c r="F717" s="1">
        <v>3</v>
      </c>
      <c r="G717" s="1">
        <f t="shared" si="39"/>
        <v>10</v>
      </c>
      <c r="H717" s="10" t="s">
        <v>2320</v>
      </c>
      <c r="I717" s="1">
        <v>6500</v>
      </c>
      <c r="J717" s="1">
        <v>20</v>
      </c>
      <c r="K717" s="1">
        <v>0</v>
      </c>
      <c r="L717" s="1">
        <v>10000</v>
      </c>
      <c r="M717" s="1" t="s">
        <v>1835</v>
      </c>
      <c r="N717" s="1" t="s">
        <v>1063</v>
      </c>
      <c r="O717" s="1">
        <v>0</v>
      </c>
      <c r="P717" s="1" t="s">
        <v>2072</v>
      </c>
      <c r="Q717" s="7" t="s">
        <v>2344</v>
      </c>
    </row>
    <row r="718" spans="1:17" ht="14.25" thickBot="1">
      <c r="A718" s="1" t="s">
        <v>780</v>
      </c>
      <c r="B718" s="3">
        <v>1</v>
      </c>
      <c r="C718" s="9" t="s">
        <v>2199</v>
      </c>
      <c r="D718" s="1" t="str">
        <f t="shared" si="38"/>
        <v>副手武器</v>
      </c>
      <c r="E718" s="1">
        <f>INDEX([1]游戏类型定义!$C$20:$C$29,MATCH(D718,[1]!装备部位,0))</f>
        <v>6</v>
      </c>
      <c r="F718" s="1">
        <v>3</v>
      </c>
      <c r="G718" s="1">
        <f t="shared" si="39"/>
        <v>10</v>
      </c>
      <c r="H718" s="10" t="s">
        <v>2320</v>
      </c>
      <c r="I718" s="1">
        <v>5000</v>
      </c>
      <c r="J718" s="1">
        <v>20</v>
      </c>
      <c r="K718" s="1">
        <v>0</v>
      </c>
      <c r="L718" s="1">
        <v>7500</v>
      </c>
      <c r="M718" s="1" t="s">
        <v>1836</v>
      </c>
      <c r="N718" s="1" t="s">
        <v>1063</v>
      </c>
      <c r="O718" s="1">
        <v>0</v>
      </c>
      <c r="P718" s="1" t="s">
        <v>2072</v>
      </c>
      <c r="Q718" s="7" t="s">
        <v>2345</v>
      </c>
    </row>
    <row r="719" spans="1:17" ht="14.25" thickBot="1">
      <c r="A719" s="1" t="s">
        <v>781</v>
      </c>
      <c r="B719" s="2">
        <v>0</v>
      </c>
      <c r="C719" s="9" t="s">
        <v>2044</v>
      </c>
      <c r="D719" s="1" t="str">
        <f t="shared" si="38"/>
        <v>副手武器</v>
      </c>
      <c r="E719" s="1">
        <f>INDEX([1]游戏类型定义!$C$20:$C$29,MATCH(D719,[1]!装备部位,0))</f>
        <v>6</v>
      </c>
      <c r="F719" s="1">
        <v>3</v>
      </c>
      <c r="G719" s="1">
        <f t="shared" si="39"/>
        <v>10</v>
      </c>
      <c r="H719" s="10" t="s">
        <v>2320</v>
      </c>
      <c r="I719" s="1">
        <v>6500</v>
      </c>
      <c r="J719" s="1">
        <v>20</v>
      </c>
      <c r="K719" s="1">
        <v>0</v>
      </c>
      <c r="L719" s="1">
        <v>10000</v>
      </c>
      <c r="M719" s="1" t="s">
        <v>1837</v>
      </c>
      <c r="N719" s="1" t="s">
        <v>1063</v>
      </c>
      <c r="O719" s="1">
        <v>0</v>
      </c>
      <c r="P719" s="1" t="s">
        <v>2072</v>
      </c>
      <c r="Q719" s="7" t="s">
        <v>2058</v>
      </c>
    </row>
    <row r="720" spans="1:17" ht="14.25" thickBot="1">
      <c r="A720" s="1" t="s">
        <v>782</v>
      </c>
      <c r="B720" s="3">
        <v>1</v>
      </c>
      <c r="C720" s="1" t="s">
        <v>2209</v>
      </c>
      <c r="D720" s="1" t="str">
        <f t="shared" si="38"/>
        <v>主手武器</v>
      </c>
      <c r="E720" s="1">
        <f>INDEX([1]游戏类型定义!$C$20:$C$29,MATCH(D720,[1]!装备部位,0))</f>
        <v>5</v>
      </c>
      <c r="F720" s="1">
        <v>3</v>
      </c>
      <c r="G720" s="1">
        <f t="shared" si="39"/>
        <v>10</v>
      </c>
      <c r="H720" s="10" t="s">
        <v>2321</v>
      </c>
      <c r="I720" s="1">
        <v>5000</v>
      </c>
      <c r="J720" s="1">
        <v>20</v>
      </c>
      <c r="K720" s="1">
        <v>0</v>
      </c>
      <c r="L720" s="1">
        <v>7500</v>
      </c>
      <c r="M720" s="1" t="s">
        <v>1834</v>
      </c>
      <c r="N720" s="1" t="s">
        <v>1063</v>
      </c>
      <c r="O720" s="1">
        <v>0</v>
      </c>
      <c r="P720" s="1" t="s">
        <v>2072</v>
      </c>
      <c r="Q720" s="7" t="s">
        <v>2346</v>
      </c>
    </row>
    <row r="721" spans="1:17" ht="14.25" thickBot="1">
      <c r="A721" s="1" t="s">
        <v>783</v>
      </c>
      <c r="B721" s="3">
        <v>1</v>
      </c>
      <c r="C721" s="1" t="s">
        <v>2210</v>
      </c>
      <c r="D721" s="1" t="str">
        <f t="shared" si="38"/>
        <v>主手武器</v>
      </c>
      <c r="E721" s="1">
        <f>INDEX([1]游戏类型定义!$C$20:$C$29,MATCH(D721,[1]!装备部位,0))</f>
        <v>5</v>
      </c>
      <c r="F721" s="1">
        <v>3</v>
      </c>
      <c r="G721" s="1">
        <f t="shared" si="39"/>
        <v>10</v>
      </c>
      <c r="H721" s="10" t="s">
        <v>2321</v>
      </c>
      <c r="I721" s="1">
        <v>6500</v>
      </c>
      <c r="J721" s="1">
        <v>20</v>
      </c>
      <c r="K721" s="1">
        <v>0</v>
      </c>
      <c r="L721" s="1">
        <v>10000</v>
      </c>
      <c r="M721" s="1" t="s">
        <v>1835</v>
      </c>
      <c r="N721" s="1" t="s">
        <v>1063</v>
      </c>
      <c r="O721" s="1">
        <v>0</v>
      </c>
      <c r="P721" s="1" t="s">
        <v>2072</v>
      </c>
      <c r="Q721" s="7" t="s">
        <v>2347</v>
      </c>
    </row>
    <row r="722" spans="1:17" ht="14.25" thickBot="1">
      <c r="A722" s="1" t="s">
        <v>784</v>
      </c>
      <c r="B722" s="3">
        <v>1</v>
      </c>
      <c r="C722" s="9" t="s">
        <v>2211</v>
      </c>
      <c r="D722" s="1" t="str">
        <f t="shared" si="38"/>
        <v>副手武器</v>
      </c>
      <c r="E722" s="1">
        <f>INDEX([1]游戏类型定义!$C$20:$C$29,MATCH(D722,[1]!装备部位,0))</f>
        <v>6</v>
      </c>
      <c r="F722" s="1">
        <v>3</v>
      </c>
      <c r="G722" s="1">
        <f t="shared" si="39"/>
        <v>10</v>
      </c>
      <c r="H722" s="10" t="s">
        <v>2321</v>
      </c>
      <c r="I722" s="1">
        <v>5000</v>
      </c>
      <c r="J722" s="1">
        <v>20</v>
      </c>
      <c r="K722" s="1">
        <v>0</v>
      </c>
      <c r="L722" s="1">
        <v>7500</v>
      </c>
      <c r="M722" s="1" t="s">
        <v>1838</v>
      </c>
      <c r="N722" s="1" t="s">
        <v>1063</v>
      </c>
      <c r="O722" s="1">
        <v>0</v>
      </c>
      <c r="P722" s="1" t="s">
        <v>2072</v>
      </c>
      <c r="Q722" s="7" t="s">
        <v>2348</v>
      </c>
    </row>
    <row r="723" spans="1:17" ht="14.25" thickBot="1">
      <c r="A723" s="1" t="s">
        <v>785</v>
      </c>
      <c r="B723" s="2">
        <v>0</v>
      </c>
      <c r="C723" s="9" t="s">
        <v>2042</v>
      </c>
      <c r="D723" s="1" t="str">
        <f t="shared" si="38"/>
        <v>副手武器</v>
      </c>
      <c r="E723" s="1">
        <f>INDEX([1]游戏类型定义!$C$20:$C$29,MATCH(D723,[1]!装备部位,0))</f>
        <v>6</v>
      </c>
      <c r="F723" s="1">
        <v>3</v>
      </c>
      <c r="G723" s="1">
        <f t="shared" si="39"/>
        <v>10</v>
      </c>
      <c r="H723" s="10" t="s">
        <v>2321</v>
      </c>
      <c r="I723" s="1">
        <v>6500</v>
      </c>
      <c r="J723" s="1">
        <v>20</v>
      </c>
      <c r="K723" s="1">
        <v>0</v>
      </c>
      <c r="L723" s="1">
        <v>10000</v>
      </c>
      <c r="M723" s="1" t="s">
        <v>1839</v>
      </c>
      <c r="N723" s="1" t="s">
        <v>1063</v>
      </c>
      <c r="O723" s="1">
        <v>0</v>
      </c>
      <c r="P723" s="1" t="s">
        <v>2072</v>
      </c>
      <c r="Q723" s="7" t="s">
        <v>2060</v>
      </c>
    </row>
    <row r="724" spans="1:17" ht="14.25" thickBot="1">
      <c r="A724" s="1" t="s">
        <v>786</v>
      </c>
      <c r="B724" s="3">
        <v>1</v>
      </c>
      <c r="C724" s="9" t="s">
        <v>2213</v>
      </c>
      <c r="D724" s="1" t="str">
        <f t="shared" si="38"/>
        <v>主手武器</v>
      </c>
      <c r="E724" s="1">
        <f>INDEX([1]游戏类型定义!$C$20:$C$29,MATCH(D724,[1]!装备部位,0))</f>
        <v>5</v>
      </c>
      <c r="F724" s="1">
        <v>3</v>
      </c>
      <c r="G724" s="1">
        <f t="shared" si="39"/>
        <v>10</v>
      </c>
      <c r="H724" s="10" t="s">
        <v>2322</v>
      </c>
      <c r="I724" s="1">
        <v>5000</v>
      </c>
      <c r="J724" s="1">
        <v>20</v>
      </c>
      <c r="K724" s="1">
        <v>0</v>
      </c>
      <c r="L724" s="1">
        <v>7500</v>
      </c>
      <c r="M724" s="1" t="s">
        <v>1834</v>
      </c>
      <c r="N724" s="1" t="s">
        <v>1063</v>
      </c>
      <c r="O724" s="1">
        <v>0</v>
      </c>
      <c r="P724" s="1" t="s">
        <v>2072</v>
      </c>
      <c r="Q724" s="7" t="s">
        <v>2349</v>
      </c>
    </row>
    <row r="725" spans="1:17" ht="14.25" thickBot="1">
      <c r="A725" s="1" t="s">
        <v>787</v>
      </c>
      <c r="B725" s="3">
        <v>1</v>
      </c>
      <c r="C725" s="9" t="s">
        <v>2212</v>
      </c>
      <c r="D725" s="1" t="str">
        <f t="shared" si="38"/>
        <v>主手武器</v>
      </c>
      <c r="E725" s="1">
        <f>INDEX([1]游戏类型定义!$C$20:$C$29,MATCH(D725,[1]!装备部位,0))</f>
        <v>5</v>
      </c>
      <c r="F725" s="1">
        <v>3</v>
      </c>
      <c r="G725" s="1">
        <f t="shared" si="39"/>
        <v>10</v>
      </c>
      <c r="H725" s="10" t="s">
        <v>2322</v>
      </c>
      <c r="I725" s="1">
        <v>6500</v>
      </c>
      <c r="J725" s="1">
        <v>20</v>
      </c>
      <c r="K725" s="1">
        <v>0</v>
      </c>
      <c r="L725" s="1">
        <v>10000</v>
      </c>
      <c r="M725" s="1" t="s">
        <v>1835</v>
      </c>
      <c r="N725" s="1" t="s">
        <v>1063</v>
      </c>
      <c r="O725" s="1">
        <v>0</v>
      </c>
      <c r="P725" s="1" t="s">
        <v>2072</v>
      </c>
      <c r="Q725" s="7" t="s">
        <v>2350</v>
      </c>
    </row>
    <row r="726" spans="1:17" ht="14.25" thickBot="1">
      <c r="A726" s="1" t="s">
        <v>788</v>
      </c>
      <c r="B726" s="3">
        <v>1</v>
      </c>
      <c r="C726" s="9" t="s">
        <v>2214</v>
      </c>
      <c r="D726" s="1" t="str">
        <f t="shared" si="38"/>
        <v>副手武器</v>
      </c>
      <c r="E726" s="1">
        <f>INDEX([1]游戏类型定义!$C$20:$C$29,MATCH(D726,[1]!装备部位,0))</f>
        <v>6</v>
      </c>
      <c r="F726" s="1">
        <v>3</v>
      </c>
      <c r="G726" s="1">
        <f t="shared" si="39"/>
        <v>10</v>
      </c>
      <c r="H726" s="10" t="s">
        <v>2322</v>
      </c>
      <c r="I726" s="1">
        <v>5000</v>
      </c>
      <c r="J726" s="1">
        <v>20</v>
      </c>
      <c r="K726" s="1">
        <v>0</v>
      </c>
      <c r="L726" s="1">
        <v>7500</v>
      </c>
      <c r="M726" s="1" t="s">
        <v>1840</v>
      </c>
      <c r="N726" s="1" t="s">
        <v>1063</v>
      </c>
      <c r="O726" s="1">
        <v>0</v>
      </c>
      <c r="P726" s="1" t="s">
        <v>2072</v>
      </c>
      <c r="Q726" s="7" t="s">
        <v>2351</v>
      </c>
    </row>
    <row r="727" spans="1:17" ht="14.25" thickBot="1">
      <c r="A727" s="1" t="s">
        <v>789</v>
      </c>
      <c r="B727" s="2">
        <v>0</v>
      </c>
      <c r="C727" s="9" t="s">
        <v>2050</v>
      </c>
      <c r="D727" s="1" t="str">
        <f t="shared" si="38"/>
        <v>副手武器</v>
      </c>
      <c r="E727" s="1">
        <f>INDEX([1]游戏类型定义!$C$20:$C$29,MATCH(D727,[1]!装备部位,0))</f>
        <v>6</v>
      </c>
      <c r="F727" s="1">
        <v>3</v>
      </c>
      <c r="G727" s="1">
        <f t="shared" si="39"/>
        <v>10</v>
      </c>
      <c r="H727" s="10" t="s">
        <v>2322</v>
      </c>
      <c r="I727" s="1">
        <v>6500</v>
      </c>
      <c r="J727" s="1">
        <v>20</v>
      </c>
      <c r="K727" s="1">
        <v>0</v>
      </c>
      <c r="L727" s="1">
        <v>10000</v>
      </c>
      <c r="M727" s="1" t="s">
        <v>1841</v>
      </c>
      <c r="N727" s="1" t="s">
        <v>1063</v>
      </c>
      <c r="O727" s="1">
        <v>0</v>
      </c>
      <c r="P727" s="1" t="s">
        <v>2072</v>
      </c>
      <c r="Q727" s="7" t="s">
        <v>2062</v>
      </c>
    </row>
    <row r="728" spans="1:17" ht="14.25" thickBot="1">
      <c r="A728" s="1" t="s">
        <v>790</v>
      </c>
      <c r="B728" s="3">
        <v>1</v>
      </c>
      <c r="C728" s="1" t="s">
        <v>2159</v>
      </c>
      <c r="D728" s="1" t="str">
        <f t="shared" si="38"/>
        <v>胸甲</v>
      </c>
      <c r="E728" s="1">
        <f>INDEX([1]游戏类型定义!$C$20:$C$29,MATCH(D728,[1]!装备部位,0))</f>
        <v>4</v>
      </c>
      <c r="F728" s="1">
        <v>3</v>
      </c>
      <c r="G728" s="1">
        <f t="shared" si="39"/>
        <v>10</v>
      </c>
      <c r="H728" s="10">
        <v>0</v>
      </c>
      <c r="I728" s="1">
        <v>5000</v>
      </c>
      <c r="J728" s="1">
        <v>20</v>
      </c>
      <c r="K728" s="1">
        <v>0</v>
      </c>
      <c r="L728" s="1">
        <v>7500</v>
      </c>
      <c r="M728" s="1" t="s">
        <v>1842</v>
      </c>
      <c r="N728" s="1" t="s">
        <v>1062</v>
      </c>
      <c r="O728" s="1">
        <v>0</v>
      </c>
      <c r="P728" s="1" t="s">
        <v>2072</v>
      </c>
      <c r="Q728" s="7" t="s">
        <v>2336</v>
      </c>
    </row>
    <row r="729" spans="1:17" ht="14.25" thickBot="1">
      <c r="A729" s="1" t="s">
        <v>791</v>
      </c>
      <c r="B729" s="2">
        <v>0</v>
      </c>
      <c r="C729" s="1" t="s">
        <v>2030</v>
      </c>
      <c r="D729" s="1" t="str">
        <f t="shared" si="38"/>
        <v>胸甲</v>
      </c>
      <c r="E729" s="1">
        <f>INDEX([1]游戏类型定义!$C$20:$C$29,MATCH(D729,[1]!装备部位,0))</f>
        <v>4</v>
      </c>
      <c r="F729" s="1">
        <v>3</v>
      </c>
      <c r="G729" s="1">
        <f t="shared" si="39"/>
        <v>10</v>
      </c>
      <c r="H729" s="10">
        <v>0</v>
      </c>
      <c r="I729" s="1">
        <v>6500</v>
      </c>
      <c r="J729" s="1">
        <v>20</v>
      </c>
      <c r="K729" s="1">
        <v>0</v>
      </c>
      <c r="L729" s="1">
        <v>10000</v>
      </c>
      <c r="M729" s="1" t="s">
        <v>1843</v>
      </c>
      <c r="N729" s="1" t="s">
        <v>1062</v>
      </c>
      <c r="O729" s="1">
        <v>0</v>
      </c>
      <c r="P729" s="1" t="s">
        <v>2072</v>
      </c>
      <c r="Q729" s="7" t="s">
        <v>2063</v>
      </c>
    </row>
    <row r="730" spans="1:17" ht="14.25" thickBot="1">
      <c r="A730" s="1" t="s">
        <v>792</v>
      </c>
      <c r="B730" s="3">
        <v>1</v>
      </c>
      <c r="C730" s="1" t="s">
        <v>2177</v>
      </c>
      <c r="D730" s="1" t="str">
        <f t="shared" si="38"/>
        <v>护腿</v>
      </c>
      <c r="E730" s="1">
        <f>INDEX([1]游戏类型定义!$C$20:$C$29,MATCH(D730,[1]!装备部位,0))</f>
        <v>7</v>
      </c>
      <c r="F730" s="1">
        <v>3</v>
      </c>
      <c r="G730" s="1">
        <f t="shared" si="39"/>
        <v>10</v>
      </c>
      <c r="H730" s="10">
        <v>0</v>
      </c>
      <c r="I730" s="1">
        <v>5000</v>
      </c>
      <c r="J730" s="1">
        <v>20</v>
      </c>
      <c r="K730" s="1">
        <v>0</v>
      </c>
      <c r="L730" s="1">
        <v>7500</v>
      </c>
      <c r="M730" s="1" t="s">
        <v>1842</v>
      </c>
      <c r="N730" s="1" t="s">
        <v>1062</v>
      </c>
      <c r="O730" s="1">
        <v>0</v>
      </c>
      <c r="P730" s="1" t="s">
        <v>2072</v>
      </c>
      <c r="Q730" s="7" t="s">
        <v>2352</v>
      </c>
    </row>
    <row r="731" spans="1:17" ht="14.25" thickBot="1">
      <c r="A731" s="1" t="s">
        <v>793</v>
      </c>
      <c r="B731" s="2">
        <v>0</v>
      </c>
      <c r="C731" s="1" t="s">
        <v>2038</v>
      </c>
      <c r="D731" s="1" t="str">
        <f t="shared" si="38"/>
        <v>护腿</v>
      </c>
      <c r="E731" s="1">
        <f>INDEX([1]游戏类型定义!$C$20:$C$29,MATCH(D731,[1]!装备部位,0))</f>
        <v>7</v>
      </c>
      <c r="F731" s="1">
        <v>3</v>
      </c>
      <c r="G731" s="1">
        <f t="shared" si="39"/>
        <v>10</v>
      </c>
      <c r="H731" s="10">
        <v>0</v>
      </c>
      <c r="I731" s="1">
        <v>6500</v>
      </c>
      <c r="J731" s="1">
        <v>20</v>
      </c>
      <c r="K731" s="1">
        <v>0</v>
      </c>
      <c r="L731" s="1">
        <v>10000</v>
      </c>
      <c r="M731" s="1" t="s">
        <v>1843</v>
      </c>
      <c r="N731" s="1" t="s">
        <v>1062</v>
      </c>
      <c r="O731" s="1">
        <v>0</v>
      </c>
      <c r="P731" s="1" t="s">
        <v>2072</v>
      </c>
      <c r="Q731" s="7" t="s">
        <v>2064</v>
      </c>
    </row>
    <row r="732" spans="1:17" ht="14.25" thickBot="1">
      <c r="A732" s="1" t="s">
        <v>794</v>
      </c>
      <c r="B732" s="2">
        <v>0</v>
      </c>
      <c r="C732" s="1" t="s">
        <v>2031</v>
      </c>
      <c r="D732" s="1" t="str">
        <f t="shared" si="38"/>
        <v>头盔</v>
      </c>
      <c r="E732" s="1">
        <f>INDEX([1]游戏类型定义!$C$20:$C$29,MATCH(D732,[1]!装备部位,0))</f>
        <v>1</v>
      </c>
      <c r="F732" s="1">
        <v>3</v>
      </c>
      <c r="G732" s="1">
        <f t="shared" si="39"/>
        <v>15</v>
      </c>
      <c r="H732" s="10">
        <v>0</v>
      </c>
      <c r="I732" s="1">
        <v>7500</v>
      </c>
      <c r="J732" s="1">
        <v>20</v>
      </c>
      <c r="K732" s="1">
        <v>0</v>
      </c>
      <c r="L732" s="1">
        <v>10000</v>
      </c>
      <c r="M732" s="1" t="s">
        <v>1829</v>
      </c>
      <c r="N732" s="1" t="s">
        <v>1064</v>
      </c>
      <c r="O732" s="1">
        <v>0</v>
      </c>
      <c r="P732" s="1" t="s">
        <v>2073</v>
      </c>
      <c r="Q732" s="7" t="s">
        <v>2051</v>
      </c>
    </row>
    <row r="733" spans="1:17" ht="14.25" thickBot="1">
      <c r="A733" s="1" t="s">
        <v>795</v>
      </c>
      <c r="B733" s="2">
        <v>0</v>
      </c>
      <c r="C733" s="1" t="s">
        <v>2032</v>
      </c>
      <c r="D733" s="1" t="str">
        <f t="shared" si="38"/>
        <v>戒指</v>
      </c>
      <c r="E733" s="1">
        <f>INDEX([1]游戏类型定义!$C$20:$C$29,MATCH(D733,[1]!装备部位,0))</f>
        <v>2</v>
      </c>
      <c r="F733" s="1">
        <v>3</v>
      </c>
      <c r="G733" s="1">
        <f t="shared" si="39"/>
        <v>15</v>
      </c>
      <c r="H733" s="10">
        <v>0</v>
      </c>
      <c r="I733" s="1">
        <v>7500</v>
      </c>
      <c r="J733" s="1">
        <v>20</v>
      </c>
      <c r="K733" s="1">
        <v>0</v>
      </c>
      <c r="L733" s="1">
        <v>10000</v>
      </c>
      <c r="M733" s="1" t="s">
        <v>1844</v>
      </c>
      <c r="N733" s="1" t="s">
        <v>1064</v>
      </c>
      <c r="O733" s="1">
        <v>0</v>
      </c>
      <c r="P733" s="1" t="s">
        <v>2073</v>
      </c>
      <c r="Q733" s="7" t="s">
        <v>2052</v>
      </c>
    </row>
    <row r="734" spans="1:17" ht="14.25" thickBot="1">
      <c r="A734" s="1" t="s">
        <v>796</v>
      </c>
      <c r="B734" s="3">
        <v>1</v>
      </c>
      <c r="C734" s="1" t="s">
        <v>2088</v>
      </c>
      <c r="D734" s="1" t="str">
        <f t="shared" si="38"/>
        <v>腰带</v>
      </c>
      <c r="E734" s="1">
        <f>INDEX([1]游戏类型定义!$C$20:$C$29,MATCH(D734,[1]!装备部位,0))</f>
        <v>3</v>
      </c>
      <c r="F734" s="1">
        <v>3</v>
      </c>
      <c r="G734" s="1">
        <f t="shared" si="39"/>
        <v>15</v>
      </c>
      <c r="H734" s="10">
        <v>0</v>
      </c>
      <c r="I734" s="1">
        <v>7500</v>
      </c>
      <c r="J734" s="1">
        <v>20</v>
      </c>
      <c r="K734" s="1">
        <v>0</v>
      </c>
      <c r="L734" s="1">
        <v>10000</v>
      </c>
      <c r="M734" s="1" t="s">
        <v>1845</v>
      </c>
      <c r="N734" s="1" t="s">
        <v>1064</v>
      </c>
      <c r="O734" s="1">
        <v>0</v>
      </c>
      <c r="P734" s="1" t="s">
        <v>2073</v>
      </c>
      <c r="Q734" s="7" t="s">
        <v>2353</v>
      </c>
    </row>
    <row r="735" spans="1:17" ht="14.25" thickBot="1">
      <c r="A735" s="1" t="s">
        <v>797</v>
      </c>
      <c r="B735" s="3">
        <v>1</v>
      </c>
      <c r="C735" s="1" t="s">
        <v>2121</v>
      </c>
      <c r="D735" s="1" t="str">
        <f t="shared" si="38"/>
        <v>鞋子</v>
      </c>
      <c r="E735" s="1">
        <f>INDEX([1]游戏类型定义!$C$20:$C$29,MATCH(D735,[1]!装备部位,0))</f>
        <v>8</v>
      </c>
      <c r="F735" s="1">
        <v>3</v>
      </c>
      <c r="G735" s="1">
        <f t="shared" si="39"/>
        <v>15</v>
      </c>
      <c r="H735" s="10">
        <v>0</v>
      </c>
      <c r="I735" s="1">
        <v>7500</v>
      </c>
      <c r="J735" s="1">
        <v>20</v>
      </c>
      <c r="K735" s="1">
        <v>0</v>
      </c>
      <c r="L735" s="1">
        <v>10000</v>
      </c>
      <c r="M735" s="1" t="s">
        <v>1846</v>
      </c>
      <c r="N735" s="1" t="s">
        <v>1064</v>
      </c>
      <c r="O735" s="1">
        <v>0</v>
      </c>
      <c r="P735" s="1" t="s">
        <v>2073</v>
      </c>
      <c r="Q735" s="7" t="s">
        <v>2354</v>
      </c>
    </row>
    <row r="736" spans="1:17" ht="14.25" thickBot="1">
      <c r="A736" s="1" t="s">
        <v>798</v>
      </c>
      <c r="B736" s="3">
        <v>1</v>
      </c>
      <c r="C736" s="1" t="s">
        <v>2133</v>
      </c>
      <c r="D736" s="1" t="str">
        <f t="shared" ref="D736:D755" si="40">D406</f>
        <v>手套</v>
      </c>
      <c r="E736" s="1">
        <f>INDEX([1]游戏类型定义!$C$20:$C$29,MATCH(D736,[1]!装备部位,0))</f>
        <v>9</v>
      </c>
      <c r="F736" s="1">
        <v>3</v>
      </c>
      <c r="G736" s="1">
        <f t="shared" ref="G736:G755" si="41">G406</f>
        <v>15</v>
      </c>
      <c r="H736" s="10">
        <v>0</v>
      </c>
      <c r="I736" s="1">
        <v>7500</v>
      </c>
      <c r="J736" s="1">
        <v>20</v>
      </c>
      <c r="K736" s="1">
        <v>0</v>
      </c>
      <c r="L736" s="1">
        <v>10000</v>
      </c>
      <c r="M736" s="1" t="s">
        <v>1847</v>
      </c>
      <c r="N736" s="1" t="s">
        <v>1064</v>
      </c>
      <c r="O736" s="1">
        <v>0</v>
      </c>
      <c r="P736" s="1" t="s">
        <v>2073</v>
      </c>
      <c r="Q736" s="7" t="s">
        <v>2355</v>
      </c>
    </row>
    <row r="737" spans="1:17" ht="14.25" thickBot="1">
      <c r="A737" s="1" t="s">
        <v>799</v>
      </c>
      <c r="B737" s="3">
        <v>1</v>
      </c>
      <c r="C737" s="1" t="s">
        <v>2146</v>
      </c>
      <c r="D737" s="1" t="str">
        <f t="shared" si="40"/>
        <v>项链</v>
      </c>
      <c r="E737" s="1">
        <f>INDEX([1]游戏类型定义!$C$20:$C$29,MATCH(D737,[1]!装备部位,0))</f>
        <v>10</v>
      </c>
      <c r="F737" s="1">
        <v>3</v>
      </c>
      <c r="G737" s="1">
        <f t="shared" si="41"/>
        <v>15</v>
      </c>
      <c r="H737" s="10">
        <v>0</v>
      </c>
      <c r="I737" s="1">
        <v>7500</v>
      </c>
      <c r="J737" s="1">
        <v>20</v>
      </c>
      <c r="K737" s="1">
        <v>0</v>
      </c>
      <c r="L737" s="1">
        <v>10000</v>
      </c>
      <c r="M737" s="1" t="s">
        <v>1848</v>
      </c>
      <c r="N737" s="1" t="s">
        <v>1064</v>
      </c>
      <c r="O737" s="1">
        <v>0</v>
      </c>
      <c r="P737" s="1" t="s">
        <v>2073</v>
      </c>
      <c r="Q737" s="7" t="s">
        <v>2356</v>
      </c>
    </row>
    <row r="738" spans="1:17" ht="14.25" thickBot="1">
      <c r="A738" s="1" t="s">
        <v>800</v>
      </c>
      <c r="B738" s="3">
        <v>1</v>
      </c>
      <c r="C738" s="9" t="s">
        <v>2196</v>
      </c>
      <c r="D738" s="1" t="str">
        <f t="shared" si="40"/>
        <v>主手武器</v>
      </c>
      <c r="E738" s="1">
        <f>INDEX([1]游戏类型定义!$C$20:$C$29,MATCH(D738,[1]!装备部位,0))</f>
        <v>5</v>
      </c>
      <c r="F738" s="1">
        <v>3</v>
      </c>
      <c r="G738" s="1">
        <f t="shared" si="41"/>
        <v>15</v>
      </c>
      <c r="H738" s="10" t="s">
        <v>2320</v>
      </c>
      <c r="I738" s="1">
        <v>7500</v>
      </c>
      <c r="J738" s="1">
        <v>20</v>
      </c>
      <c r="K738" s="1">
        <v>0</v>
      </c>
      <c r="L738" s="1">
        <v>10000</v>
      </c>
      <c r="M738" s="1" t="s">
        <v>1849</v>
      </c>
      <c r="N738" s="1" t="s">
        <v>1065</v>
      </c>
      <c r="O738" s="1">
        <v>0</v>
      </c>
      <c r="P738" s="1" t="s">
        <v>2073</v>
      </c>
      <c r="Q738" s="7" t="s">
        <v>2357</v>
      </c>
    </row>
    <row r="739" spans="1:17" ht="14.25" thickBot="1">
      <c r="A739" s="1" t="s">
        <v>801</v>
      </c>
      <c r="B739" s="3">
        <v>1</v>
      </c>
      <c r="C739" s="9" t="s">
        <v>2215</v>
      </c>
      <c r="D739" s="1" t="str">
        <f t="shared" si="40"/>
        <v>主手武器</v>
      </c>
      <c r="E739" s="1">
        <f>INDEX([1]游戏类型定义!$C$20:$C$29,MATCH(D739,[1]!装备部位,0))</f>
        <v>5</v>
      </c>
      <c r="F739" s="1">
        <v>3</v>
      </c>
      <c r="G739" s="1">
        <f t="shared" si="41"/>
        <v>15</v>
      </c>
      <c r="H739" s="10" t="s">
        <v>2320</v>
      </c>
      <c r="I739" s="1">
        <v>9000</v>
      </c>
      <c r="J739" s="1">
        <v>20</v>
      </c>
      <c r="K739" s="1">
        <v>0</v>
      </c>
      <c r="L739" s="1">
        <v>12500</v>
      </c>
      <c r="M739" s="1" t="s">
        <v>2017</v>
      </c>
      <c r="N739" s="1" t="s">
        <v>1065</v>
      </c>
      <c r="O739" s="1">
        <v>0</v>
      </c>
      <c r="P739" s="1" t="s">
        <v>2073</v>
      </c>
      <c r="Q739" s="7" t="s">
        <v>2358</v>
      </c>
    </row>
    <row r="740" spans="1:17" ht="14.25" thickBot="1">
      <c r="A740" s="1" t="s">
        <v>802</v>
      </c>
      <c r="B740" s="3">
        <v>1</v>
      </c>
      <c r="C740" s="9" t="s">
        <v>2198</v>
      </c>
      <c r="D740" s="1" t="str">
        <f t="shared" si="40"/>
        <v>副手武器</v>
      </c>
      <c r="E740" s="1">
        <f>INDEX([1]游戏类型定义!$C$20:$C$29,MATCH(D740,[1]!装备部位,0))</f>
        <v>6</v>
      </c>
      <c r="F740" s="1">
        <v>3</v>
      </c>
      <c r="G740" s="1">
        <f t="shared" si="41"/>
        <v>15</v>
      </c>
      <c r="H740" s="10" t="s">
        <v>2320</v>
      </c>
      <c r="I740" s="1">
        <v>7500</v>
      </c>
      <c r="J740" s="1">
        <v>20</v>
      </c>
      <c r="K740" s="1">
        <v>0</v>
      </c>
      <c r="L740" s="1">
        <v>10000</v>
      </c>
      <c r="M740" s="1" t="s">
        <v>1850</v>
      </c>
      <c r="N740" s="1" t="s">
        <v>1065</v>
      </c>
      <c r="O740" s="1">
        <v>0</v>
      </c>
      <c r="P740" s="1" t="s">
        <v>2073</v>
      </c>
      <c r="Q740" s="7" t="s">
        <v>2359</v>
      </c>
    </row>
    <row r="741" spans="1:17" ht="14.25" thickBot="1">
      <c r="A741" s="1" t="s">
        <v>803</v>
      </c>
      <c r="B741" s="2">
        <v>0</v>
      </c>
      <c r="C741" s="9" t="s">
        <v>2044</v>
      </c>
      <c r="D741" s="1" t="str">
        <f t="shared" si="40"/>
        <v>副手武器</v>
      </c>
      <c r="E741" s="1">
        <f>INDEX([1]游戏类型定义!$C$20:$C$29,MATCH(D741,[1]!装备部位,0))</f>
        <v>6</v>
      </c>
      <c r="F741" s="1">
        <v>3</v>
      </c>
      <c r="G741" s="1">
        <f t="shared" si="41"/>
        <v>15</v>
      </c>
      <c r="H741" s="10" t="s">
        <v>2320</v>
      </c>
      <c r="I741" s="1">
        <v>9000</v>
      </c>
      <c r="J741" s="1">
        <v>20</v>
      </c>
      <c r="K741" s="1">
        <v>0</v>
      </c>
      <c r="L741" s="1">
        <v>12500</v>
      </c>
      <c r="M741" s="1" t="s">
        <v>1851</v>
      </c>
      <c r="N741" s="1" t="s">
        <v>1065</v>
      </c>
      <c r="O741" s="1">
        <v>0</v>
      </c>
      <c r="P741" s="1" t="s">
        <v>2073</v>
      </c>
      <c r="Q741" s="7" t="s">
        <v>2058</v>
      </c>
    </row>
    <row r="742" spans="1:17" ht="14.25" thickBot="1">
      <c r="A742" s="1" t="s">
        <v>804</v>
      </c>
      <c r="B742" s="3">
        <v>1</v>
      </c>
      <c r="C742" s="1" t="s">
        <v>2217</v>
      </c>
      <c r="D742" s="1" t="str">
        <f t="shared" si="40"/>
        <v>主手武器</v>
      </c>
      <c r="E742" s="1">
        <f>INDEX([1]游戏类型定义!$C$20:$C$29,MATCH(D742,[1]!装备部位,0))</f>
        <v>5</v>
      </c>
      <c r="F742" s="1">
        <v>3</v>
      </c>
      <c r="G742" s="1">
        <f t="shared" si="41"/>
        <v>15</v>
      </c>
      <c r="H742" s="10" t="s">
        <v>2321</v>
      </c>
      <c r="I742" s="1">
        <v>7500</v>
      </c>
      <c r="J742" s="1">
        <v>20</v>
      </c>
      <c r="K742" s="1">
        <v>0</v>
      </c>
      <c r="L742" s="1">
        <v>10000</v>
      </c>
      <c r="M742" s="1" t="s">
        <v>1849</v>
      </c>
      <c r="N742" s="1" t="s">
        <v>1065</v>
      </c>
      <c r="O742" s="1">
        <v>0</v>
      </c>
      <c r="P742" s="1" t="s">
        <v>2073</v>
      </c>
      <c r="Q742" s="7" t="s">
        <v>2360</v>
      </c>
    </row>
    <row r="743" spans="1:17" ht="14.25" thickBot="1">
      <c r="A743" s="1" t="s">
        <v>805</v>
      </c>
      <c r="B743" s="3">
        <v>1</v>
      </c>
      <c r="C743" s="1" t="s">
        <v>2216</v>
      </c>
      <c r="D743" s="1" t="str">
        <f t="shared" si="40"/>
        <v>主手武器</v>
      </c>
      <c r="E743" s="1">
        <f>INDEX([1]游戏类型定义!$C$20:$C$29,MATCH(D743,[1]!装备部位,0))</f>
        <v>5</v>
      </c>
      <c r="F743" s="1">
        <v>3</v>
      </c>
      <c r="G743" s="1">
        <f t="shared" si="41"/>
        <v>15</v>
      </c>
      <c r="H743" s="10" t="s">
        <v>2321</v>
      </c>
      <c r="I743" s="1">
        <v>9000</v>
      </c>
      <c r="J743" s="1">
        <v>20</v>
      </c>
      <c r="K743" s="1">
        <v>0</v>
      </c>
      <c r="L743" s="1">
        <v>12500</v>
      </c>
      <c r="M743" s="1" t="s">
        <v>2017</v>
      </c>
      <c r="N743" s="1" t="s">
        <v>1065</v>
      </c>
      <c r="O743" s="1">
        <v>0</v>
      </c>
      <c r="P743" s="1" t="s">
        <v>2073</v>
      </c>
      <c r="Q743" s="7" t="s">
        <v>2361</v>
      </c>
    </row>
    <row r="744" spans="1:17" ht="14.25" thickBot="1">
      <c r="A744" s="1" t="s">
        <v>806</v>
      </c>
      <c r="B744" s="3">
        <v>1</v>
      </c>
      <c r="C744" s="9" t="s">
        <v>2218</v>
      </c>
      <c r="D744" s="1" t="str">
        <f t="shared" si="40"/>
        <v>副手武器</v>
      </c>
      <c r="E744" s="1">
        <f>INDEX([1]游戏类型定义!$C$20:$C$29,MATCH(D744,[1]!装备部位,0))</f>
        <v>6</v>
      </c>
      <c r="F744" s="1">
        <v>3</v>
      </c>
      <c r="G744" s="1">
        <f t="shared" si="41"/>
        <v>15</v>
      </c>
      <c r="H744" s="10" t="s">
        <v>2321</v>
      </c>
      <c r="I744" s="1">
        <v>7500</v>
      </c>
      <c r="J744" s="1">
        <v>20</v>
      </c>
      <c r="K744" s="1">
        <v>0</v>
      </c>
      <c r="L744" s="1">
        <v>10000</v>
      </c>
      <c r="M744" s="1" t="s">
        <v>1852</v>
      </c>
      <c r="N744" s="1" t="s">
        <v>1065</v>
      </c>
      <c r="O744" s="1">
        <v>0</v>
      </c>
      <c r="P744" s="1" t="s">
        <v>2073</v>
      </c>
      <c r="Q744" s="7" t="s">
        <v>2362</v>
      </c>
    </row>
    <row r="745" spans="1:17" ht="14.25" thickBot="1">
      <c r="A745" s="1" t="s">
        <v>807</v>
      </c>
      <c r="B745" s="2">
        <v>0</v>
      </c>
      <c r="C745" s="9" t="s">
        <v>2042</v>
      </c>
      <c r="D745" s="1" t="str">
        <f t="shared" si="40"/>
        <v>副手武器</v>
      </c>
      <c r="E745" s="1">
        <f>INDEX([1]游戏类型定义!$C$20:$C$29,MATCH(D745,[1]!装备部位,0))</f>
        <v>6</v>
      </c>
      <c r="F745" s="1">
        <v>3</v>
      </c>
      <c r="G745" s="1">
        <f t="shared" si="41"/>
        <v>15</v>
      </c>
      <c r="H745" s="10" t="s">
        <v>2321</v>
      </c>
      <c r="I745" s="1">
        <v>9000</v>
      </c>
      <c r="J745" s="1">
        <v>20</v>
      </c>
      <c r="K745" s="1">
        <v>0</v>
      </c>
      <c r="L745" s="1">
        <v>12500</v>
      </c>
      <c r="M745" s="1" t="s">
        <v>1853</v>
      </c>
      <c r="N745" s="1" t="s">
        <v>1065</v>
      </c>
      <c r="O745" s="1">
        <v>0</v>
      </c>
      <c r="P745" s="1" t="s">
        <v>2073</v>
      </c>
      <c r="Q745" s="7" t="s">
        <v>2060</v>
      </c>
    </row>
    <row r="746" spans="1:17" ht="14.25" thickBot="1">
      <c r="A746" s="1" t="s">
        <v>808</v>
      </c>
      <c r="B746" s="3">
        <v>1</v>
      </c>
      <c r="C746" s="9" t="s">
        <v>2219</v>
      </c>
      <c r="D746" s="1" t="str">
        <f t="shared" si="40"/>
        <v>主手武器</v>
      </c>
      <c r="E746" s="1">
        <f>INDEX([1]游戏类型定义!$C$20:$C$29,MATCH(D746,[1]!装备部位,0))</f>
        <v>5</v>
      </c>
      <c r="F746" s="1">
        <v>3</v>
      </c>
      <c r="G746" s="1">
        <f t="shared" si="41"/>
        <v>15</v>
      </c>
      <c r="H746" s="10" t="s">
        <v>2322</v>
      </c>
      <c r="I746" s="1">
        <v>7500</v>
      </c>
      <c r="J746" s="1">
        <v>20</v>
      </c>
      <c r="K746" s="1">
        <v>0</v>
      </c>
      <c r="L746" s="1">
        <v>10000</v>
      </c>
      <c r="M746" s="1" t="s">
        <v>1849</v>
      </c>
      <c r="N746" s="1" t="s">
        <v>1065</v>
      </c>
      <c r="O746" s="1">
        <v>0</v>
      </c>
      <c r="P746" s="1" t="s">
        <v>2073</v>
      </c>
      <c r="Q746" s="7" t="s">
        <v>2363</v>
      </c>
    </row>
    <row r="747" spans="1:17" ht="14.25" thickBot="1">
      <c r="A747" s="1" t="s">
        <v>809</v>
      </c>
      <c r="B747" s="3">
        <v>1</v>
      </c>
      <c r="C747" s="9" t="s">
        <v>2220</v>
      </c>
      <c r="D747" s="1" t="str">
        <f t="shared" si="40"/>
        <v>主手武器</v>
      </c>
      <c r="E747" s="1">
        <f>INDEX([1]游戏类型定义!$C$20:$C$29,MATCH(D747,[1]!装备部位,0))</f>
        <v>5</v>
      </c>
      <c r="F747" s="1">
        <v>3</v>
      </c>
      <c r="G747" s="1">
        <f t="shared" si="41"/>
        <v>15</v>
      </c>
      <c r="H747" s="10" t="s">
        <v>2322</v>
      </c>
      <c r="I747" s="1">
        <v>9000</v>
      </c>
      <c r="J747" s="1">
        <v>20</v>
      </c>
      <c r="K747" s="1">
        <v>0</v>
      </c>
      <c r="L747" s="1">
        <v>12500</v>
      </c>
      <c r="M747" s="1" t="s">
        <v>2017</v>
      </c>
      <c r="N747" s="1" t="s">
        <v>1065</v>
      </c>
      <c r="O747" s="1">
        <v>0</v>
      </c>
      <c r="P747" s="1" t="s">
        <v>2073</v>
      </c>
      <c r="Q747" s="7" t="s">
        <v>2364</v>
      </c>
    </row>
    <row r="748" spans="1:17" ht="14.25" thickBot="1">
      <c r="A748" s="1" t="s">
        <v>810</v>
      </c>
      <c r="B748" s="3">
        <v>1</v>
      </c>
      <c r="C748" s="9" t="s">
        <v>2221</v>
      </c>
      <c r="D748" s="1" t="str">
        <f t="shared" si="40"/>
        <v>副手武器</v>
      </c>
      <c r="E748" s="1">
        <f>INDEX([1]游戏类型定义!$C$20:$C$29,MATCH(D748,[1]!装备部位,0))</f>
        <v>6</v>
      </c>
      <c r="F748" s="1">
        <v>3</v>
      </c>
      <c r="G748" s="1">
        <f t="shared" si="41"/>
        <v>15</v>
      </c>
      <c r="H748" s="10" t="s">
        <v>2322</v>
      </c>
      <c r="I748" s="1">
        <v>7500</v>
      </c>
      <c r="J748" s="1">
        <v>20</v>
      </c>
      <c r="K748" s="1">
        <v>0</v>
      </c>
      <c r="L748" s="1">
        <v>10000</v>
      </c>
      <c r="M748" s="1" t="s">
        <v>1854</v>
      </c>
      <c r="N748" s="1" t="s">
        <v>1065</v>
      </c>
      <c r="O748" s="1">
        <v>0</v>
      </c>
      <c r="P748" s="1" t="s">
        <v>2073</v>
      </c>
      <c r="Q748" s="7" t="s">
        <v>2365</v>
      </c>
    </row>
    <row r="749" spans="1:17" ht="14.25" thickBot="1">
      <c r="A749" s="1" t="s">
        <v>811</v>
      </c>
      <c r="B749" s="2">
        <v>0</v>
      </c>
      <c r="C749" s="9" t="s">
        <v>2050</v>
      </c>
      <c r="D749" s="1" t="str">
        <f t="shared" si="40"/>
        <v>副手武器</v>
      </c>
      <c r="E749" s="1">
        <f>INDEX([1]游戏类型定义!$C$20:$C$29,MATCH(D749,[1]!装备部位,0))</f>
        <v>6</v>
      </c>
      <c r="F749" s="1">
        <v>3</v>
      </c>
      <c r="G749" s="1">
        <f t="shared" si="41"/>
        <v>15</v>
      </c>
      <c r="H749" s="10" t="s">
        <v>2322</v>
      </c>
      <c r="I749" s="1">
        <v>9000</v>
      </c>
      <c r="J749" s="1">
        <v>20</v>
      </c>
      <c r="K749" s="1">
        <v>0</v>
      </c>
      <c r="L749" s="1">
        <v>12500</v>
      </c>
      <c r="M749" s="1" t="s">
        <v>1855</v>
      </c>
      <c r="N749" s="1" t="s">
        <v>1065</v>
      </c>
      <c r="O749" s="1">
        <v>0</v>
      </c>
      <c r="P749" s="1" t="s">
        <v>2073</v>
      </c>
      <c r="Q749" s="7" t="s">
        <v>2062</v>
      </c>
    </row>
    <row r="750" spans="1:17" ht="14.25" thickBot="1">
      <c r="A750" s="1" t="s">
        <v>812</v>
      </c>
      <c r="B750" s="3">
        <v>1</v>
      </c>
      <c r="C750" s="1" t="s">
        <v>2160</v>
      </c>
      <c r="D750" s="1" t="str">
        <f t="shared" si="40"/>
        <v>胸甲</v>
      </c>
      <c r="E750" s="1">
        <f>INDEX([1]游戏类型定义!$C$20:$C$29,MATCH(D750,[1]!装备部位,0))</f>
        <v>4</v>
      </c>
      <c r="F750" s="1">
        <v>3</v>
      </c>
      <c r="G750" s="1">
        <f t="shared" si="41"/>
        <v>15</v>
      </c>
      <c r="H750" s="10">
        <v>0</v>
      </c>
      <c r="I750" s="1">
        <v>7500</v>
      </c>
      <c r="J750" s="1">
        <v>20</v>
      </c>
      <c r="K750" s="1">
        <v>0</v>
      </c>
      <c r="L750" s="1">
        <v>10000</v>
      </c>
      <c r="M750" s="1" t="s">
        <v>1856</v>
      </c>
      <c r="N750" s="1" t="s">
        <v>1064</v>
      </c>
      <c r="O750" s="1">
        <v>0</v>
      </c>
      <c r="P750" s="1" t="s">
        <v>2073</v>
      </c>
      <c r="Q750" s="7" t="s">
        <v>2366</v>
      </c>
    </row>
    <row r="751" spans="1:17" ht="14.25" thickBot="1">
      <c r="A751" s="1" t="s">
        <v>813</v>
      </c>
      <c r="B751" s="2">
        <v>0</v>
      </c>
      <c r="C751" s="1" t="s">
        <v>2030</v>
      </c>
      <c r="D751" s="1" t="str">
        <f t="shared" si="40"/>
        <v>胸甲</v>
      </c>
      <c r="E751" s="1">
        <f>INDEX([1]游戏类型定义!$C$20:$C$29,MATCH(D751,[1]!装备部位,0))</f>
        <v>4</v>
      </c>
      <c r="F751" s="1">
        <v>3</v>
      </c>
      <c r="G751" s="1">
        <f t="shared" si="41"/>
        <v>15</v>
      </c>
      <c r="H751" s="10">
        <v>0</v>
      </c>
      <c r="I751" s="1">
        <v>9000</v>
      </c>
      <c r="J751" s="1">
        <v>20</v>
      </c>
      <c r="K751" s="1">
        <v>0</v>
      </c>
      <c r="L751" s="1">
        <v>12500</v>
      </c>
      <c r="M751" s="1" t="s">
        <v>1857</v>
      </c>
      <c r="N751" s="1" t="s">
        <v>1064</v>
      </c>
      <c r="O751" s="1">
        <v>0</v>
      </c>
      <c r="P751" s="1" t="s">
        <v>2073</v>
      </c>
      <c r="Q751" s="7" t="s">
        <v>2063</v>
      </c>
    </row>
    <row r="752" spans="1:17" ht="14.25" thickBot="1">
      <c r="A752" s="1" t="s">
        <v>814</v>
      </c>
      <c r="B752" s="3">
        <v>1</v>
      </c>
      <c r="C752" s="1" t="s">
        <v>2178</v>
      </c>
      <c r="D752" s="1" t="str">
        <f t="shared" si="40"/>
        <v>护腿</v>
      </c>
      <c r="E752" s="1">
        <f>INDEX([1]游戏类型定义!$C$20:$C$29,MATCH(D752,[1]!装备部位,0))</f>
        <v>7</v>
      </c>
      <c r="F752" s="1">
        <v>3</v>
      </c>
      <c r="G752" s="1">
        <f t="shared" si="41"/>
        <v>15</v>
      </c>
      <c r="H752" s="10">
        <v>0</v>
      </c>
      <c r="I752" s="1">
        <v>7500</v>
      </c>
      <c r="J752" s="1">
        <v>20</v>
      </c>
      <c r="K752" s="1">
        <v>0</v>
      </c>
      <c r="L752" s="1">
        <v>10000</v>
      </c>
      <c r="M752" s="1" t="s">
        <v>1856</v>
      </c>
      <c r="N752" s="1" t="s">
        <v>1064</v>
      </c>
      <c r="O752" s="1">
        <v>0</v>
      </c>
      <c r="P752" s="1" t="s">
        <v>2073</v>
      </c>
      <c r="Q752" s="7" t="s">
        <v>2352</v>
      </c>
    </row>
    <row r="753" spans="1:17" ht="14.25" thickBot="1">
      <c r="A753" s="1" t="s">
        <v>815</v>
      </c>
      <c r="B753" s="2">
        <v>0</v>
      </c>
      <c r="C753" s="1" t="s">
        <v>2038</v>
      </c>
      <c r="D753" s="1" t="str">
        <f t="shared" si="40"/>
        <v>护腿</v>
      </c>
      <c r="E753" s="1">
        <f>INDEX([1]游戏类型定义!$C$20:$C$29,MATCH(D753,[1]!装备部位,0))</f>
        <v>7</v>
      </c>
      <c r="F753" s="1">
        <v>3</v>
      </c>
      <c r="G753" s="1">
        <f t="shared" si="41"/>
        <v>15</v>
      </c>
      <c r="H753" s="10">
        <v>0</v>
      </c>
      <c r="I753" s="1">
        <v>9000</v>
      </c>
      <c r="J753" s="1">
        <v>20</v>
      </c>
      <c r="K753" s="1">
        <v>0</v>
      </c>
      <c r="L753" s="1">
        <v>12500</v>
      </c>
      <c r="M753" s="1" t="s">
        <v>1858</v>
      </c>
      <c r="N753" s="1" t="s">
        <v>1064</v>
      </c>
      <c r="O753" s="1">
        <v>0</v>
      </c>
      <c r="P753" s="1" t="s">
        <v>2073</v>
      </c>
      <c r="Q753" s="7" t="s">
        <v>2064</v>
      </c>
    </row>
    <row r="754" spans="1:17" ht="14.25" thickBot="1">
      <c r="A754" s="1" t="s">
        <v>816</v>
      </c>
      <c r="B754" s="3">
        <v>1</v>
      </c>
      <c r="C754" s="1" t="s">
        <v>2103</v>
      </c>
      <c r="D754" s="1" t="str">
        <f t="shared" si="40"/>
        <v>头盔</v>
      </c>
      <c r="E754" s="1">
        <f>INDEX([1]游戏类型定义!$C$20:$C$29,MATCH(D754,[1]!装备部位,0))</f>
        <v>1</v>
      </c>
      <c r="F754" s="1">
        <v>3</v>
      </c>
      <c r="G754" s="1">
        <f t="shared" si="41"/>
        <v>20</v>
      </c>
      <c r="H754" s="10">
        <v>0</v>
      </c>
      <c r="I754" s="1">
        <v>10000</v>
      </c>
      <c r="J754" s="1">
        <v>20</v>
      </c>
      <c r="K754" s="1">
        <v>0</v>
      </c>
      <c r="L754" s="1">
        <v>12500</v>
      </c>
      <c r="M754" s="1" t="s">
        <v>1859</v>
      </c>
      <c r="N754" s="1" t="s">
        <v>1065</v>
      </c>
      <c r="O754" s="1">
        <v>0</v>
      </c>
      <c r="P754" s="1" t="s">
        <v>2074</v>
      </c>
      <c r="Q754" s="7" t="s">
        <v>2367</v>
      </c>
    </row>
    <row r="755" spans="1:17" ht="14.25" thickBot="1">
      <c r="A755" s="1" t="s">
        <v>817</v>
      </c>
      <c r="B755" s="3">
        <v>1</v>
      </c>
      <c r="C755" s="1" t="s">
        <v>2109</v>
      </c>
      <c r="D755" s="1" t="str">
        <f t="shared" si="40"/>
        <v>戒指</v>
      </c>
      <c r="E755" s="1">
        <f>INDEX([1]游戏类型定义!$C$20:$C$29,MATCH(D755,[1]!装备部位,0))</f>
        <v>2</v>
      </c>
      <c r="F755" s="1">
        <v>3</v>
      </c>
      <c r="G755" s="1">
        <f t="shared" si="41"/>
        <v>20</v>
      </c>
      <c r="H755" s="10">
        <v>0</v>
      </c>
      <c r="I755" s="1">
        <v>10000</v>
      </c>
      <c r="J755" s="1">
        <v>20</v>
      </c>
      <c r="K755" s="1">
        <v>0</v>
      </c>
      <c r="L755" s="1">
        <v>12500</v>
      </c>
      <c r="M755" s="1" t="s">
        <v>1840</v>
      </c>
      <c r="N755" s="1" t="s">
        <v>1065</v>
      </c>
      <c r="O755" s="1">
        <v>0</v>
      </c>
      <c r="P755" s="1" t="s">
        <v>2074</v>
      </c>
      <c r="Q755" s="7" t="s">
        <v>2368</v>
      </c>
    </row>
    <row r="756" spans="1:17" ht="14.25" thickBot="1">
      <c r="A756" s="1" t="s">
        <v>818</v>
      </c>
      <c r="B756" s="3">
        <v>1</v>
      </c>
      <c r="C756" s="1" t="s">
        <v>2089</v>
      </c>
      <c r="D756" s="1" t="str">
        <f t="shared" ref="D756:D775" si="42">D426</f>
        <v>腰带</v>
      </c>
      <c r="E756" s="1">
        <f>INDEX([1]游戏类型定义!$C$20:$C$29,MATCH(D756,[1]!装备部位,0))</f>
        <v>3</v>
      </c>
      <c r="F756" s="1">
        <v>3</v>
      </c>
      <c r="G756" s="1">
        <f t="shared" ref="G756:G775" si="43">G426</f>
        <v>20</v>
      </c>
      <c r="H756" s="10">
        <v>0</v>
      </c>
      <c r="I756" s="1">
        <v>10000</v>
      </c>
      <c r="J756" s="1">
        <v>20</v>
      </c>
      <c r="K756" s="1">
        <v>0</v>
      </c>
      <c r="L756" s="1">
        <v>12500</v>
      </c>
      <c r="M756" s="1" t="s">
        <v>1860</v>
      </c>
      <c r="N756" s="1" t="s">
        <v>1065</v>
      </c>
      <c r="O756" s="1">
        <v>0</v>
      </c>
      <c r="P756" s="1" t="s">
        <v>2074</v>
      </c>
      <c r="Q756" s="7" t="s">
        <v>2369</v>
      </c>
    </row>
    <row r="757" spans="1:17" ht="14.25" thickBot="1">
      <c r="A757" s="1" t="s">
        <v>819</v>
      </c>
      <c r="B757" s="2">
        <v>0</v>
      </c>
      <c r="C757" s="1" t="s">
        <v>2036</v>
      </c>
      <c r="D757" s="1" t="str">
        <f t="shared" si="42"/>
        <v>鞋子</v>
      </c>
      <c r="E757" s="1">
        <f>INDEX([1]游戏类型定义!$C$20:$C$29,MATCH(D757,[1]!装备部位,0))</f>
        <v>8</v>
      </c>
      <c r="F757" s="1">
        <v>3</v>
      </c>
      <c r="G757" s="1">
        <f t="shared" si="43"/>
        <v>20</v>
      </c>
      <c r="H757" s="10">
        <v>0</v>
      </c>
      <c r="I757" s="1">
        <v>10000</v>
      </c>
      <c r="J757" s="1">
        <v>20</v>
      </c>
      <c r="K757" s="1">
        <v>0</v>
      </c>
      <c r="L757" s="1">
        <v>12500</v>
      </c>
      <c r="M757" s="1" t="s">
        <v>1861</v>
      </c>
      <c r="N757" s="1" t="s">
        <v>1065</v>
      </c>
      <c r="O757" s="1">
        <v>0</v>
      </c>
      <c r="P757" s="1" t="s">
        <v>2074</v>
      </c>
      <c r="Q757" s="7" t="s">
        <v>2054</v>
      </c>
    </row>
    <row r="758" spans="1:17" ht="14.25" thickBot="1">
      <c r="A758" s="1" t="s">
        <v>820</v>
      </c>
      <c r="B758" s="3">
        <v>1</v>
      </c>
      <c r="C758" s="1" t="s">
        <v>2134</v>
      </c>
      <c r="D758" s="1" t="str">
        <f t="shared" si="42"/>
        <v>手套</v>
      </c>
      <c r="E758" s="1">
        <f>INDEX([1]游戏类型定义!$C$20:$C$29,MATCH(D758,[1]!装备部位,0))</f>
        <v>9</v>
      </c>
      <c r="F758" s="1">
        <v>3</v>
      </c>
      <c r="G758" s="1">
        <f t="shared" si="43"/>
        <v>20</v>
      </c>
      <c r="H758" s="10">
        <v>0</v>
      </c>
      <c r="I758" s="1">
        <v>10000</v>
      </c>
      <c r="J758" s="1">
        <v>20</v>
      </c>
      <c r="K758" s="1">
        <v>0</v>
      </c>
      <c r="L758" s="1">
        <v>12500</v>
      </c>
      <c r="M758" s="1" t="s">
        <v>1862</v>
      </c>
      <c r="N758" s="1" t="s">
        <v>1065</v>
      </c>
      <c r="O758" s="1">
        <v>0</v>
      </c>
      <c r="P758" s="1" t="s">
        <v>2074</v>
      </c>
      <c r="Q758" s="7" t="s">
        <v>2370</v>
      </c>
    </row>
    <row r="759" spans="1:17" ht="14.25" thickBot="1">
      <c r="A759" s="1" t="s">
        <v>821</v>
      </c>
      <c r="B759" s="3">
        <v>1</v>
      </c>
      <c r="C759" s="1" t="s">
        <v>2147</v>
      </c>
      <c r="D759" s="1" t="str">
        <f t="shared" si="42"/>
        <v>项链</v>
      </c>
      <c r="E759" s="1">
        <f>INDEX([1]游戏类型定义!$C$20:$C$29,MATCH(D759,[1]!装备部位,0))</f>
        <v>10</v>
      </c>
      <c r="F759" s="1">
        <v>3</v>
      </c>
      <c r="G759" s="1">
        <f t="shared" si="43"/>
        <v>20</v>
      </c>
      <c r="H759" s="10">
        <v>0</v>
      </c>
      <c r="I759" s="1">
        <v>10000</v>
      </c>
      <c r="J759" s="1">
        <v>20</v>
      </c>
      <c r="K759" s="1">
        <v>0</v>
      </c>
      <c r="L759" s="1">
        <v>12500</v>
      </c>
      <c r="M759" s="1" t="s">
        <v>1863</v>
      </c>
      <c r="N759" s="1" t="s">
        <v>1065</v>
      </c>
      <c r="O759" s="1">
        <v>0</v>
      </c>
      <c r="P759" s="1" t="s">
        <v>2074</v>
      </c>
      <c r="Q759" s="7" t="s">
        <v>2371</v>
      </c>
    </row>
    <row r="760" spans="1:17" ht="14.25" thickBot="1">
      <c r="A760" s="1" t="s">
        <v>822</v>
      </c>
      <c r="B760" s="3">
        <v>1</v>
      </c>
      <c r="C760" s="9" t="s">
        <v>2222</v>
      </c>
      <c r="D760" s="1" t="str">
        <f t="shared" si="42"/>
        <v>主手武器</v>
      </c>
      <c r="E760" s="1">
        <f>INDEX([1]游戏类型定义!$C$20:$C$29,MATCH(D760,[1]!装备部位,0))</f>
        <v>5</v>
      </c>
      <c r="F760" s="1">
        <v>3</v>
      </c>
      <c r="G760" s="1">
        <f t="shared" si="43"/>
        <v>20</v>
      </c>
      <c r="H760" s="10" t="s">
        <v>2320</v>
      </c>
      <c r="I760" s="1">
        <v>10000</v>
      </c>
      <c r="J760" s="1">
        <v>20</v>
      </c>
      <c r="K760" s="1">
        <v>0</v>
      </c>
      <c r="L760" s="1">
        <v>12500</v>
      </c>
      <c r="M760" s="1" t="s">
        <v>2018</v>
      </c>
      <c r="N760" s="1" t="s">
        <v>1066</v>
      </c>
      <c r="O760" s="1">
        <v>0</v>
      </c>
      <c r="P760" s="1" t="s">
        <v>2074</v>
      </c>
      <c r="Q760" s="7" t="s">
        <v>2372</v>
      </c>
    </row>
    <row r="761" spans="1:17" ht="14.25" thickBot="1">
      <c r="A761" s="1" t="s">
        <v>823</v>
      </c>
      <c r="B761" s="2">
        <v>0</v>
      </c>
      <c r="C761" s="9" t="s">
        <v>2046</v>
      </c>
      <c r="D761" s="1" t="str">
        <f t="shared" si="42"/>
        <v>主手武器</v>
      </c>
      <c r="E761" s="1">
        <f>INDEX([1]游戏类型定义!$C$20:$C$29,MATCH(D761,[1]!装备部位,0))</f>
        <v>5</v>
      </c>
      <c r="F761" s="1">
        <v>3</v>
      </c>
      <c r="G761" s="1">
        <f t="shared" si="43"/>
        <v>20</v>
      </c>
      <c r="H761" s="10" t="s">
        <v>2320</v>
      </c>
      <c r="I761" s="1">
        <v>11500</v>
      </c>
      <c r="J761" s="1">
        <v>20</v>
      </c>
      <c r="K761" s="1">
        <v>0</v>
      </c>
      <c r="L761" s="1">
        <v>15000</v>
      </c>
      <c r="M761" s="1" t="s">
        <v>2019</v>
      </c>
      <c r="N761" s="1" t="s">
        <v>1066</v>
      </c>
      <c r="O761" s="1">
        <v>0</v>
      </c>
      <c r="P761" s="1" t="s">
        <v>2074</v>
      </c>
      <c r="Q761" s="7" t="s">
        <v>2057</v>
      </c>
    </row>
    <row r="762" spans="1:17" ht="14.25" thickBot="1">
      <c r="A762" s="1" t="s">
        <v>824</v>
      </c>
      <c r="B762" s="3">
        <v>1</v>
      </c>
      <c r="C762" s="9" t="s">
        <v>2200</v>
      </c>
      <c r="D762" s="1" t="str">
        <f t="shared" si="42"/>
        <v>副手武器</v>
      </c>
      <c r="E762" s="1">
        <f>INDEX([1]游戏类型定义!$C$20:$C$29,MATCH(D762,[1]!装备部位,0))</f>
        <v>6</v>
      </c>
      <c r="F762" s="1">
        <v>3</v>
      </c>
      <c r="G762" s="1">
        <f t="shared" si="43"/>
        <v>20</v>
      </c>
      <c r="H762" s="10" t="s">
        <v>2320</v>
      </c>
      <c r="I762" s="1">
        <v>10000</v>
      </c>
      <c r="J762" s="1">
        <v>20</v>
      </c>
      <c r="K762" s="1">
        <v>0</v>
      </c>
      <c r="L762" s="1">
        <v>12500</v>
      </c>
      <c r="M762" s="1" t="s">
        <v>1864</v>
      </c>
      <c r="N762" s="1" t="s">
        <v>1066</v>
      </c>
      <c r="O762" s="1">
        <v>0</v>
      </c>
      <c r="P762" s="1" t="s">
        <v>2074</v>
      </c>
      <c r="Q762" s="7" t="s">
        <v>2373</v>
      </c>
    </row>
    <row r="763" spans="1:17" ht="14.25" thickBot="1">
      <c r="A763" s="1" t="s">
        <v>825</v>
      </c>
      <c r="B763" s="2">
        <v>0</v>
      </c>
      <c r="C763" s="9" t="s">
        <v>2044</v>
      </c>
      <c r="D763" s="1" t="str">
        <f t="shared" si="42"/>
        <v>副手武器</v>
      </c>
      <c r="E763" s="1">
        <f>INDEX([1]游戏类型定义!$C$20:$C$29,MATCH(D763,[1]!装备部位,0))</f>
        <v>6</v>
      </c>
      <c r="F763" s="1">
        <v>3</v>
      </c>
      <c r="G763" s="1">
        <f t="shared" si="43"/>
        <v>20</v>
      </c>
      <c r="H763" s="10" t="s">
        <v>2320</v>
      </c>
      <c r="I763" s="1">
        <v>11500</v>
      </c>
      <c r="J763" s="1">
        <v>20</v>
      </c>
      <c r="K763" s="1">
        <v>0</v>
      </c>
      <c r="L763" s="1">
        <v>15000</v>
      </c>
      <c r="M763" s="1" t="s">
        <v>1865</v>
      </c>
      <c r="N763" s="1" t="s">
        <v>1066</v>
      </c>
      <c r="O763" s="1">
        <v>0</v>
      </c>
      <c r="P763" s="1" t="s">
        <v>2074</v>
      </c>
      <c r="Q763" s="7" t="s">
        <v>2058</v>
      </c>
    </row>
    <row r="764" spans="1:17" ht="14.25" thickBot="1">
      <c r="A764" s="1" t="s">
        <v>826</v>
      </c>
      <c r="B764" s="3">
        <v>1</v>
      </c>
      <c r="C764" s="1" t="s">
        <v>2223</v>
      </c>
      <c r="D764" s="1" t="str">
        <f t="shared" si="42"/>
        <v>主手武器</v>
      </c>
      <c r="E764" s="1">
        <f>INDEX([1]游戏类型定义!$C$20:$C$29,MATCH(D764,[1]!装备部位,0))</f>
        <v>5</v>
      </c>
      <c r="F764" s="1">
        <v>3</v>
      </c>
      <c r="G764" s="1">
        <f t="shared" si="43"/>
        <v>20</v>
      </c>
      <c r="H764" s="10" t="s">
        <v>2321</v>
      </c>
      <c r="I764" s="1">
        <v>10000</v>
      </c>
      <c r="J764" s="1">
        <v>20</v>
      </c>
      <c r="K764" s="1">
        <v>0</v>
      </c>
      <c r="L764" s="1">
        <v>12500</v>
      </c>
      <c r="M764" s="1" t="s">
        <v>2018</v>
      </c>
      <c r="N764" s="1" t="s">
        <v>1066</v>
      </c>
      <c r="O764" s="1">
        <v>0</v>
      </c>
      <c r="P764" s="1" t="s">
        <v>2074</v>
      </c>
      <c r="Q764" s="7" t="s">
        <v>2374</v>
      </c>
    </row>
    <row r="765" spans="1:17" ht="14.25" thickBot="1">
      <c r="A765" s="1" t="s">
        <v>827</v>
      </c>
      <c r="B765" s="2">
        <v>0</v>
      </c>
      <c r="C765" s="1" t="s">
        <v>2040</v>
      </c>
      <c r="D765" s="1" t="str">
        <f t="shared" si="42"/>
        <v>主手武器</v>
      </c>
      <c r="E765" s="1">
        <f>INDEX([1]游戏类型定义!$C$20:$C$29,MATCH(D765,[1]!装备部位,0))</f>
        <v>5</v>
      </c>
      <c r="F765" s="1">
        <v>3</v>
      </c>
      <c r="G765" s="1">
        <f t="shared" si="43"/>
        <v>20</v>
      </c>
      <c r="H765" s="10" t="s">
        <v>2321</v>
      </c>
      <c r="I765" s="1">
        <v>11500</v>
      </c>
      <c r="J765" s="1">
        <v>20</v>
      </c>
      <c r="K765" s="1">
        <v>0</v>
      </c>
      <c r="L765" s="1">
        <v>15000</v>
      </c>
      <c r="M765" s="1" t="s">
        <v>2019</v>
      </c>
      <c r="N765" s="1" t="s">
        <v>1066</v>
      </c>
      <c r="O765" s="1">
        <v>0</v>
      </c>
      <c r="P765" s="1" t="s">
        <v>2074</v>
      </c>
      <c r="Q765" s="7" t="s">
        <v>2059</v>
      </c>
    </row>
    <row r="766" spans="1:17" ht="14.25" thickBot="1">
      <c r="A766" s="1" t="s">
        <v>828</v>
      </c>
      <c r="B766" s="3">
        <v>1</v>
      </c>
      <c r="C766" s="9" t="s">
        <v>2224</v>
      </c>
      <c r="D766" s="1" t="str">
        <f t="shared" si="42"/>
        <v>副手武器</v>
      </c>
      <c r="E766" s="1">
        <f>INDEX([1]游戏类型定义!$C$20:$C$29,MATCH(D766,[1]!装备部位,0))</f>
        <v>6</v>
      </c>
      <c r="F766" s="1">
        <v>3</v>
      </c>
      <c r="G766" s="1">
        <f t="shared" si="43"/>
        <v>20</v>
      </c>
      <c r="H766" s="10" t="s">
        <v>2321</v>
      </c>
      <c r="I766" s="1">
        <v>10000</v>
      </c>
      <c r="J766" s="1">
        <v>20</v>
      </c>
      <c r="K766" s="1">
        <v>0</v>
      </c>
      <c r="L766" s="1">
        <v>12500</v>
      </c>
      <c r="M766" s="1" t="s">
        <v>1866</v>
      </c>
      <c r="N766" s="1" t="s">
        <v>1066</v>
      </c>
      <c r="O766" s="1">
        <v>0</v>
      </c>
      <c r="P766" s="1" t="s">
        <v>2074</v>
      </c>
      <c r="Q766" s="7" t="s">
        <v>2375</v>
      </c>
    </row>
    <row r="767" spans="1:17" ht="14.25" thickBot="1">
      <c r="A767" s="1" t="s">
        <v>829</v>
      </c>
      <c r="B767" s="2">
        <v>0</v>
      </c>
      <c r="C767" s="9" t="s">
        <v>2042</v>
      </c>
      <c r="D767" s="1" t="str">
        <f t="shared" si="42"/>
        <v>副手武器</v>
      </c>
      <c r="E767" s="1">
        <f>INDEX([1]游戏类型定义!$C$20:$C$29,MATCH(D767,[1]!装备部位,0))</f>
        <v>6</v>
      </c>
      <c r="F767" s="1">
        <v>3</v>
      </c>
      <c r="G767" s="1">
        <f t="shared" si="43"/>
        <v>20</v>
      </c>
      <c r="H767" s="10" t="s">
        <v>2321</v>
      </c>
      <c r="I767" s="1">
        <v>11500</v>
      </c>
      <c r="J767" s="1">
        <v>20</v>
      </c>
      <c r="K767" s="1">
        <v>0</v>
      </c>
      <c r="L767" s="1">
        <v>15000</v>
      </c>
      <c r="M767" s="1" t="s">
        <v>1867</v>
      </c>
      <c r="N767" s="1" t="s">
        <v>1066</v>
      </c>
      <c r="O767" s="1">
        <v>0</v>
      </c>
      <c r="P767" s="1" t="s">
        <v>2074</v>
      </c>
      <c r="Q767" s="7" t="s">
        <v>2060</v>
      </c>
    </row>
    <row r="768" spans="1:17" ht="14.25" thickBot="1">
      <c r="A768" s="1" t="s">
        <v>830</v>
      </c>
      <c r="B768" s="3">
        <v>1</v>
      </c>
      <c r="C768" s="9" t="s">
        <v>2225</v>
      </c>
      <c r="D768" s="1" t="str">
        <f t="shared" si="42"/>
        <v>主手武器</v>
      </c>
      <c r="E768" s="1">
        <f>INDEX([1]游戏类型定义!$C$20:$C$29,MATCH(D768,[1]!装备部位,0))</f>
        <v>5</v>
      </c>
      <c r="F768" s="1">
        <v>3</v>
      </c>
      <c r="G768" s="1">
        <f t="shared" si="43"/>
        <v>20</v>
      </c>
      <c r="H768" s="10" t="s">
        <v>2322</v>
      </c>
      <c r="I768" s="1">
        <v>10000</v>
      </c>
      <c r="J768" s="1">
        <v>20</v>
      </c>
      <c r="K768" s="1">
        <v>0</v>
      </c>
      <c r="L768" s="1">
        <v>12500</v>
      </c>
      <c r="M768" s="1" t="s">
        <v>2018</v>
      </c>
      <c r="N768" s="1" t="s">
        <v>1066</v>
      </c>
      <c r="O768" s="1">
        <v>0</v>
      </c>
      <c r="P768" s="1" t="s">
        <v>2074</v>
      </c>
      <c r="Q768" s="7" t="s">
        <v>2376</v>
      </c>
    </row>
    <row r="769" spans="1:17" ht="14.25" thickBot="1">
      <c r="A769" s="1" t="s">
        <v>831</v>
      </c>
      <c r="B769" s="3">
        <v>1</v>
      </c>
      <c r="C769" s="9" t="s">
        <v>2226</v>
      </c>
      <c r="D769" s="1" t="str">
        <f t="shared" si="42"/>
        <v>主手武器</v>
      </c>
      <c r="E769" s="1">
        <f>INDEX([1]游戏类型定义!$C$20:$C$29,MATCH(D769,[1]!装备部位,0))</f>
        <v>5</v>
      </c>
      <c r="F769" s="1">
        <v>3</v>
      </c>
      <c r="G769" s="1">
        <f t="shared" si="43"/>
        <v>20</v>
      </c>
      <c r="H769" s="10" t="s">
        <v>2322</v>
      </c>
      <c r="I769" s="1">
        <v>11500</v>
      </c>
      <c r="J769" s="1">
        <v>20</v>
      </c>
      <c r="K769" s="1">
        <v>0</v>
      </c>
      <c r="L769" s="1">
        <v>15000</v>
      </c>
      <c r="M769" s="1" t="s">
        <v>2019</v>
      </c>
      <c r="N769" s="1" t="s">
        <v>1066</v>
      </c>
      <c r="O769" s="1">
        <v>0</v>
      </c>
      <c r="P769" s="1" t="s">
        <v>2074</v>
      </c>
      <c r="Q769" s="7" t="s">
        <v>2377</v>
      </c>
    </row>
    <row r="770" spans="1:17" ht="14.25" thickBot="1">
      <c r="A770" s="1" t="s">
        <v>832</v>
      </c>
      <c r="B770" s="3">
        <v>1</v>
      </c>
      <c r="C770" s="9" t="s">
        <v>2227</v>
      </c>
      <c r="D770" s="1" t="str">
        <f t="shared" si="42"/>
        <v>副手武器</v>
      </c>
      <c r="E770" s="1">
        <f>INDEX([1]游戏类型定义!$C$20:$C$29,MATCH(D770,[1]!装备部位,0))</f>
        <v>6</v>
      </c>
      <c r="F770" s="1">
        <v>3</v>
      </c>
      <c r="G770" s="1">
        <f t="shared" si="43"/>
        <v>20</v>
      </c>
      <c r="H770" s="10" t="s">
        <v>2322</v>
      </c>
      <c r="I770" s="1">
        <v>10000</v>
      </c>
      <c r="J770" s="1">
        <v>20</v>
      </c>
      <c r="K770" s="1">
        <v>0</v>
      </c>
      <c r="L770" s="1">
        <v>12500</v>
      </c>
      <c r="M770" s="1" t="s">
        <v>1868</v>
      </c>
      <c r="N770" s="1" t="s">
        <v>1066</v>
      </c>
      <c r="O770" s="1">
        <v>0</v>
      </c>
      <c r="P770" s="1" t="s">
        <v>2074</v>
      </c>
      <c r="Q770" s="7" t="s">
        <v>2378</v>
      </c>
    </row>
    <row r="771" spans="1:17" ht="14.25" thickBot="1">
      <c r="A771" s="1" t="s">
        <v>833</v>
      </c>
      <c r="B771" s="2">
        <v>0</v>
      </c>
      <c r="C771" s="9" t="s">
        <v>2050</v>
      </c>
      <c r="D771" s="1" t="str">
        <f t="shared" si="42"/>
        <v>副手武器</v>
      </c>
      <c r="E771" s="1">
        <f>INDEX([1]游戏类型定义!$C$20:$C$29,MATCH(D771,[1]!装备部位,0))</f>
        <v>6</v>
      </c>
      <c r="F771" s="1">
        <v>3</v>
      </c>
      <c r="G771" s="1">
        <f t="shared" si="43"/>
        <v>20</v>
      </c>
      <c r="H771" s="10" t="s">
        <v>2322</v>
      </c>
      <c r="I771" s="1">
        <v>11500</v>
      </c>
      <c r="J771" s="1">
        <v>20</v>
      </c>
      <c r="K771" s="1">
        <v>0</v>
      </c>
      <c r="L771" s="1">
        <v>15000</v>
      </c>
      <c r="M771" s="1" t="s">
        <v>1869</v>
      </c>
      <c r="N771" s="1" t="s">
        <v>1066</v>
      </c>
      <c r="O771" s="1">
        <v>0</v>
      </c>
      <c r="P771" s="1" t="s">
        <v>2074</v>
      </c>
      <c r="Q771" s="7" t="s">
        <v>2062</v>
      </c>
    </row>
    <row r="772" spans="1:17" ht="14.25" thickBot="1">
      <c r="A772" s="1" t="s">
        <v>834</v>
      </c>
      <c r="B772" s="3">
        <v>1</v>
      </c>
      <c r="C772" s="1" t="s">
        <v>2161</v>
      </c>
      <c r="D772" s="1" t="str">
        <f t="shared" si="42"/>
        <v>胸甲</v>
      </c>
      <c r="E772" s="1">
        <f>INDEX([1]游戏类型定义!$C$20:$C$29,MATCH(D772,[1]!装备部位,0))</f>
        <v>4</v>
      </c>
      <c r="F772" s="1">
        <v>3</v>
      </c>
      <c r="G772" s="1">
        <f t="shared" si="43"/>
        <v>20</v>
      </c>
      <c r="H772" s="10">
        <v>0</v>
      </c>
      <c r="I772" s="1">
        <v>10000</v>
      </c>
      <c r="J772" s="1">
        <v>20</v>
      </c>
      <c r="K772" s="1">
        <v>0</v>
      </c>
      <c r="L772" s="1">
        <v>12500</v>
      </c>
      <c r="M772" s="1" t="s">
        <v>1870</v>
      </c>
      <c r="N772" s="1" t="s">
        <v>1065</v>
      </c>
      <c r="O772" s="1">
        <v>0</v>
      </c>
      <c r="P772" s="1" t="s">
        <v>2074</v>
      </c>
      <c r="Q772" s="7" t="s">
        <v>2379</v>
      </c>
    </row>
    <row r="773" spans="1:17" ht="14.25" thickBot="1">
      <c r="A773" s="1" t="s">
        <v>835</v>
      </c>
      <c r="B773" s="3">
        <v>1</v>
      </c>
      <c r="C773" s="1" t="s">
        <v>2162</v>
      </c>
      <c r="D773" s="1" t="str">
        <f t="shared" si="42"/>
        <v>胸甲</v>
      </c>
      <c r="E773" s="1">
        <f>INDEX([1]游戏类型定义!$C$20:$C$29,MATCH(D773,[1]!装备部位,0))</f>
        <v>4</v>
      </c>
      <c r="F773" s="1">
        <v>3</v>
      </c>
      <c r="G773" s="1">
        <f t="shared" si="43"/>
        <v>20</v>
      </c>
      <c r="H773" s="10">
        <v>0</v>
      </c>
      <c r="I773" s="1">
        <v>11500</v>
      </c>
      <c r="J773" s="1">
        <v>20</v>
      </c>
      <c r="K773" s="1">
        <v>0</v>
      </c>
      <c r="L773" s="1">
        <v>15000</v>
      </c>
      <c r="M773" s="1" t="s">
        <v>1871</v>
      </c>
      <c r="N773" s="1" t="s">
        <v>1065</v>
      </c>
      <c r="O773" s="1">
        <v>0</v>
      </c>
      <c r="P773" s="1" t="s">
        <v>2074</v>
      </c>
      <c r="Q773" s="7" t="s">
        <v>2380</v>
      </c>
    </row>
    <row r="774" spans="1:17" ht="14.25" thickBot="1">
      <c r="A774" s="1" t="s">
        <v>836</v>
      </c>
      <c r="B774" s="3">
        <v>1</v>
      </c>
      <c r="C774" s="1" t="s">
        <v>2179</v>
      </c>
      <c r="D774" s="1" t="str">
        <f t="shared" si="42"/>
        <v>护腿</v>
      </c>
      <c r="E774" s="1">
        <f>INDEX([1]游戏类型定义!$C$20:$C$29,MATCH(D774,[1]!装备部位,0))</f>
        <v>7</v>
      </c>
      <c r="F774" s="1">
        <v>3</v>
      </c>
      <c r="G774" s="1">
        <f t="shared" si="43"/>
        <v>20</v>
      </c>
      <c r="H774" s="10">
        <v>0</v>
      </c>
      <c r="I774" s="1">
        <v>10000</v>
      </c>
      <c r="J774" s="1">
        <v>20</v>
      </c>
      <c r="K774" s="1">
        <v>0</v>
      </c>
      <c r="L774" s="1">
        <v>12500</v>
      </c>
      <c r="M774" s="1" t="s">
        <v>1872</v>
      </c>
      <c r="N774" s="1" t="s">
        <v>1065</v>
      </c>
      <c r="O774" s="1">
        <v>0</v>
      </c>
      <c r="P774" s="1" t="s">
        <v>2074</v>
      </c>
      <c r="Q774" s="7" t="s">
        <v>2381</v>
      </c>
    </row>
    <row r="775" spans="1:17" ht="14.25" thickBot="1">
      <c r="A775" s="1" t="s">
        <v>837</v>
      </c>
      <c r="B775" s="3">
        <v>1</v>
      </c>
      <c r="C775" s="1" t="s">
        <v>2180</v>
      </c>
      <c r="D775" s="1" t="str">
        <f t="shared" si="42"/>
        <v>护腿</v>
      </c>
      <c r="E775" s="1">
        <f>INDEX([1]游戏类型定义!$C$20:$C$29,MATCH(D775,[1]!装备部位,0))</f>
        <v>7</v>
      </c>
      <c r="F775" s="1">
        <v>3</v>
      </c>
      <c r="G775" s="1">
        <f t="shared" si="43"/>
        <v>20</v>
      </c>
      <c r="H775" s="10">
        <v>0</v>
      </c>
      <c r="I775" s="1">
        <v>11500</v>
      </c>
      <c r="J775" s="1">
        <v>20</v>
      </c>
      <c r="K775" s="1">
        <v>0</v>
      </c>
      <c r="L775" s="1">
        <v>15000</v>
      </c>
      <c r="M775" s="1" t="s">
        <v>1873</v>
      </c>
      <c r="N775" s="1" t="s">
        <v>1065</v>
      </c>
      <c r="O775" s="1">
        <v>0</v>
      </c>
      <c r="P775" s="1" t="s">
        <v>2074</v>
      </c>
      <c r="Q775" s="7" t="s">
        <v>2382</v>
      </c>
    </row>
    <row r="776" spans="1:17" ht="14.25" thickBot="1">
      <c r="A776" s="1" t="s">
        <v>838</v>
      </c>
      <c r="B776" s="3">
        <v>1</v>
      </c>
      <c r="C776" s="1" t="s">
        <v>2098</v>
      </c>
      <c r="D776" s="1" t="str">
        <f t="shared" ref="D776:D795" si="44">D446</f>
        <v>头盔</v>
      </c>
      <c r="E776" s="1">
        <f>INDEX([1]游戏类型定义!$C$20:$C$29,MATCH(D776,[1]!装备部位,0))</f>
        <v>1</v>
      </c>
      <c r="F776" s="1">
        <v>3</v>
      </c>
      <c r="G776" s="1">
        <f t="shared" ref="G776:G795" si="45">G446</f>
        <v>25</v>
      </c>
      <c r="H776" s="10">
        <v>0</v>
      </c>
      <c r="I776" s="1">
        <v>12500</v>
      </c>
      <c r="J776" s="1">
        <v>20</v>
      </c>
      <c r="K776" s="1">
        <v>0</v>
      </c>
      <c r="L776" s="1">
        <v>15000</v>
      </c>
      <c r="M776" s="1" t="s">
        <v>1874</v>
      </c>
      <c r="N776" s="1" t="s">
        <v>1067</v>
      </c>
      <c r="O776" s="1">
        <v>0</v>
      </c>
      <c r="P776" s="1" t="s">
        <v>2075</v>
      </c>
      <c r="Q776" s="7" t="s">
        <v>2383</v>
      </c>
    </row>
    <row r="777" spans="1:17" ht="14.25" thickBot="1">
      <c r="A777" s="1" t="s">
        <v>839</v>
      </c>
      <c r="B777" s="3">
        <v>1</v>
      </c>
      <c r="C777" s="1" t="s">
        <v>2112</v>
      </c>
      <c r="D777" s="1" t="str">
        <f t="shared" si="44"/>
        <v>戒指</v>
      </c>
      <c r="E777" s="1">
        <f>INDEX([1]游戏类型定义!$C$20:$C$29,MATCH(D777,[1]!装备部位,0))</f>
        <v>2</v>
      </c>
      <c r="F777" s="1">
        <v>3</v>
      </c>
      <c r="G777" s="1">
        <f t="shared" si="45"/>
        <v>25</v>
      </c>
      <c r="H777" s="10">
        <v>0</v>
      </c>
      <c r="I777" s="1">
        <v>12500</v>
      </c>
      <c r="J777" s="1">
        <v>20</v>
      </c>
      <c r="K777" s="1">
        <v>0</v>
      </c>
      <c r="L777" s="1">
        <v>15000</v>
      </c>
      <c r="M777" s="1" t="s">
        <v>1875</v>
      </c>
      <c r="N777" s="1" t="s">
        <v>1067</v>
      </c>
      <c r="O777" s="1">
        <v>0</v>
      </c>
      <c r="P777" s="1" t="s">
        <v>2075</v>
      </c>
      <c r="Q777" s="7" t="s">
        <v>2384</v>
      </c>
    </row>
    <row r="778" spans="1:17" ht="14.25" thickBot="1">
      <c r="A778" s="1" t="s">
        <v>840</v>
      </c>
      <c r="B778" s="3">
        <v>1</v>
      </c>
      <c r="C778" s="1" t="s">
        <v>2090</v>
      </c>
      <c r="D778" s="1" t="str">
        <f t="shared" si="44"/>
        <v>腰带</v>
      </c>
      <c r="E778" s="1">
        <f>INDEX([1]游戏类型定义!$C$20:$C$29,MATCH(D778,[1]!装备部位,0))</f>
        <v>3</v>
      </c>
      <c r="F778" s="1">
        <v>3</v>
      </c>
      <c r="G778" s="1">
        <f t="shared" si="45"/>
        <v>25</v>
      </c>
      <c r="H778" s="10">
        <v>0</v>
      </c>
      <c r="I778" s="1">
        <v>12500</v>
      </c>
      <c r="J778" s="1">
        <v>20</v>
      </c>
      <c r="K778" s="1">
        <v>0</v>
      </c>
      <c r="L778" s="1">
        <v>15000</v>
      </c>
      <c r="M778" s="1" t="s">
        <v>1876</v>
      </c>
      <c r="N778" s="1" t="s">
        <v>1067</v>
      </c>
      <c r="O778" s="1">
        <v>0</v>
      </c>
      <c r="P778" s="1" t="s">
        <v>2075</v>
      </c>
      <c r="Q778" s="7" t="s">
        <v>2385</v>
      </c>
    </row>
    <row r="779" spans="1:17" ht="14.25" thickBot="1">
      <c r="A779" s="1" t="s">
        <v>841</v>
      </c>
      <c r="B779" s="3">
        <v>1</v>
      </c>
      <c r="C779" s="1" t="s">
        <v>2122</v>
      </c>
      <c r="D779" s="1" t="str">
        <f t="shared" si="44"/>
        <v>鞋子</v>
      </c>
      <c r="E779" s="1">
        <f>INDEX([1]游戏类型定义!$C$20:$C$29,MATCH(D779,[1]!装备部位,0))</f>
        <v>8</v>
      </c>
      <c r="F779" s="1">
        <v>3</v>
      </c>
      <c r="G779" s="1">
        <f t="shared" si="45"/>
        <v>25</v>
      </c>
      <c r="H779" s="10">
        <v>0</v>
      </c>
      <c r="I779" s="1">
        <v>12500</v>
      </c>
      <c r="J779" s="1">
        <v>20</v>
      </c>
      <c r="K779" s="1">
        <v>0</v>
      </c>
      <c r="L779" s="1">
        <v>15000</v>
      </c>
      <c r="M779" s="1" t="s">
        <v>1861</v>
      </c>
      <c r="N779" s="1" t="s">
        <v>1067</v>
      </c>
      <c r="O779" s="1">
        <v>0</v>
      </c>
      <c r="P779" s="1" t="s">
        <v>2075</v>
      </c>
      <c r="Q779" s="7" t="s">
        <v>2386</v>
      </c>
    </row>
    <row r="780" spans="1:17" ht="14.25" thickBot="1">
      <c r="A780" s="1" t="s">
        <v>842</v>
      </c>
      <c r="B780" s="2">
        <v>0</v>
      </c>
      <c r="C780" s="1" t="s">
        <v>2035</v>
      </c>
      <c r="D780" s="1" t="str">
        <f t="shared" si="44"/>
        <v>手套</v>
      </c>
      <c r="E780" s="1">
        <f>INDEX([1]游戏类型定义!$C$20:$C$29,MATCH(D780,[1]!装备部位,0))</f>
        <v>9</v>
      </c>
      <c r="F780" s="1">
        <v>3</v>
      </c>
      <c r="G780" s="1">
        <f t="shared" si="45"/>
        <v>25</v>
      </c>
      <c r="H780" s="10">
        <v>0</v>
      </c>
      <c r="I780" s="1">
        <v>12500</v>
      </c>
      <c r="J780" s="1">
        <v>20</v>
      </c>
      <c r="K780" s="1">
        <v>0</v>
      </c>
      <c r="L780" s="1">
        <v>15000</v>
      </c>
      <c r="M780" s="1" t="s">
        <v>1877</v>
      </c>
      <c r="N780" s="1" t="s">
        <v>1067</v>
      </c>
      <c r="O780" s="1">
        <v>0</v>
      </c>
      <c r="P780" s="1" t="s">
        <v>2075</v>
      </c>
      <c r="Q780" s="7" t="s">
        <v>2055</v>
      </c>
    </row>
    <row r="781" spans="1:17" ht="14.25" thickBot="1">
      <c r="A781" s="1" t="s">
        <v>843</v>
      </c>
      <c r="B781" s="3">
        <v>1</v>
      </c>
      <c r="C781" s="1" t="s">
        <v>2148</v>
      </c>
      <c r="D781" s="1" t="str">
        <f t="shared" si="44"/>
        <v>项链</v>
      </c>
      <c r="E781" s="1">
        <f>INDEX([1]游戏类型定义!$C$20:$C$29,MATCH(D781,[1]!装备部位,0))</f>
        <v>10</v>
      </c>
      <c r="F781" s="1">
        <v>3</v>
      </c>
      <c r="G781" s="1">
        <f t="shared" si="45"/>
        <v>25</v>
      </c>
      <c r="H781" s="10">
        <v>0</v>
      </c>
      <c r="I781" s="1">
        <v>12500</v>
      </c>
      <c r="J781" s="1">
        <v>20</v>
      </c>
      <c r="K781" s="1">
        <v>0</v>
      </c>
      <c r="L781" s="1">
        <v>15000</v>
      </c>
      <c r="M781" s="1" t="s">
        <v>1878</v>
      </c>
      <c r="N781" s="1" t="s">
        <v>1067</v>
      </c>
      <c r="O781" s="1">
        <v>0</v>
      </c>
      <c r="P781" s="1" t="s">
        <v>2075</v>
      </c>
      <c r="Q781" s="7" t="s">
        <v>2387</v>
      </c>
    </row>
    <row r="782" spans="1:17" ht="14.25" thickBot="1">
      <c r="A782" s="1" t="s">
        <v>844</v>
      </c>
      <c r="B782" s="3">
        <v>1</v>
      </c>
      <c r="C782" s="9" t="s">
        <v>2312</v>
      </c>
      <c r="D782" s="1" t="str">
        <f t="shared" si="44"/>
        <v>主手武器</v>
      </c>
      <c r="E782" s="1">
        <f>INDEX([1]游戏类型定义!$C$20:$C$29,MATCH(D782,[1]!装备部位,0))</f>
        <v>5</v>
      </c>
      <c r="F782" s="1">
        <v>3</v>
      </c>
      <c r="G782" s="1">
        <f t="shared" si="45"/>
        <v>25</v>
      </c>
      <c r="H782" s="10" t="s">
        <v>2320</v>
      </c>
      <c r="I782" s="1">
        <v>12500</v>
      </c>
      <c r="J782" s="1">
        <v>20</v>
      </c>
      <c r="K782" s="1">
        <v>0</v>
      </c>
      <c r="L782" s="1">
        <v>15000</v>
      </c>
      <c r="M782" s="1" t="s">
        <v>1879</v>
      </c>
      <c r="N782" s="1" t="s">
        <v>1068</v>
      </c>
      <c r="O782" s="1">
        <v>0</v>
      </c>
      <c r="P782" s="1" t="s">
        <v>2075</v>
      </c>
      <c r="Q782" s="7" t="s">
        <v>2388</v>
      </c>
    </row>
    <row r="783" spans="1:17" ht="14.25" thickBot="1">
      <c r="A783" s="1" t="s">
        <v>845</v>
      </c>
      <c r="B783" s="3">
        <v>1</v>
      </c>
      <c r="C783" s="9" t="s">
        <v>2228</v>
      </c>
      <c r="D783" s="1" t="str">
        <f t="shared" si="44"/>
        <v>主手武器</v>
      </c>
      <c r="E783" s="1">
        <f>INDEX([1]游戏类型定义!$C$20:$C$29,MATCH(D783,[1]!装备部位,0))</f>
        <v>5</v>
      </c>
      <c r="F783" s="1">
        <v>3</v>
      </c>
      <c r="G783" s="1">
        <f t="shared" si="45"/>
        <v>25</v>
      </c>
      <c r="H783" s="10" t="s">
        <v>2320</v>
      </c>
      <c r="I783" s="1">
        <v>14000</v>
      </c>
      <c r="J783" s="1">
        <v>20</v>
      </c>
      <c r="K783" s="1">
        <v>0</v>
      </c>
      <c r="L783" s="1">
        <v>17500</v>
      </c>
      <c r="M783" s="1" t="s">
        <v>2020</v>
      </c>
      <c r="N783" s="1" t="s">
        <v>1068</v>
      </c>
      <c r="O783" s="1">
        <v>0</v>
      </c>
      <c r="P783" s="1" t="s">
        <v>2075</v>
      </c>
      <c r="Q783" s="7" t="s">
        <v>2389</v>
      </c>
    </row>
    <row r="784" spans="1:17" ht="14.25" thickBot="1">
      <c r="A784" s="1" t="s">
        <v>846</v>
      </c>
      <c r="B784" s="3">
        <v>1</v>
      </c>
      <c r="C784" s="9" t="s">
        <v>2229</v>
      </c>
      <c r="D784" s="1" t="str">
        <f t="shared" si="44"/>
        <v>副手武器</v>
      </c>
      <c r="E784" s="1">
        <f>INDEX([1]游戏类型定义!$C$20:$C$29,MATCH(D784,[1]!装备部位,0))</f>
        <v>6</v>
      </c>
      <c r="F784" s="1">
        <v>3</v>
      </c>
      <c r="G784" s="1">
        <f t="shared" si="45"/>
        <v>25</v>
      </c>
      <c r="H784" s="10" t="s">
        <v>2320</v>
      </c>
      <c r="I784" s="1">
        <v>12500</v>
      </c>
      <c r="J784" s="1">
        <v>20</v>
      </c>
      <c r="K784" s="1">
        <v>0</v>
      </c>
      <c r="L784" s="1">
        <v>15000</v>
      </c>
      <c r="M784" s="1" t="s">
        <v>1880</v>
      </c>
      <c r="N784" s="1" t="s">
        <v>1068</v>
      </c>
      <c r="O784" s="1">
        <v>0</v>
      </c>
      <c r="P784" s="1" t="s">
        <v>2075</v>
      </c>
      <c r="Q784" s="7" t="s">
        <v>2390</v>
      </c>
    </row>
    <row r="785" spans="1:17" ht="14.25" thickBot="1">
      <c r="A785" s="1" t="s">
        <v>847</v>
      </c>
      <c r="B785" s="2">
        <v>0</v>
      </c>
      <c r="C785" s="9" t="s">
        <v>2044</v>
      </c>
      <c r="D785" s="1" t="str">
        <f t="shared" si="44"/>
        <v>副手武器</v>
      </c>
      <c r="E785" s="1">
        <f>INDEX([1]游戏类型定义!$C$20:$C$29,MATCH(D785,[1]!装备部位,0))</f>
        <v>6</v>
      </c>
      <c r="F785" s="1">
        <v>3</v>
      </c>
      <c r="G785" s="1">
        <f t="shared" si="45"/>
        <v>25</v>
      </c>
      <c r="H785" s="10" t="s">
        <v>2320</v>
      </c>
      <c r="I785" s="1">
        <v>14000</v>
      </c>
      <c r="J785" s="1">
        <v>20</v>
      </c>
      <c r="K785" s="1">
        <v>0</v>
      </c>
      <c r="L785" s="1">
        <v>17500</v>
      </c>
      <c r="M785" s="1" t="s">
        <v>1881</v>
      </c>
      <c r="N785" s="1" t="s">
        <v>1068</v>
      </c>
      <c r="O785" s="1">
        <v>0</v>
      </c>
      <c r="P785" s="1" t="s">
        <v>2075</v>
      </c>
      <c r="Q785" s="7" t="s">
        <v>2058</v>
      </c>
    </row>
    <row r="786" spans="1:17" ht="14.25" thickBot="1">
      <c r="A786" s="1" t="s">
        <v>848</v>
      </c>
      <c r="B786" s="3">
        <v>1</v>
      </c>
      <c r="C786" s="1" t="s">
        <v>2230</v>
      </c>
      <c r="D786" s="1" t="str">
        <f t="shared" si="44"/>
        <v>主手武器</v>
      </c>
      <c r="E786" s="1">
        <f>INDEX([1]游戏类型定义!$C$20:$C$29,MATCH(D786,[1]!装备部位,0))</f>
        <v>5</v>
      </c>
      <c r="F786" s="1">
        <v>3</v>
      </c>
      <c r="G786" s="1">
        <f t="shared" si="45"/>
        <v>25</v>
      </c>
      <c r="H786" s="10" t="s">
        <v>2321</v>
      </c>
      <c r="I786" s="1">
        <v>12500</v>
      </c>
      <c r="J786" s="1">
        <v>20</v>
      </c>
      <c r="K786" s="1">
        <v>0</v>
      </c>
      <c r="L786" s="1">
        <v>15000</v>
      </c>
      <c r="M786" s="1" t="s">
        <v>1879</v>
      </c>
      <c r="N786" s="1" t="s">
        <v>1068</v>
      </c>
      <c r="O786" s="1">
        <v>0</v>
      </c>
      <c r="P786" s="1" t="s">
        <v>2075</v>
      </c>
      <c r="Q786" s="7" t="s">
        <v>2391</v>
      </c>
    </row>
    <row r="787" spans="1:17" ht="14.25" thickBot="1">
      <c r="A787" s="1" t="s">
        <v>849</v>
      </c>
      <c r="B787" s="3">
        <v>1</v>
      </c>
      <c r="C787" s="1" t="s">
        <v>2311</v>
      </c>
      <c r="D787" s="1" t="str">
        <f t="shared" si="44"/>
        <v>主手武器</v>
      </c>
      <c r="E787" s="1">
        <f>INDEX([1]游戏类型定义!$C$20:$C$29,MATCH(D787,[1]!装备部位,0))</f>
        <v>5</v>
      </c>
      <c r="F787" s="1">
        <v>3</v>
      </c>
      <c r="G787" s="1">
        <f t="shared" si="45"/>
        <v>25</v>
      </c>
      <c r="H787" s="10" t="s">
        <v>2321</v>
      </c>
      <c r="I787" s="1">
        <v>14000</v>
      </c>
      <c r="J787" s="1">
        <v>20</v>
      </c>
      <c r="K787" s="1">
        <v>0</v>
      </c>
      <c r="L787" s="1">
        <v>17500</v>
      </c>
      <c r="M787" s="1" t="s">
        <v>2020</v>
      </c>
      <c r="N787" s="1" t="s">
        <v>1068</v>
      </c>
      <c r="O787" s="1">
        <v>0</v>
      </c>
      <c r="P787" s="1" t="s">
        <v>2075</v>
      </c>
      <c r="Q787" s="7" t="s">
        <v>2392</v>
      </c>
    </row>
    <row r="788" spans="1:17" ht="14.25" thickBot="1">
      <c r="A788" s="1" t="s">
        <v>850</v>
      </c>
      <c r="B788" s="3">
        <v>1</v>
      </c>
      <c r="C788" s="9" t="s">
        <v>2231</v>
      </c>
      <c r="D788" s="1" t="str">
        <f t="shared" si="44"/>
        <v>副手武器</v>
      </c>
      <c r="E788" s="1">
        <f>INDEX([1]游戏类型定义!$C$20:$C$29,MATCH(D788,[1]!装备部位,0))</f>
        <v>6</v>
      </c>
      <c r="F788" s="1">
        <v>3</v>
      </c>
      <c r="G788" s="1">
        <f t="shared" si="45"/>
        <v>25</v>
      </c>
      <c r="H788" s="10" t="s">
        <v>2321</v>
      </c>
      <c r="I788" s="1">
        <v>12500</v>
      </c>
      <c r="J788" s="1">
        <v>20</v>
      </c>
      <c r="K788" s="1">
        <v>0</v>
      </c>
      <c r="L788" s="1">
        <v>15000</v>
      </c>
      <c r="M788" s="1" t="s">
        <v>1882</v>
      </c>
      <c r="N788" s="1" t="s">
        <v>1068</v>
      </c>
      <c r="O788" s="1">
        <v>0</v>
      </c>
      <c r="P788" s="1" t="s">
        <v>2075</v>
      </c>
      <c r="Q788" s="7" t="s">
        <v>2393</v>
      </c>
    </row>
    <row r="789" spans="1:17" ht="14.25" thickBot="1">
      <c r="A789" s="1" t="s">
        <v>851</v>
      </c>
      <c r="B789" s="2">
        <v>0</v>
      </c>
      <c r="C789" s="9" t="s">
        <v>2042</v>
      </c>
      <c r="D789" s="1" t="str">
        <f t="shared" si="44"/>
        <v>副手武器</v>
      </c>
      <c r="E789" s="1">
        <f>INDEX([1]游戏类型定义!$C$20:$C$29,MATCH(D789,[1]!装备部位,0))</f>
        <v>6</v>
      </c>
      <c r="F789" s="1">
        <v>3</v>
      </c>
      <c r="G789" s="1">
        <f t="shared" si="45"/>
        <v>25</v>
      </c>
      <c r="H789" s="10" t="s">
        <v>2321</v>
      </c>
      <c r="I789" s="1">
        <v>14000</v>
      </c>
      <c r="J789" s="1">
        <v>20</v>
      </c>
      <c r="K789" s="1">
        <v>0</v>
      </c>
      <c r="L789" s="1">
        <v>17500</v>
      </c>
      <c r="M789" s="1" t="s">
        <v>1883</v>
      </c>
      <c r="N789" s="1" t="s">
        <v>1068</v>
      </c>
      <c r="O789" s="1">
        <v>0</v>
      </c>
      <c r="P789" s="1" t="s">
        <v>2075</v>
      </c>
      <c r="Q789" s="7" t="s">
        <v>2060</v>
      </c>
    </row>
    <row r="790" spans="1:17" ht="14.25" thickBot="1">
      <c r="A790" s="1" t="s">
        <v>852</v>
      </c>
      <c r="B790" s="3">
        <v>1</v>
      </c>
      <c r="C790" s="9" t="s">
        <v>2233</v>
      </c>
      <c r="D790" s="1" t="str">
        <f t="shared" si="44"/>
        <v>主手武器</v>
      </c>
      <c r="E790" s="1">
        <f>INDEX([1]游戏类型定义!$C$20:$C$29,MATCH(D790,[1]!装备部位,0))</f>
        <v>5</v>
      </c>
      <c r="F790" s="1">
        <v>3</v>
      </c>
      <c r="G790" s="1">
        <f t="shared" si="45"/>
        <v>25</v>
      </c>
      <c r="H790" s="10" t="s">
        <v>2322</v>
      </c>
      <c r="I790" s="1">
        <v>12500</v>
      </c>
      <c r="J790" s="1">
        <v>20</v>
      </c>
      <c r="K790" s="1">
        <v>0</v>
      </c>
      <c r="L790" s="1">
        <v>15000</v>
      </c>
      <c r="M790" s="1" t="s">
        <v>1879</v>
      </c>
      <c r="N790" s="1" t="s">
        <v>1068</v>
      </c>
      <c r="O790" s="1">
        <v>0</v>
      </c>
      <c r="P790" s="1" t="s">
        <v>2075</v>
      </c>
      <c r="Q790" s="7" t="s">
        <v>2394</v>
      </c>
    </row>
    <row r="791" spans="1:17" ht="14.25" thickBot="1">
      <c r="A791" s="1" t="s">
        <v>853</v>
      </c>
      <c r="B791" s="2">
        <v>0</v>
      </c>
      <c r="C791" s="9" t="s">
        <v>2232</v>
      </c>
      <c r="D791" s="1" t="str">
        <f t="shared" si="44"/>
        <v>主手武器</v>
      </c>
      <c r="E791" s="1">
        <f>INDEX([1]游戏类型定义!$C$20:$C$29,MATCH(D791,[1]!装备部位,0))</f>
        <v>5</v>
      </c>
      <c r="F791" s="1">
        <v>3</v>
      </c>
      <c r="G791" s="1">
        <f t="shared" si="45"/>
        <v>25</v>
      </c>
      <c r="H791" s="10" t="s">
        <v>2322</v>
      </c>
      <c r="I791" s="1">
        <v>14000</v>
      </c>
      <c r="J791" s="1">
        <v>20</v>
      </c>
      <c r="K791" s="1">
        <v>0</v>
      </c>
      <c r="L791" s="1">
        <v>17500</v>
      </c>
      <c r="M791" s="1" t="s">
        <v>2020</v>
      </c>
      <c r="N791" s="1" t="s">
        <v>1068</v>
      </c>
      <c r="O791" s="1">
        <v>0</v>
      </c>
      <c r="P791" s="1" t="s">
        <v>2075</v>
      </c>
      <c r="Q791" s="7" t="s">
        <v>2395</v>
      </c>
    </row>
    <row r="792" spans="1:17" ht="14.25" thickBot="1">
      <c r="A792" s="1" t="s">
        <v>854</v>
      </c>
      <c r="B792" s="3">
        <v>1</v>
      </c>
      <c r="C792" s="9" t="s">
        <v>2234</v>
      </c>
      <c r="D792" s="1" t="str">
        <f t="shared" si="44"/>
        <v>副手武器</v>
      </c>
      <c r="E792" s="1">
        <f>INDEX([1]游戏类型定义!$C$20:$C$29,MATCH(D792,[1]!装备部位,0))</f>
        <v>6</v>
      </c>
      <c r="F792" s="1">
        <v>3</v>
      </c>
      <c r="G792" s="1">
        <f t="shared" si="45"/>
        <v>25</v>
      </c>
      <c r="H792" s="10" t="s">
        <v>2322</v>
      </c>
      <c r="I792" s="1">
        <v>12500</v>
      </c>
      <c r="J792" s="1">
        <v>20</v>
      </c>
      <c r="K792" s="1">
        <v>0</v>
      </c>
      <c r="L792" s="1">
        <v>15000</v>
      </c>
      <c r="M792" s="1" t="s">
        <v>1884</v>
      </c>
      <c r="N792" s="1" t="s">
        <v>1068</v>
      </c>
      <c r="O792" s="1">
        <v>0</v>
      </c>
      <c r="P792" s="1" t="s">
        <v>2075</v>
      </c>
      <c r="Q792" s="7" t="s">
        <v>2396</v>
      </c>
    </row>
    <row r="793" spans="1:17" ht="14.25" thickBot="1">
      <c r="A793" s="1" t="s">
        <v>855</v>
      </c>
      <c r="B793" s="2">
        <v>0</v>
      </c>
      <c r="C793" s="9" t="s">
        <v>2050</v>
      </c>
      <c r="D793" s="1" t="str">
        <f t="shared" si="44"/>
        <v>副手武器</v>
      </c>
      <c r="E793" s="1">
        <f>INDEX([1]游戏类型定义!$C$20:$C$29,MATCH(D793,[1]!装备部位,0))</f>
        <v>6</v>
      </c>
      <c r="F793" s="1">
        <v>3</v>
      </c>
      <c r="G793" s="1">
        <f t="shared" si="45"/>
        <v>25</v>
      </c>
      <c r="H793" s="10" t="s">
        <v>2322</v>
      </c>
      <c r="I793" s="1">
        <v>14000</v>
      </c>
      <c r="J793" s="1">
        <v>20</v>
      </c>
      <c r="K793" s="1">
        <v>0</v>
      </c>
      <c r="L793" s="1">
        <v>17500</v>
      </c>
      <c r="M793" s="1" t="s">
        <v>1885</v>
      </c>
      <c r="N793" s="1" t="s">
        <v>1068</v>
      </c>
      <c r="O793" s="1">
        <v>0</v>
      </c>
      <c r="P793" s="1" t="s">
        <v>2075</v>
      </c>
      <c r="Q793" s="7" t="s">
        <v>2062</v>
      </c>
    </row>
    <row r="794" spans="1:17" ht="14.25" thickBot="1">
      <c r="A794" s="1" t="s">
        <v>856</v>
      </c>
      <c r="B794" s="3">
        <v>1</v>
      </c>
      <c r="C794" s="1" t="s">
        <v>2163</v>
      </c>
      <c r="D794" s="1" t="str">
        <f t="shared" si="44"/>
        <v>胸甲</v>
      </c>
      <c r="E794" s="1">
        <f>INDEX([1]游戏类型定义!$C$20:$C$29,MATCH(D794,[1]!装备部位,0))</f>
        <v>4</v>
      </c>
      <c r="F794" s="1">
        <v>3</v>
      </c>
      <c r="G794" s="1">
        <f t="shared" si="45"/>
        <v>25</v>
      </c>
      <c r="H794" s="10">
        <v>0</v>
      </c>
      <c r="I794" s="1">
        <v>12500</v>
      </c>
      <c r="J794" s="1">
        <v>20</v>
      </c>
      <c r="K794" s="1">
        <v>0</v>
      </c>
      <c r="L794" s="1">
        <v>15000</v>
      </c>
      <c r="M794" s="1" t="s">
        <v>1886</v>
      </c>
      <c r="N794" s="1" t="s">
        <v>1067</v>
      </c>
      <c r="O794" s="1">
        <v>0</v>
      </c>
      <c r="P794" s="1" t="s">
        <v>2075</v>
      </c>
      <c r="Q794" s="7" t="s">
        <v>2397</v>
      </c>
    </row>
    <row r="795" spans="1:17" ht="14.25" thickBot="1">
      <c r="A795" s="1" t="s">
        <v>857</v>
      </c>
      <c r="B795" s="2">
        <v>0</v>
      </c>
      <c r="C795" s="1" t="s">
        <v>2030</v>
      </c>
      <c r="D795" s="1" t="str">
        <f t="shared" si="44"/>
        <v>胸甲</v>
      </c>
      <c r="E795" s="1">
        <f>INDEX([1]游戏类型定义!$C$20:$C$29,MATCH(D795,[1]!装备部位,0))</f>
        <v>4</v>
      </c>
      <c r="F795" s="1">
        <v>3</v>
      </c>
      <c r="G795" s="1">
        <f t="shared" si="45"/>
        <v>25</v>
      </c>
      <c r="H795" s="10">
        <v>0</v>
      </c>
      <c r="I795" s="1">
        <v>14000</v>
      </c>
      <c r="J795" s="1">
        <v>20</v>
      </c>
      <c r="K795" s="1">
        <v>0</v>
      </c>
      <c r="L795" s="1">
        <v>17500</v>
      </c>
      <c r="M795" s="1" t="s">
        <v>1887</v>
      </c>
      <c r="N795" s="1" t="s">
        <v>1067</v>
      </c>
      <c r="O795" s="1">
        <v>0</v>
      </c>
      <c r="P795" s="1" t="s">
        <v>2075</v>
      </c>
      <c r="Q795" s="7" t="s">
        <v>2063</v>
      </c>
    </row>
    <row r="796" spans="1:17" ht="14.25" thickBot="1">
      <c r="A796" s="1" t="s">
        <v>858</v>
      </c>
      <c r="B796" s="3">
        <v>1</v>
      </c>
      <c r="C796" s="1" t="s">
        <v>2181</v>
      </c>
      <c r="D796" s="1" t="str">
        <f t="shared" ref="D796:D815" si="46">D466</f>
        <v>护腿</v>
      </c>
      <c r="E796" s="1">
        <f>INDEX([1]游戏类型定义!$C$20:$C$29,MATCH(D796,[1]!装备部位,0))</f>
        <v>7</v>
      </c>
      <c r="F796" s="1">
        <v>3</v>
      </c>
      <c r="G796" s="1">
        <f t="shared" ref="G796:G815" si="47">G466</f>
        <v>25</v>
      </c>
      <c r="H796" s="10">
        <v>0</v>
      </c>
      <c r="I796" s="1">
        <v>12500</v>
      </c>
      <c r="J796" s="1">
        <v>20</v>
      </c>
      <c r="K796" s="1">
        <v>0</v>
      </c>
      <c r="L796" s="1">
        <v>15000</v>
      </c>
      <c r="M796" s="1" t="s">
        <v>1888</v>
      </c>
      <c r="N796" s="1" t="s">
        <v>1067</v>
      </c>
      <c r="O796" s="1">
        <v>0</v>
      </c>
      <c r="P796" s="1" t="s">
        <v>2075</v>
      </c>
      <c r="Q796" s="7" t="s">
        <v>2398</v>
      </c>
    </row>
    <row r="797" spans="1:17" ht="14.25" thickBot="1">
      <c r="A797" s="1" t="s">
        <v>859</v>
      </c>
      <c r="B797" s="2">
        <v>0</v>
      </c>
      <c r="C797" s="1" t="s">
        <v>2038</v>
      </c>
      <c r="D797" s="1" t="str">
        <f t="shared" si="46"/>
        <v>护腿</v>
      </c>
      <c r="E797" s="1">
        <f>INDEX([1]游戏类型定义!$C$20:$C$29,MATCH(D797,[1]!装备部位,0))</f>
        <v>7</v>
      </c>
      <c r="F797" s="1">
        <v>3</v>
      </c>
      <c r="G797" s="1">
        <f t="shared" si="47"/>
        <v>25</v>
      </c>
      <c r="H797" s="10">
        <v>0</v>
      </c>
      <c r="I797" s="1">
        <v>14000</v>
      </c>
      <c r="J797" s="1">
        <v>20</v>
      </c>
      <c r="K797" s="1">
        <v>0</v>
      </c>
      <c r="L797" s="1">
        <v>17500</v>
      </c>
      <c r="M797" s="1" t="s">
        <v>1889</v>
      </c>
      <c r="N797" s="1" t="s">
        <v>1067</v>
      </c>
      <c r="O797" s="1">
        <v>0</v>
      </c>
      <c r="P797" s="1" t="s">
        <v>2075</v>
      </c>
      <c r="Q797" s="7" t="s">
        <v>2064</v>
      </c>
    </row>
    <row r="798" spans="1:17" ht="14.25" thickBot="1">
      <c r="A798" s="1" t="s">
        <v>860</v>
      </c>
      <c r="B798" s="3">
        <v>1</v>
      </c>
      <c r="C798" s="1" t="s">
        <v>2099</v>
      </c>
      <c r="D798" s="1" t="str">
        <f t="shared" si="46"/>
        <v>头盔</v>
      </c>
      <c r="E798" s="1">
        <f>INDEX([1]游戏类型定义!$C$20:$C$29,MATCH(D798,[1]!装备部位,0))</f>
        <v>1</v>
      </c>
      <c r="F798" s="1">
        <v>3</v>
      </c>
      <c r="G798" s="1">
        <f t="shared" si="47"/>
        <v>30</v>
      </c>
      <c r="H798" s="10">
        <v>0</v>
      </c>
      <c r="I798" s="1">
        <v>15000</v>
      </c>
      <c r="J798" s="1">
        <v>20</v>
      </c>
      <c r="K798" s="1">
        <v>0</v>
      </c>
      <c r="L798" s="1">
        <v>17500</v>
      </c>
      <c r="M798" s="1" t="s">
        <v>1890</v>
      </c>
      <c r="N798" s="1" t="s">
        <v>1069</v>
      </c>
      <c r="O798" s="1">
        <v>0</v>
      </c>
      <c r="P798" s="1" t="s">
        <v>2076</v>
      </c>
      <c r="Q798" s="7" t="s">
        <v>2399</v>
      </c>
    </row>
    <row r="799" spans="1:17" ht="14.25" thickBot="1">
      <c r="A799" s="1" t="s">
        <v>861</v>
      </c>
      <c r="B799" s="3">
        <v>1</v>
      </c>
      <c r="C799" s="1" t="s">
        <v>2111</v>
      </c>
      <c r="D799" s="1" t="str">
        <f t="shared" si="46"/>
        <v>戒指</v>
      </c>
      <c r="E799" s="1">
        <f>INDEX([1]游戏类型定义!$C$20:$C$29,MATCH(D799,[1]!装备部位,0))</f>
        <v>2</v>
      </c>
      <c r="F799" s="1">
        <v>3</v>
      </c>
      <c r="G799" s="1">
        <f t="shared" si="47"/>
        <v>30</v>
      </c>
      <c r="H799" s="10">
        <v>0</v>
      </c>
      <c r="I799" s="1">
        <v>15000</v>
      </c>
      <c r="J799" s="1">
        <v>20</v>
      </c>
      <c r="K799" s="1">
        <v>0</v>
      </c>
      <c r="L799" s="1">
        <v>17500</v>
      </c>
      <c r="M799" s="1" t="s">
        <v>1891</v>
      </c>
      <c r="N799" s="1" t="s">
        <v>1069</v>
      </c>
      <c r="O799" s="1">
        <v>0</v>
      </c>
      <c r="P799" s="1" t="s">
        <v>2076</v>
      </c>
      <c r="Q799" s="7" t="s">
        <v>2400</v>
      </c>
    </row>
    <row r="800" spans="1:17" ht="14.25" thickBot="1">
      <c r="A800" s="1" t="s">
        <v>862</v>
      </c>
      <c r="B800" s="2">
        <v>0</v>
      </c>
      <c r="C800" s="1" t="s">
        <v>2094</v>
      </c>
      <c r="D800" s="1" t="str">
        <f t="shared" si="46"/>
        <v>腰带</v>
      </c>
      <c r="E800" s="1">
        <f>INDEX([1]游戏类型定义!$C$20:$C$29,MATCH(D800,[1]!装备部位,0))</f>
        <v>3</v>
      </c>
      <c r="F800" s="1">
        <v>3</v>
      </c>
      <c r="G800" s="1">
        <f t="shared" si="47"/>
        <v>30</v>
      </c>
      <c r="H800" s="10">
        <v>0</v>
      </c>
      <c r="I800" s="1">
        <v>15000</v>
      </c>
      <c r="J800" s="1">
        <v>20</v>
      </c>
      <c r="K800" s="1">
        <v>0</v>
      </c>
      <c r="L800" s="1">
        <v>17500</v>
      </c>
      <c r="M800" s="1" t="s">
        <v>1876</v>
      </c>
      <c r="N800" s="1" t="s">
        <v>1069</v>
      </c>
      <c r="O800" s="1">
        <v>0</v>
      </c>
      <c r="P800" s="1" t="s">
        <v>2076</v>
      </c>
      <c r="Q800" s="7" t="s">
        <v>2053</v>
      </c>
    </row>
    <row r="801" spans="1:17" ht="14.25" thickBot="1">
      <c r="A801" s="1" t="s">
        <v>863</v>
      </c>
      <c r="B801" s="3">
        <v>1</v>
      </c>
      <c r="C801" s="1" t="s">
        <v>2123</v>
      </c>
      <c r="D801" s="1" t="str">
        <f t="shared" si="46"/>
        <v>鞋子</v>
      </c>
      <c r="E801" s="1">
        <f>INDEX([1]游戏类型定义!$C$20:$C$29,MATCH(D801,[1]!装备部位,0))</f>
        <v>8</v>
      </c>
      <c r="F801" s="1">
        <v>3</v>
      </c>
      <c r="G801" s="1">
        <f t="shared" si="47"/>
        <v>30</v>
      </c>
      <c r="H801" s="10">
        <v>0</v>
      </c>
      <c r="I801" s="1">
        <v>15000</v>
      </c>
      <c r="J801" s="1">
        <v>20</v>
      </c>
      <c r="K801" s="1">
        <v>0</v>
      </c>
      <c r="L801" s="1">
        <v>17500</v>
      </c>
      <c r="M801" s="1" t="s">
        <v>1892</v>
      </c>
      <c r="N801" s="1" t="s">
        <v>1069</v>
      </c>
      <c r="O801" s="1">
        <v>0</v>
      </c>
      <c r="P801" s="1" t="s">
        <v>2076</v>
      </c>
      <c r="Q801" s="7" t="s">
        <v>2401</v>
      </c>
    </row>
    <row r="802" spans="1:17" ht="14.25" thickBot="1">
      <c r="A802" s="1" t="s">
        <v>864</v>
      </c>
      <c r="B802" s="3">
        <v>1</v>
      </c>
      <c r="C802" s="1" t="s">
        <v>2135</v>
      </c>
      <c r="D802" s="1" t="str">
        <f t="shared" si="46"/>
        <v>手套</v>
      </c>
      <c r="E802" s="1">
        <f>INDEX([1]游戏类型定义!$C$20:$C$29,MATCH(D802,[1]!装备部位,0))</f>
        <v>9</v>
      </c>
      <c r="F802" s="1">
        <v>3</v>
      </c>
      <c r="G802" s="1">
        <f t="shared" si="47"/>
        <v>30</v>
      </c>
      <c r="H802" s="10">
        <v>0</v>
      </c>
      <c r="I802" s="1">
        <v>15000</v>
      </c>
      <c r="J802" s="1">
        <v>20</v>
      </c>
      <c r="K802" s="1">
        <v>0</v>
      </c>
      <c r="L802" s="1">
        <v>17500</v>
      </c>
      <c r="M802" s="1" t="s">
        <v>1893</v>
      </c>
      <c r="N802" s="1" t="s">
        <v>1069</v>
      </c>
      <c r="O802" s="1">
        <v>0</v>
      </c>
      <c r="P802" s="1" t="s">
        <v>2076</v>
      </c>
      <c r="Q802" s="7" t="s">
        <v>2402</v>
      </c>
    </row>
    <row r="803" spans="1:17" ht="14.25" thickBot="1">
      <c r="A803" s="1" t="s">
        <v>865</v>
      </c>
      <c r="B803" s="3">
        <v>1</v>
      </c>
      <c r="C803" s="1" t="s">
        <v>2149</v>
      </c>
      <c r="D803" s="1" t="str">
        <f t="shared" si="46"/>
        <v>项链</v>
      </c>
      <c r="E803" s="1">
        <f>INDEX([1]游戏类型定义!$C$20:$C$29,MATCH(D803,[1]!装备部位,0))</f>
        <v>10</v>
      </c>
      <c r="F803" s="1">
        <v>3</v>
      </c>
      <c r="G803" s="1">
        <f t="shared" si="47"/>
        <v>30</v>
      </c>
      <c r="H803" s="10">
        <v>0</v>
      </c>
      <c r="I803" s="1">
        <v>15000</v>
      </c>
      <c r="J803" s="1">
        <v>20</v>
      </c>
      <c r="K803" s="1">
        <v>0</v>
      </c>
      <c r="L803" s="1">
        <v>17500</v>
      </c>
      <c r="M803" s="1" t="s">
        <v>1894</v>
      </c>
      <c r="N803" s="1" t="s">
        <v>1069</v>
      </c>
      <c r="O803" s="1">
        <v>0</v>
      </c>
      <c r="P803" s="1" t="s">
        <v>2076</v>
      </c>
      <c r="Q803" s="7" t="s">
        <v>2403</v>
      </c>
    </row>
    <row r="804" spans="1:17" ht="14.25" thickBot="1">
      <c r="A804" s="1" t="s">
        <v>866</v>
      </c>
      <c r="B804" s="3">
        <v>1</v>
      </c>
      <c r="C804" s="9" t="s">
        <v>2313</v>
      </c>
      <c r="D804" s="1" t="str">
        <f t="shared" si="46"/>
        <v>主手武器</v>
      </c>
      <c r="E804" s="1">
        <f>INDEX([1]游戏类型定义!$C$20:$C$29,MATCH(D804,[1]!装备部位,0))</f>
        <v>5</v>
      </c>
      <c r="F804" s="1">
        <v>3</v>
      </c>
      <c r="G804" s="1">
        <f t="shared" si="47"/>
        <v>30</v>
      </c>
      <c r="H804" s="10" t="s">
        <v>2320</v>
      </c>
      <c r="I804" s="1">
        <v>15000</v>
      </c>
      <c r="J804" s="1">
        <v>20</v>
      </c>
      <c r="K804" s="1">
        <v>0</v>
      </c>
      <c r="L804" s="1">
        <v>17500</v>
      </c>
      <c r="M804" s="1" t="s">
        <v>1895</v>
      </c>
      <c r="N804" s="1" t="s">
        <v>1070</v>
      </c>
      <c r="O804" s="1">
        <v>0</v>
      </c>
      <c r="P804" s="1" t="s">
        <v>2076</v>
      </c>
      <c r="Q804" s="7" t="s">
        <v>2404</v>
      </c>
    </row>
    <row r="805" spans="1:17" ht="14.25" thickBot="1">
      <c r="A805" s="1" t="s">
        <v>867</v>
      </c>
      <c r="B805" s="3">
        <v>1</v>
      </c>
      <c r="C805" s="9" t="s">
        <v>2235</v>
      </c>
      <c r="D805" s="1" t="str">
        <f t="shared" si="46"/>
        <v>主手武器</v>
      </c>
      <c r="E805" s="1">
        <f>INDEX([1]游戏类型定义!$C$20:$C$29,MATCH(D805,[1]!装备部位,0))</f>
        <v>5</v>
      </c>
      <c r="F805" s="1">
        <v>3</v>
      </c>
      <c r="G805" s="1">
        <f t="shared" si="47"/>
        <v>30</v>
      </c>
      <c r="H805" s="10" t="s">
        <v>2320</v>
      </c>
      <c r="I805" s="1">
        <v>16500</v>
      </c>
      <c r="J805" s="1">
        <v>20</v>
      </c>
      <c r="K805" s="1">
        <v>0</v>
      </c>
      <c r="L805" s="1">
        <v>20000</v>
      </c>
      <c r="M805" s="1" t="s">
        <v>2021</v>
      </c>
      <c r="N805" s="1" t="s">
        <v>1070</v>
      </c>
      <c r="O805" s="1">
        <v>0</v>
      </c>
      <c r="P805" s="1" t="s">
        <v>2076</v>
      </c>
      <c r="Q805" s="7" t="s">
        <v>2405</v>
      </c>
    </row>
    <row r="806" spans="1:17" ht="14.25" thickBot="1">
      <c r="A806" s="1" t="s">
        <v>868</v>
      </c>
      <c r="B806" s="3">
        <v>1</v>
      </c>
      <c r="C806" s="9" t="s">
        <v>2236</v>
      </c>
      <c r="D806" s="1" t="str">
        <f t="shared" si="46"/>
        <v>副手武器</v>
      </c>
      <c r="E806" s="1">
        <f>INDEX([1]游戏类型定义!$C$20:$C$29,MATCH(D806,[1]!装备部位,0))</f>
        <v>6</v>
      </c>
      <c r="F806" s="1">
        <v>3</v>
      </c>
      <c r="G806" s="1">
        <f t="shared" si="47"/>
        <v>30</v>
      </c>
      <c r="H806" s="10" t="s">
        <v>2320</v>
      </c>
      <c r="I806" s="1">
        <v>15000</v>
      </c>
      <c r="J806" s="1">
        <v>20</v>
      </c>
      <c r="K806" s="1">
        <v>0</v>
      </c>
      <c r="L806" s="1">
        <v>17500</v>
      </c>
      <c r="M806" s="1" t="s">
        <v>1896</v>
      </c>
      <c r="N806" s="1" t="s">
        <v>1070</v>
      </c>
      <c r="O806" s="1">
        <v>0</v>
      </c>
      <c r="P806" s="1" t="s">
        <v>2076</v>
      </c>
      <c r="Q806" s="7" t="s">
        <v>2406</v>
      </c>
    </row>
    <row r="807" spans="1:17" ht="14.25" thickBot="1">
      <c r="A807" s="1" t="s">
        <v>869</v>
      </c>
      <c r="B807" s="2">
        <v>0</v>
      </c>
      <c r="C807" s="9" t="s">
        <v>2237</v>
      </c>
      <c r="D807" s="1" t="str">
        <f t="shared" si="46"/>
        <v>副手武器</v>
      </c>
      <c r="E807" s="1">
        <f>INDEX([1]游戏类型定义!$C$20:$C$29,MATCH(D807,[1]!装备部位,0))</f>
        <v>6</v>
      </c>
      <c r="F807" s="1">
        <v>3</v>
      </c>
      <c r="G807" s="1">
        <f t="shared" si="47"/>
        <v>30</v>
      </c>
      <c r="H807" s="10" t="s">
        <v>2320</v>
      </c>
      <c r="I807" s="1">
        <v>16500</v>
      </c>
      <c r="J807" s="1">
        <v>20</v>
      </c>
      <c r="K807" s="1">
        <v>0</v>
      </c>
      <c r="L807" s="1">
        <v>20000</v>
      </c>
      <c r="M807" s="1" t="s">
        <v>1897</v>
      </c>
      <c r="N807" s="1" t="s">
        <v>1070</v>
      </c>
      <c r="O807" s="1">
        <v>0</v>
      </c>
      <c r="P807" s="1" t="s">
        <v>2076</v>
      </c>
      <c r="Q807" s="7" t="s">
        <v>2407</v>
      </c>
    </row>
    <row r="808" spans="1:17" ht="14.25" thickBot="1">
      <c r="A808" s="1" t="s">
        <v>870</v>
      </c>
      <c r="B808" s="3">
        <v>1</v>
      </c>
      <c r="C808" s="1" t="s">
        <v>2239</v>
      </c>
      <c r="D808" s="1" t="str">
        <f t="shared" si="46"/>
        <v>主手武器</v>
      </c>
      <c r="E808" s="1">
        <f>INDEX([1]游戏类型定义!$C$20:$C$29,MATCH(D808,[1]!装备部位,0))</f>
        <v>5</v>
      </c>
      <c r="F808" s="1">
        <v>3</v>
      </c>
      <c r="G808" s="1">
        <f t="shared" si="47"/>
        <v>30</v>
      </c>
      <c r="H808" s="10" t="s">
        <v>2321</v>
      </c>
      <c r="I808" s="1">
        <v>15000</v>
      </c>
      <c r="J808" s="1">
        <v>20</v>
      </c>
      <c r="K808" s="1">
        <v>0</v>
      </c>
      <c r="L808" s="1">
        <v>17500</v>
      </c>
      <c r="M808" s="1" t="s">
        <v>1895</v>
      </c>
      <c r="N808" s="1" t="s">
        <v>1070</v>
      </c>
      <c r="O808" s="1">
        <v>0</v>
      </c>
      <c r="P808" s="1" t="s">
        <v>2076</v>
      </c>
      <c r="Q808" s="7" t="s">
        <v>2408</v>
      </c>
    </row>
    <row r="809" spans="1:17" ht="14.25" thickBot="1">
      <c r="A809" s="1" t="s">
        <v>871</v>
      </c>
      <c r="B809" s="3">
        <v>1</v>
      </c>
      <c r="C809" s="1" t="s">
        <v>2238</v>
      </c>
      <c r="D809" s="1" t="str">
        <f t="shared" si="46"/>
        <v>主手武器</v>
      </c>
      <c r="E809" s="1">
        <f>INDEX([1]游戏类型定义!$C$20:$C$29,MATCH(D809,[1]!装备部位,0))</f>
        <v>5</v>
      </c>
      <c r="F809" s="1">
        <v>3</v>
      </c>
      <c r="G809" s="1">
        <f t="shared" si="47"/>
        <v>30</v>
      </c>
      <c r="H809" s="10" t="s">
        <v>2321</v>
      </c>
      <c r="I809" s="1">
        <v>16500</v>
      </c>
      <c r="J809" s="1">
        <v>20</v>
      </c>
      <c r="K809" s="1">
        <v>0</v>
      </c>
      <c r="L809" s="1">
        <v>20000</v>
      </c>
      <c r="M809" s="1" t="s">
        <v>2021</v>
      </c>
      <c r="N809" s="1" t="s">
        <v>1070</v>
      </c>
      <c r="O809" s="1">
        <v>0</v>
      </c>
      <c r="P809" s="1" t="s">
        <v>2076</v>
      </c>
      <c r="Q809" s="7" t="s">
        <v>2409</v>
      </c>
    </row>
    <row r="810" spans="1:17" ht="14.25" thickBot="1">
      <c r="A810" s="1" t="s">
        <v>872</v>
      </c>
      <c r="B810" s="3">
        <v>1</v>
      </c>
      <c r="C810" s="9" t="s">
        <v>2240</v>
      </c>
      <c r="D810" s="1" t="str">
        <f t="shared" si="46"/>
        <v>副手武器</v>
      </c>
      <c r="E810" s="1">
        <f>INDEX([1]游戏类型定义!$C$20:$C$29,MATCH(D810,[1]!装备部位,0))</f>
        <v>6</v>
      </c>
      <c r="F810" s="1">
        <v>3</v>
      </c>
      <c r="G810" s="1">
        <f t="shared" si="47"/>
        <v>30</v>
      </c>
      <c r="H810" s="10" t="s">
        <v>2321</v>
      </c>
      <c r="I810" s="1">
        <v>15000</v>
      </c>
      <c r="J810" s="1">
        <v>20</v>
      </c>
      <c r="K810" s="1">
        <v>0</v>
      </c>
      <c r="L810" s="1">
        <v>17500</v>
      </c>
      <c r="M810" s="1" t="s">
        <v>1898</v>
      </c>
      <c r="N810" s="1" t="s">
        <v>1070</v>
      </c>
      <c r="O810" s="1">
        <v>0</v>
      </c>
      <c r="P810" s="1" t="s">
        <v>2076</v>
      </c>
      <c r="Q810" s="7" t="s">
        <v>2410</v>
      </c>
    </row>
    <row r="811" spans="1:17" ht="14.25" thickBot="1">
      <c r="A811" s="1" t="s">
        <v>873</v>
      </c>
      <c r="B811" s="2">
        <v>0</v>
      </c>
      <c r="C811" s="9" t="s">
        <v>2241</v>
      </c>
      <c r="D811" s="1" t="str">
        <f t="shared" si="46"/>
        <v>副手武器</v>
      </c>
      <c r="E811" s="1">
        <f>INDEX([1]游戏类型定义!$C$20:$C$29,MATCH(D811,[1]!装备部位,0))</f>
        <v>6</v>
      </c>
      <c r="F811" s="1">
        <v>3</v>
      </c>
      <c r="G811" s="1">
        <f t="shared" si="47"/>
        <v>30</v>
      </c>
      <c r="H811" s="10" t="s">
        <v>2321</v>
      </c>
      <c r="I811" s="1">
        <v>16500</v>
      </c>
      <c r="J811" s="1">
        <v>20</v>
      </c>
      <c r="K811" s="1">
        <v>0</v>
      </c>
      <c r="L811" s="1">
        <v>20000</v>
      </c>
      <c r="M811" s="1" t="s">
        <v>1899</v>
      </c>
      <c r="N811" s="1" t="s">
        <v>1070</v>
      </c>
      <c r="O811" s="1">
        <v>0</v>
      </c>
      <c r="P811" s="1" t="s">
        <v>2076</v>
      </c>
      <c r="Q811" s="7" t="s">
        <v>2411</v>
      </c>
    </row>
    <row r="812" spans="1:17" ht="14.25" thickBot="1">
      <c r="A812" s="1" t="s">
        <v>874</v>
      </c>
      <c r="B812" s="3">
        <v>1</v>
      </c>
      <c r="C812" s="9" t="s">
        <v>2232</v>
      </c>
      <c r="D812" s="1" t="str">
        <f t="shared" si="46"/>
        <v>主手武器</v>
      </c>
      <c r="E812" s="1">
        <f>INDEX([1]游戏类型定义!$C$20:$C$29,MATCH(D812,[1]!装备部位,0))</f>
        <v>5</v>
      </c>
      <c r="F812" s="1">
        <v>3</v>
      </c>
      <c r="G812" s="1">
        <f t="shared" si="47"/>
        <v>30</v>
      </c>
      <c r="H812" s="10" t="s">
        <v>2322</v>
      </c>
      <c r="I812" s="1">
        <v>15000</v>
      </c>
      <c r="J812" s="1">
        <v>20</v>
      </c>
      <c r="K812" s="1">
        <v>0</v>
      </c>
      <c r="L812" s="1">
        <v>17500</v>
      </c>
      <c r="M812" s="1" t="s">
        <v>1895</v>
      </c>
      <c r="N812" s="1" t="s">
        <v>1070</v>
      </c>
      <c r="O812" s="1">
        <v>0</v>
      </c>
      <c r="P812" s="1" t="s">
        <v>2076</v>
      </c>
      <c r="Q812" s="7" t="s">
        <v>2395</v>
      </c>
    </row>
    <row r="813" spans="1:17" ht="14.25" thickBot="1">
      <c r="A813" s="1" t="s">
        <v>875</v>
      </c>
      <c r="B813" s="3">
        <v>1</v>
      </c>
      <c r="C813" s="9" t="s">
        <v>2251</v>
      </c>
      <c r="D813" s="1" t="str">
        <f t="shared" si="46"/>
        <v>主手武器</v>
      </c>
      <c r="E813" s="1">
        <f>INDEX([1]游戏类型定义!$C$20:$C$29,MATCH(D813,[1]!装备部位,0))</f>
        <v>5</v>
      </c>
      <c r="F813" s="1">
        <v>3</v>
      </c>
      <c r="G813" s="1">
        <f t="shared" si="47"/>
        <v>30</v>
      </c>
      <c r="H813" s="10" t="s">
        <v>2322</v>
      </c>
      <c r="I813" s="1">
        <v>16500</v>
      </c>
      <c r="J813" s="1">
        <v>20</v>
      </c>
      <c r="K813" s="1">
        <v>0</v>
      </c>
      <c r="L813" s="1">
        <v>20000</v>
      </c>
      <c r="M813" s="1" t="s">
        <v>2021</v>
      </c>
      <c r="N813" s="1" t="s">
        <v>1070</v>
      </c>
      <c r="O813" s="1">
        <v>0</v>
      </c>
      <c r="P813" s="1" t="s">
        <v>2076</v>
      </c>
      <c r="Q813" s="7" t="s">
        <v>2412</v>
      </c>
    </row>
    <row r="814" spans="1:17" ht="14.25" thickBot="1">
      <c r="A814" s="1" t="s">
        <v>876</v>
      </c>
      <c r="B814" s="3">
        <v>1</v>
      </c>
      <c r="C814" s="9" t="s">
        <v>2243</v>
      </c>
      <c r="D814" s="1" t="str">
        <f t="shared" si="46"/>
        <v>副手武器</v>
      </c>
      <c r="E814" s="1">
        <f>INDEX([1]游戏类型定义!$C$20:$C$29,MATCH(D814,[1]!装备部位,0))</f>
        <v>6</v>
      </c>
      <c r="F814" s="1">
        <v>3</v>
      </c>
      <c r="G814" s="1">
        <f t="shared" si="47"/>
        <v>30</v>
      </c>
      <c r="H814" s="10" t="s">
        <v>2322</v>
      </c>
      <c r="I814" s="1">
        <v>15000</v>
      </c>
      <c r="J814" s="1">
        <v>20</v>
      </c>
      <c r="K814" s="1">
        <v>0</v>
      </c>
      <c r="L814" s="1">
        <v>17500</v>
      </c>
      <c r="M814" s="1" t="s">
        <v>1900</v>
      </c>
      <c r="N814" s="1" t="s">
        <v>1070</v>
      </c>
      <c r="O814" s="1">
        <v>0</v>
      </c>
      <c r="P814" s="1" t="s">
        <v>2076</v>
      </c>
      <c r="Q814" s="7" t="s">
        <v>2413</v>
      </c>
    </row>
    <row r="815" spans="1:17" ht="14.25" thickBot="1">
      <c r="A815" s="1" t="s">
        <v>877</v>
      </c>
      <c r="B815" s="2">
        <v>0</v>
      </c>
      <c r="C815" s="9" t="s">
        <v>2244</v>
      </c>
      <c r="D815" s="1" t="str">
        <f t="shared" si="46"/>
        <v>副手武器</v>
      </c>
      <c r="E815" s="1">
        <f>INDEX([1]游戏类型定义!$C$20:$C$29,MATCH(D815,[1]!装备部位,0))</f>
        <v>6</v>
      </c>
      <c r="F815" s="1">
        <v>3</v>
      </c>
      <c r="G815" s="1">
        <f t="shared" si="47"/>
        <v>30</v>
      </c>
      <c r="H815" s="10" t="s">
        <v>2322</v>
      </c>
      <c r="I815" s="1">
        <v>16500</v>
      </c>
      <c r="J815" s="1">
        <v>20</v>
      </c>
      <c r="K815" s="1">
        <v>0</v>
      </c>
      <c r="L815" s="1">
        <v>20000</v>
      </c>
      <c r="M815" s="1" t="s">
        <v>1901</v>
      </c>
      <c r="N815" s="1" t="s">
        <v>1070</v>
      </c>
      <c r="O815" s="1">
        <v>0</v>
      </c>
      <c r="P815" s="1" t="s">
        <v>2076</v>
      </c>
      <c r="Q815" s="7" t="s">
        <v>2414</v>
      </c>
    </row>
    <row r="816" spans="1:17" ht="14.25" thickBot="1">
      <c r="A816" s="1" t="s">
        <v>878</v>
      </c>
      <c r="B816" s="3">
        <v>1</v>
      </c>
      <c r="C816" s="1" t="s">
        <v>2164</v>
      </c>
      <c r="D816" s="1" t="str">
        <f t="shared" ref="D816:D835" si="48">D486</f>
        <v>胸甲</v>
      </c>
      <c r="E816" s="1">
        <f>INDEX([1]游戏类型定义!$C$20:$C$29,MATCH(D816,[1]!装备部位,0))</f>
        <v>4</v>
      </c>
      <c r="F816" s="1">
        <v>3</v>
      </c>
      <c r="G816" s="1">
        <f t="shared" ref="G816:G835" si="49">G486</f>
        <v>30</v>
      </c>
      <c r="H816" s="10">
        <v>0</v>
      </c>
      <c r="I816" s="1">
        <v>15000</v>
      </c>
      <c r="J816" s="1">
        <v>20</v>
      </c>
      <c r="K816" s="1">
        <v>0</v>
      </c>
      <c r="L816" s="1">
        <v>17500</v>
      </c>
      <c r="M816" s="1" t="s">
        <v>1902</v>
      </c>
      <c r="N816" s="1" t="s">
        <v>1069</v>
      </c>
      <c r="O816" s="1">
        <v>0</v>
      </c>
      <c r="P816" s="1" t="s">
        <v>2076</v>
      </c>
      <c r="Q816" s="7" t="s">
        <v>2415</v>
      </c>
    </row>
    <row r="817" spans="1:17" ht="14.25" thickBot="1">
      <c r="A817" s="1" t="s">
        <v>879</v>
      </c>
      <c r="B817" s="3">
        <v>1</v>
      </c>
      <c r="C817" s="1" t="s">
        <v>2165</v>
      </c>
      <c r="D817" s="1" t="str">
        <f t="shared" si="48"/>
        <v>胸甲</v>
      </c>
      <c r="E817" s="1">
        <f>INDEX([1]游戏类型定义!$C$20:$C$29,MATCH(D817,[1]!装备部位,0))</f>
        <v>4</v>
      </c>
      <c r="F817" s="1">
        <v>3</v>
      </c>
      <c r="G817" s="1">
        <f t="shared" si="49"/>
        <v>30</v>
      </c>
      <c r="H817" s="10">
        <v>0</v>
      </c>
      <c r="I817" s="1">
        <v>16500</v>
      </c>
      <c r="J817" s="1">
        <v>20</v>
      </c>
      <c r="K817" s="1">
        <v>0</v>
      </c>
      <c r="L817" s="1">
        <v>20000</v>
      </c>
      <c r="M817" s="1" t="s">
        <v>1903</v>
      </c>
      <c r="N817" s="1" t="s">
        <v>1069</v>
      </c>
      <c r="O817" s="1">
        <v>0</v>
      </c>
      <c r="P817" s="1" t="s">
        <v>2076</v>
      </c>
      <c r="Q817" s="7" t="s">
        <v>2416</v>
      </c>
    </row>
    <row r="818" spans="1:17" ht="14.25" thickBot="1">
      <c r="A818" s="1" t="s">
        <v>880</v>
      </c>
      <c r="B818" s="3">
        <v>1</v>
      </c>
      <c r="C818" s="1" t="s">
        <v>2182</v>
      </c>
      <c r="D818" s="1" t="str">
        <f t="shared" si="48"/>
        <v>护腿</v>
      </c>
      <c r="E818" s="1">
        <f>INDEX([1]游戏类型定义!$C$20:$C$29,MATCH(D818,[1]!装备部位,0))</f>
        <v>7</v>
      </c>
      <c r="F818" s="1">
        <v>3</v>
      </c>
      <c r="G818" s="1">
        <f t="shared" si="49"/>
        <v>30</v>
      </c>
      <c r="H818" s="10">
        <v>0</v>
      </c>
      <c r="I818" s="1">
        <v>15000</v>
      </c>
      <c r="J818" s="1">
        <v>20</v>
      </c>
      <c r="K818" s="1">
        <v>0</v>
      </c>
      <c r="L818" s="1">
        <v>17500</v>
      </c>
      <c r="M818" s="1" t="s">
        <v>1902</v>
      </c>
      <c r="N818" s="1" t="s">
        <v>1069</v>
      </c>
      <c r="O818" s="1">
        <v>0</v>
      </c>
      <c r="P818" s="1" t="s">
        <v>2076</v>
      </c>
      <c r="Q818" s="7" t="s">
        <v>2417</v>
      </c>
    </row>
    <row r="819" spans="1:17" ht="14.25" thickBot="1">
      <c r="A819" s="1" t="s">
        <v>881</v>
      </c>
      <c r="B819" s="3">
        <v>1</v>
      </c>
      <c r="C819" s="1" t="s">
        <v>2183</v>
      </c>
      <c r="D819" s="1" t="str">
        <f t="shared" si="48"/>
        <v>护腿</v>
      </c>
      <c r="E819" s="1">
        <f>INDEX([1]游戏类型定义!$C$20:$C$29,MATCH(D819,[1]!装备部位,0))</f>
        <v>7</v>
      </c>
      <c r="F819" s="1">
        <v>3</v>
      </c>
      <c r="G819" s="1">
        <f t="shared" si="49"/>
        <v>30</v>
      </c>
      <c r="H819" s="10">
        <v>0</v>
      </c>
      <c r="I819" s="1">
        <v>16500</v>
      </c>
      <c r="J819" s="1">
        <v>20</v>
      </c>
      <c r="K819" s="1">
        <v>0</v>
      </c>
      <c r="L819" s="1">
        <v>20000</v>
      </c>
      <c r="M819" s="1" t="s">
        <v>1903</v>
      </c>
      <c r="N819" s="1" t="s">
        <v>1069</v>
      </c>
      <c r="O819" s="1">
        <v>0</v>
      </c>
      <c r="P819" s="1" t="s">
        <v>2076</v>
      </c>
      <c r="Q819" s="7" t="s">
        <v>2418</v>
      </c>
    </row>
    <row r="820" spans="1:17" ht="14.25" thickBot="1">
      <c r="A820" s="1" t="s">
        <v>882</v>
      </c>
      <c r="B820" s="3">
        <v>1</v>
      </c>
      <c r="C820" s="1" t="s">
        <v>2100</v>
      </c>
      <c r="D820" s="1" t="str">
        <f t="shared" si="48"/>
        <v>头盔</v>
      </c>
      <c r="E820" s="1">
        <f>INDEX([1]游戏类型定义!$C$20:$C$29,MATCH(D820,[1]!装备部位,0))</f>
        <v>1</v>
      </c>
      <c r="F820" s="1">
        <v>3</v>
      </c>
      <c r="G820" s="1">
        <f t="shared" si="49"/>
        <v>35</v>
      </c>
      <c r="H820" s="10">
        <v>0</v>
      </c>
      <c r="I820" s="1">
        <v>17500</v>
      </c>
      <c r="J820" s="1">
        <v>20</v>
      </c>
      <c r="K820" s="1">
        <v>0</v>
      </c>
      <c r="L820" s="1">
        <v>20000</v>
      </c>
      <c r="M820" s="1" t="s">
        <v>1904</v>
      </c>
      <c r="N820" s="1" t="s">
        <v>1071</v>
      </c>
      <c r="O820" s="1">
        <v>0</v>
      </c>
      <c r="P820" s="1" t="s">
        <v>2077</v>
      </c>
      <c r="Q820" s="7" t="s">
        <v>2419</v>
      </c>
    </row>
    <row r="821" spans="1:17" ht="14.25" thickBot="1">
      <c r="A821" s="1" t="s">
        <v>883</v>
      </c>
      <c r="B821" s="3">
        <v>1</v>
      </c>
      <c r="C821" s="1" t="s">
        <v>2113</v>
      </c>
      <c r="D821" s="1" t="str">
        <f t="shared" si="48"/>
        <v>戒指</v>
      </c>
      <c r="E821" s="1">
        <f>INDEX([1]游戏类型定义!$C$20:$C$29,MATCH(D821,[1]!装备部位,0))</f>
        <v>2</v>
      </c>
      <c r="F821" s="1">
        <v>3</v>
      </c>
      <c r="G821" s="1">
        <f t="shared" si="49"/>
        <v>35</v>
      </c>
      <c r="H821" s="10">
        <v>0</v>
      </c>
      <c r="I821" s="1">
        <v>17500</v>
      </c>
      <c r="J821" s="1">
        <v>20</v>
      </c>
      <c r="K821" s="1">
        <v>0</v>
      </c>
      <c r="L821" s="1">
        <v>20000</v>
      </c>
      <c r="M821" s="1" t="s">
        <v>1905</v>
      </c>
      <c r="N821" s="1" t="s">
        <v>1071</v>
      </c>
      <c r="O821" s="1">
        <v>0</v>
      </c>
      <c r="P821" s="1" t="s">
        <v>2077</v>
      </c>
      <c r="Q821" s="7" t="s">
        <v>2420</v>
      </c>
    </row>
    <row r="822" spans="1:17" ht="14.25" thickBot="1">
      <c r="A822" s="1" t="s">
        <v>884</v>
      </c>
      <c r="B822" s="3">
        <v>1</v>
      </c>
      <c r="C822" s="1" t="s">
        <v>2091</v>
      </c>
      <c r="D822" s="1" t="str">
        <f t="shared" si="48"/>
        <v>腰带</v>
      </c>
      <c r="E822" s="1">
        <f>INDEX([1]游戏类型定义!$C$20:$C$29,MATCH(D822,[1]!装备部位,0))</f>
        <v>3</v>
      </c>
      <c r="F822" s="1">
        <v>3</v>
      </c>
      <c r="G822" s="1">
        <f t="shared" si="49"/>
        <v>35</v>
      </c>
      <c r="H822" s="10">
        <v>0</v>
      </c>
      <c r="I822" s="1">
        <v>17500</v>
      </c>
      <c r="J822" s="1">
        <v>20</v>
      </c>
      <c r="K822" s="1">
        <v>0</v>
      </c>
      <c r="L822" s="1">
        <v>20000</v>
      </c>
      <c r="M822" s="1" t="s">
        <v>1906</v>
      </c>
      <c r="N822" s="1" t="s">
        <v>1071</v>
      </c>
      <c r="O822" s="1">
        <v>0</v>
      </c>
      <c r="P822" s="1" t="s">
        <v>2077</v>
      </c>
      <c r="Q822" s="7" t="s">
        <v>2421</v>
      </c>
    </row>
    <row r="823" spans="1:17" ht="14.25" thickBot="1">
      <c r="A823" s="1" t="s">
        <v>885</v>
      </c>
      <c r="B823" s="3">
        <v>1</v>
      </c>
      <c r="C823" s="1" t="s">
        <v>2124</v>
      </c>
      <c r="D823" s="1" t="str">
        <f t="shared" si="48"/>
        <v>鞋子</v>
      </c>
      <c r="E823" s="1">
        <f>INDEX([1]游戏类型定义!$C$20:$C$29,MATCH(D823,[1]!装备部位,0))</f>
        <v>8</v>
      </c>
      <c r="F823" s="1">
        <v>3</v>
      </c>
      <c r="G823" s="1">
        <f t="shared" si="49"/>
        <v>35</v>
      </c>
      <c r="H823" s="10">
        <v>0</v>
      </c>
      <c r="I823" s="1">
        <v>17500</v>
      </c>
      <c r="J823" s="1">
        <v>20</v>
      </c>
      <c r="K823" s="1">
        <v>0</v>
      </c>
      <c r="L823" s="1">
        <v>20000</v>
      </c>
      <c r="M823" s="1" t="s">
        <v>1907</v>
      </c>
      <c r="N823" s="1" t="s">
        <v>1071</v>
      </c>
      <c r="O823" s="1">
        <v>0</v>
      </c>
      <c r="P823" s="1" t="s">
        <v>2077</v>
      </c>
      <c r="Q823" s="7" t="s">
        <v>2422</v>
      </c>
    </row>
    <row r="824" spans="1:17" ht="14.25" thickBot="1">
      <c r="A824" s="1" t="s">
        <v>886</v>
      </c>
      <c r="B824" s="3">
        <v>1</v>
      </c>
      <c r="C824" s="1" t="s">
        <v>2136</v>
      </c>
      <c r="D824" s="1" t="str">
        <f t="shared" si="48"/>
        <v>手套</v>
      </c>
      <c r="E824" s="1">
        <f>INDEX([1]游戏类型定义!$C$20:$C$29,MATCH(D824,[1]!装备部位,0))</f>
        <v>9</v>
      </c>
      <c r="F824" s="1">
        <v>3</v>
      </c>
      <c r="G824" s="1">
        <f t="shared" si="49"/>
        <v>35</v>
      </c>
      <c r="H824" s="10">
        <v>0</v>
      </c>
      <c r="I824" s="1">
        <v>17500</v>
      </c>
      <c r="J824" s="1">
        <v>20</v>
      </c>
      <c r="K824" s="1">
        <v>0</v>
      </c>
      <c r="L824" s="1">
        <v>20000</v>
      </c>
      <c r="M824" s="1" t="s">
        <v>1908</v>
      </c>
      <c r="N824" s="1" t="s">
        <v>1071</v>
      </c>
      <c r="O824" s="1">
        <v>0</v>
      </c>
      <c r="P824" s="1" t="s">
        <v>2077</v>
      </c>
      <c r="Q824" s="7" t="s">
        <v>2423</v>
      </c>
    </row>
    <row r="825" spans="1:17" ht="14.25" thickBot="1">
      <c r="A825" s="1" t="s">
        <v>887</v>
      </c>
      <c r="B825" s="3">
        <v>1</v>
      </c>
      <c r="C825" s="1" t="s">
        <v>2150</v>
      </c>
      <c r="D825" s="1" t="str">
        <f t="shared" si="48"/>
        <v>项链</v>
      </c>
      <c r="E825" s="1">
        <f>INDEX([1]游戏类型定义!$C$20:$C$29,MATCH(D825,[1]!装备部位,0))</f>
        <v>10</v>
      </c>
      <c r="F825" s="1">
        <v>3</v>
      </c>
      <c r="G825" s="1">
        <f t="shared" si="49"/>
        <v>35</v>
      </c>
      <c r="H825" s="10">
        <v>0</v>
      </c>
      <c r="I825" s="1">
        <v>17500</v>
      </c>
      <c r="J825" s="1">
        <v>20</v>
      </c>
      <c r="K825" s="1">
        <v>0</v>
      </c>
      <c r="L825" s="1">
        <v>20000</v>
      </c>
      <c r="M825" s="1" t="s">
        <v>1909</v>
      </c>
      <c r="N825" s="1" t="s">
        <v>1071</v>
      </c>
      <c r="O825" s="1">
        <v>0</v>
      </c>
      <c r="P825" s="1" t="s">
        <v>2077</v>
      </c>
      <c r="Q825" s="7" t="s">
        <v>2424</v>
      </c>
    </row>
    <row r="826" spans="1:17" ht="14.25" thickBot="1">
      <c r="A826" s="1" t="s">
        <v>888</v>
      </c>
      <c r="B826" s="3">
        <v>1</v>
      </c>
      <c r="C826" s="9" t="s">
        <v>2245</v>
      </c>
      <c r="D826" s="1" t="str">
        <f t="shared" si="48"/>
        <v>主手武器</v>
      </c>
      <c r="E826" s="1">
        <f>INDEX([1]游戏类型定义!$C$20:$C$29,MATCH(D826,[1]!装备部位,0))</f>
        <v>5</v>
      </c>
      <c r="F826" s="1">
        <v>3</v>
      </c>
      <c r="G826" s="1">
        <f t="shared" si="49"/>
        <v>35</v>
      </c>
      <c r="H826" s="10" t="s">
        <v>2320</v>
      </c>
      <c r="I826" s="1">
        <v>17500</v>
      </c>
      <c r="J826" s="1">
        <v>20</v>
      </c>
      <c r="K826" s="1">
        <v>0</v>
      </c>
      <c r="L826" s="1">
        <v>20000</v>
      </c>
      <c r="M826" s="1" t="s">
        <v>1910</v>
      </c>
      <c r="N826" s="1" t="s">
        <v>1072</v>
      </c>
      <c r="O826" s="1">
        <v>0</v>
      </c>
      <c r="P826" s="1" t="s">
        <v>2077</v>
      </c>
      <c r="Q826" s="7" t="s">
        <v>2425</v>
      </c>
    </row>
    <row r="827" spans="1:17" ht="14.25" thickBot="1">
      <c r="A827" s="1" t="s">
        <v>889</v>
      </c>
      <c r="B827" s="2">
        <v>0</v>
      </c>
      <c r="C827" s="9" t="s">
        <v>2046</v>
      </c>
      <c r="D827" s="1" t="str">
        <f t="shared" si="48"/>
        <v>主手武器</v>
      </c>
      <c r="E827" s="1">
        <f>INDEX([1]游戏类型定义!$C$20:$C$29,MATCH(D827,[1]!装备部位,0))</f>
        <v>5</v>
      </c>
      <c r="F827" s="1">
        <v>3</v>
      </c>
      <c r="G827" s="1">
        <f t="shared" si="49"/>
        <v>35</v>
      </c>
      <c r="H827" s="10" t="s">
        <v>2320</v>
      </c>
      <c r="I827" s="1">
        <v>19000</v>
      </c>
      <c r="J827" s="1">
        <v>20</v>
      </c>
      <c r="K827" s="1">
        <v>0</v>
      </c>
      <c r="L827" s="1">
        <v>22500</v>
      </c>
      <c r="M827" s="1" t="s">
        <v>2022</v>
      </c>
      <c r="N827" s="1" t="s">
        <v>1072</v>
      </c>
      <c r="O827" s="1">
        <v>0</v>
      </c>
      <c r="P827" s="1" t="s">
        <v>2077</v>
      </c>
      <c r="Q827" s="7" t="s">
        <v>2057</v>
      </c>
    </row>
    <row r="828" spans="1:17" ht="14.25" thickBot="1">
      <c r="A828" s="1" t="s">
        <v>890</v>
      </c>
      <c r="B828" s="3">
        <v>1</v>
      </c>
      <c r="C828" s="9" t="s">
        <v>2246</v>
      </c>
      <c r="D828" s="1" t="str">
        <f t="shared" si="48"/>
        <v>副手武器</v>
      </c>
      <c r="E828" s="1">
        <f>INDEX([1]游戏类型定义!$C$20:$C$29,MATCH(D828,[1]!装备部位,0))</f>
        <v>6</v>
      </c>
      <c r="F828" s="1">
        <v>3</v>
      </c>
      <c r="G828" s="1">
        <f t="shared" si="49"/>
        <v>35</v>
      </c>
      <c r="H828" s="10" t="s">
        <v>2320</v>
      </c>
      <c r="I828" s="1">
        <v>17500</v>
      </c>
      <c r="J828" s="1">
        <v>20</v>
      </c>
      <c r="K828" s="1">
        <v>0</v>
      </c>
      <c r="L828" s="1">
        <v>20000</v>
      </c>
      <c r="M828" s="1" t="s">
        <v>1911</v>
      </c>
      <c r="N828" s="1" t="s">
        <v>1072</v>
      </c>
      <c r="O828" s="1">
        <v>0</v>
      </c>
      <c r="P828" s="1" t="s">
        <v>2077</v>
      </c>
      <c r="Q828" s="7" t="s">
        <v>2407</v>
      </c>
    </row>
    <row r="829" spans="1:17" ht="14.25" thickBot="1">
      <c r="A829" s="1" t="s">
        <v>891</v>
      </c>
      <c r="B829" s="3">
        <v>1</v>
      </c>
      <c r="C829" s="9" t="s">
        <v>2317</v>
      </c>
      <c r="D829" s="1" t="str">
        <f t="shared" si="48"/>
        <v>副手武器</v>
      </c>
      <c r="E829" s="1">
        <f>INDEX([1]游戏类型定义!$C$20:$C$29,MATCH(D829,[1]!装备部位,0))</f>
        <v>6</v>
      </c>
      <c r="F829" s="1">
        <v>3</v>
      </c>
      <c r="G829" s="1">
        <f t="shared" si="49"/>
        <v>35</v>
      </c>
      <c r="H829" s="10" t="s">
        <v>2320</v>
      </c>
      <c r="I829" s="1">
        <v>19000</v>
      </c>
      <c r="J829" s="1">
        <v>20</v>
      </c>
      <c r="K829" s="1">
        <v>0</v>
      </c>
      <c r="L829" s="1">
        <v>22500</v>
      </c>
      <c r="M829" s="1" t="s">
        <v>1912</v>
      </c>
      <c r="N829" s="1" t="s">
        <v>1072</v>
      </c>
      <c r="O829" s="1">
        <v>0</v>
      </c>
      <c r="P829" s="1" t="s">
        <v>2077</v>
      </c>
      <c r="Q829" s="7" t="s">
        <v>2426</v>
      </c>
    </row>
    <row r="830" spans="1:17" ht="14.25" thickBot="1">
      <c r="A830" s="1" t="s">
        <v>892</v>
      </c>
      <c r="B830" s="3">
        <v>1</v>
      </c>
      <c r="C830" s="1" t="s">
        <v>2247</v>
      </c>
      <c r="D830" s="1" t="str">
        <f t="shared" si="48"/>
        <v>主手武器</v>
      </c>
      <c r="E830" s="1">
        <f>INDEX([1]游戏类型定义!$C$20:$C$29,MATCH(D830,[1]!装备部位,0))</f>
        <v>5</v>
      </c>
      <c r="F830" s="1">
        <v>3</v>
      </c>
      <c r="G830" s="1">
        <f t="shared" si="49"/>
        <v>35</v>
      </c>
      <c r="H830" s="10" t="s">
        <v>2321</v>
      </c>
      <c r="I830" s="1">
        <v>17500</v>
      </c>
      <c r="J830" s="1">
        <v>20</v>
      </c>
      <c r="K830" s="1">
        <v>0</v>
      </c>
      <c r="L830" s="1">
        <v>20000</v>
      </c>
      <c r="M830" s="1" t="s">
        <v>1910</v>
      </c>
      <c r="N830" s="1" t="s">
        <v>1072</v>
      </c>
      <c r="O830" s="1">
        <v>0</v>
      </c>
      <c r="P830" s="1" t="s">
        <v>2077</v>
      </c>
      <c r="Q830" s="7" t="s">
        <v>2427</v>
      </c>
    </row>
    <row r="831" spans="1:17" ht="14.25" thickBot="1">
      <c r="A831" s="1" t="s">
        <v>893</v>
      </c>
      <c r="B831" s="2">
        <v>0</v>
      </c>
      <c r="C831" s="1" t="s">
        <v>2040</v>
      </c>
      <c r="D831" s="1" t="str">
        <f t="shared" si="48"/>
        <v>主手武器</v>
      </c>
      <c r="E831" s="1">
        <f>INDEX([1]游戏类型定义!$C$20:$C$29,MATCH(D831,[1]!装备部位,0))</f>
        <v>5</v>
      </c>
      <c r="F831" s="1">
        <v>3</v>
      </c>
      <c r="G831" s="1">
        <f t="shared" si="49"/>
        <v>35</v>
      </c>
      <c r="H831" s="10" t="s">
        <v>2321</v>
      </c>
      <c r="I831" s="1">
        <v>19000</v>
      </c>
      <c r="J831" s="1">
        <v>20</v>
      </c>
      <c r="K831" s="1">
        <v>0</v>
      </c>
      <c r="L831" s="1">
        <v>22500</v>
      </c>
      <c r="M831" s="1" t="s">
        <v>2022</v>
      </c>
      <c r="N831" s="1" t="s">
        <v>1072</v>
      </c>
      <c r="O831" s="1">
        <v>0</v>
      </c>
      <c r="P831" s="1" t="s">
        <v>2077</v>
      </c>
      <c r="Q831" s="7" t="s">
        <v>2059</v>
      </c>
    </row>
    <row r="832" spans="1:17" ht="14.25" thickBot="1">
      <c r="A832" s="1" t="s">
        <v>894</v>
      </c>
      <c r="B832" s="3">
        <v>1</v>
      </c>
      <c r="C832" s="9" t="s">
        <v>2248</v>
      </c>
      <c r="D832" s="1" t="str">
        <f t="shared" si="48"/>
        <v>副手武器</v>
      </c>
      <c r="E832" s="1">
        <f>INDEX([1]游戏类型定义!$C$20:$C$29,MATCH(D832,[1]!装备部位,0))</f>
        <v>6</v>
      </c>
      <c r="F832" s="1">
        <v>3</v>
      </c>
      <c r="G832" s="1">
        <f t="shared" si="49"/>
        <v>35</v>
      </c>
      <c r="H832" s="10" t="s">
        <v>2321</v>
      </c>
      <c r="I832" s="1">
        <v>17500</v>
      </c>
      <c r="J832" s="1">
        <v>20</v>
      </c>
      <c r="K832" s="1">
        <v>0</v>
      </c>
      <c r="L832" s="1">
        <v>20000</v>
      </c>
      <c r="M832" s="1" t="s">
        <v>1913</v>
      </c>
      <c r="N832" s="1" t="s">
        <v>1072</v>
      </c>
      <c r="O832" s="1">
        <v>0</v>
      </c>
      <c r="P832" s="1" t="s">
        <v>2077</v>
      </c>
      <c r="Q832" s="7" t="s">
        <v>2411</v>
      </c>
    </row>
    <row r="833" spans="1:17" ht="14.25" thickBot="1">
      <c r="A833" s="1" t="s">
        <v>895</v>
      </c>
      <c r="B833" s="3">
        <v>1</v>
      </c>
      <c r="C833" s="9" t="s">
        <v>2249</v>
      </c>
      <c r="D833" s="1" t="str">
        <f t="shared" si="48"/>
        <v>副手武器</v>
      </c>
      <c r="E833" s="1">
        <f>INDEX([1]游戏类型定义!$C$20:$C$29,MATCH(D833,[1]!装备部位,0))</f>
        <v>6</v>
      </c>
      <c r="F833" s="1">
        <v>3</v>
      </c>
      <c r="G833" s="1">
        <f t="shared" si="49"/>
        <v>35</v>
      </c>
      <c r="H833" s="10" t="s">
        <v>2321</v>
      </c>
      <c r="I833" s="1">
        <v>19000</v>
      </c>
      <c r="J833" s="1">
        <v>20</v>
      </c>
      <c r="K833" s="1">
        <v>0</v>
      </c>
      <c r="L833" s="1">
        <v>22500</v>
      </c>
      <c r="M833" s="1" t="s">
        <v>1914</v>
      </c>
      <c r="N833" s="1" t="s">
        <v>1072</v>
      </c>
      <c r="O833" s="1">
        <v>0</v>
      </c>
      <c r="P833" s="1" t="s">
        <v>2077</v>
      </c>
      <c r="Q833" s="7" t="s">
        <v>2060</v>
      </c>
    </row>
    <row r="834" spans="1:17" ht="14.25" thickBot="1">
      <c r="A834" s="1" t="s">
        <v>896</v>
      </c>
      <c r="B834" s="3">
        <v>1</v>
      </c>
      <c r="C834" s="9" t="s">
        <v>2242</v>
      </c>
      <c r="D834" s="1" t="str">
        <f t="shared" si="48"/>
        <v>主手武器</v>
      </c>
      <c r="E834" s="1">
        <f>INDEX([1]游戏类型定义!$C$20:$C$29,MATCH(D834,[1]!装备部位,0))</f>
        <v>5</v>
      </c>
      <c r="F834" s="1">
        <v>3</v>
      </c>
      <c r="G834" s="1">
        <f t="shared" si="49"/>
        <v>35</v>
      </c>
      <c r="H834" s="10" t="s">
        <v>2322</v>
      </c>
      <c r="I834" s="1">
        <v>17500</v>
      </c>
      <c r="J834" s="1">
        <v>20</v>
      </c>
      <c r="K834" s="1">
        <v>0</v>
      </c>
      <c r="L834" s="1">
        <v>20000</v>
      </c>
      <c r="M834" s="1" t="s">
        <v>1910</v>
      </c>
      <c r="N834" s="1" t="s">
        <v>1072</v>
      </c>
      <c r="O834" s="1">
        <v>0</v>
      </c>
      <c r="P834" s="1" t="s">
        <v>2077</v>
      </c>
      <c r="Q834" s="7" t="s">
        <v>2428</v>
      </c>
    </row>
    <row r="835" spans="1:17" ht="14.25" thickBot="1">
      <c r="A835" s="1" t="s">
        <v>897</v>
      </c>
      <c r="B835" s="2">
        <v>0</v>
      </c>
      <c r="C835" s="9" t="s">
        <v>2048</v>
      </c>
      <c r="D835" s="1" t="str">
        <f t="shared" si="48"/>
        <v>主手武器</v>
      </c>
      <c r="E835" s="1">
        <f>INDEX([1]游戏类型定义!$C$20:$C$29,MATCH(D835,[1]!装备部位,0))</f>
        <v>5</v>
      </c>
      <c r="F835" s="1">
        <v>3</v>
      </c>
      <c r="G835" s="1">
        <f t="shared" si="49"/>
        <v>35</v>
      </c>
      <c r="H835" s="10" t="s">
        <v>2322</v>
      </c>
      <c r="I835" s="1">
        <v>19000</v>
      </c>
      <c r="J835" s="1">
        <v>20</v>
      </c>
      <c r="K835" s="1">
        <v>0</v>
      </c>
      <c r="L835" s="1">
        <v>22500</v>
      </c>
      <c r="M835" s="1" t="s">
        <v>2022</v>
      </c>
      <c r="N835" s="1" t="s">
        <v>1072</v>
      </c>
      <c r="O835" s="1">
        <v>0</v>
      </c>
      <c r="P835" s="1" t="s">
        <v>2077</v>
      </c>
      <c r="Q835" s="7" t="s">
        <v>2061</v>
      </c>
    </row>
    <row r="836" spans="1:17" ht="14.25" thickBot="1">
      <c r="A836" s="1" t="s">
        <v>898</v>
      </c>
      <c r="B836" s="3">
        <v>1</v>
      </c>
      <c r="C836" s="9" t="s">
        <v>2314</v>
      </c>
      <c r="D836" s="1" t="str">
        <f t="shared" ref="D836:D855" si="50">D506</f>
        <v>副手武器</v>
      </c>
      <c r="E836" s="1">
        <f>INDEX([1]游戏类型定义!$C$20:$C$29,MATCH(D836,[1]!装备部位,0))</f>
        <v>6</v>
      </c>
      <c r="F836" s="1">
        <v>3</v>
      </c>
      <c r="G836" s="1">
        <f t="shared" ref="G836:G855" si="51">G506</f>
        <v>35</v>
      </c>
      <c r="H836" s="10" t="s">
        <v>2322</v>
      </c>
      <c r="I836" s="1">
        <v>17500</v>
      </c>
      <c r="J836" s="1">
        <v>20</v>
      </c>
      <c r="K836" s="1">
        <v>0</v>
      </c>
      <c r="L836" s="1">
        <v>20000</v>
      </c>
      <c r="M836" s="1" t="s">
        <v>1915</v>
      </c>
      <c r="N836" s="1" t="s">
        <v>1072</v>
      </c>
      <c r="O836" s="1">
        <v>0</v>
      </c>
      <c r="P836" s="1" t="s">
        <v>2077</v>
      </c>
      <c r="Q836" s="7" t="s">
        <v>2414</v>
      </c>
    </row>
    <row r="837" spans="1:17" ht="14.25" thickBot="1">
      <c r="A837" s="1" t="s">
        <v>899</v>
      </c>
      <c r="B837" s="3">
        <v>1</v>
      </c>
      <c r="C837" s="9" t="s">
        <v>2315</v>
      </c>
      <c r="D837" s="1" t="str">
        <f t="shared" si="50"/>
        <v>副手武器</v>
      </c>
      <c r="E837" s="1">
        <f>INDEX([1]游戏类型定义!$C$20:$C$29,MATCH(D837,[1]!装备部位,0))</f>
        <v>6</v>
      </c>
      <c r="F837" s="1">
        <v>3</v>
      </c>
      <c r="G837" s="1">
        <f t="shared" si="51"/>
        <v>35</v>
      </c>
      <c r="H837" s="10" t="s">
        <v>2322</v>
      </c>
      <c r="I837" s="1">
        <v>19000</v>
      </c>
      <c r="J837" s="1">
        <v>20</v>
      </c>
      <c r="K837" s="1">
        <v>0</v>
      </c>
      <c r="L837" s="1">
        <v>22500</v>
      </c>
      <c r="M837" s="1" t="s">
        <v>1916</v>
      </c>
      <c r="N837" s="1" t="s">
        <v>1072</v>
      </c>
      <c r="O837" s="1">
        <v>0</v>
      </c>
      <c r="P837" s="1" t="s">
        <v>2077</v>
      </c>
      <c r="Q837" s="7" t="s">
        <v>2429</v>
      </c>
    </row>
    <row r="838" spans="1:17" ht="14.25" thickBot="1">
      <c r="A838" s="1" t="s">
        <v>900</v>
      </c>
      <c r="B838" s="3">
        <v>1</v>
      </c>
      <c r="C838" s="1" t="s">
        <v>2166</v>
      </c>
      <c r="D838" s="1" t="str">
        <f t="shared" si="50"/>
        <v>胸甲</v>
      </c>
      <c r="E838" s="1">
        <f>INDEX([1]游戏类型定义!$C$20:$C$29,MATCH(D838,[1]!装备部位,0))</f>
        <v>4</v>
      </c>
      <c r="F838" s="1">
        <v>3</v>
      </c>
      <c r="G838" s="1">
        <f t="shared" si="51"/>
        <v>35</v>
      </c>
      <c r="H838" s="10">
        <v>0</v>
      </c>
      <c r="I838" s="1">
        <v>17500</v>
      </c>
      <c r="J838" s="1">
        <v>20</v>
      </c>
      <c r="K838" s="1">
        <v>0</v>
      </c>
      <c r="L838" s="1">
        <v>20000</v>
      </c>
      <c r="M838" s="1" t="s">
        <v>1917</v>
      </c>
      <c r="N838" s="1" t="s">
        <v>1071</v>
      </c>
      <c r="O838" s="1">
        <v>0</v>
      </c>
      <c r="P838" s="1" t="s">
        <v>2077</v>
      </c>
      <c r="Q838" s="7" t="s">
        <v>2430</v>
      </c>
    </row>
    <row r="839" spans="1:17" ht="14.25" thickBot="1">
      <c r="A839" s="1" t="s">
        <v>901</v>
      </c>
      <c r="B839" s="3">
        <v>1</v>
      </c>
      <c r="C839" s="1" t="s">
        <v>2538</v>
      </c>
      <c r="D839" s="1" t="str">
        <f t="shared" si="50"/>
        <v>胸甲</v>
      </c>
      <c r="E839" s="1">
        <f>INDEX([1]游戏类型定义!$C$20:$C$29,MATCH(D839,[1]!装备部位,0))</f>
        <v>4</v>
      </c>
      <c r="F839" s="1">
        <v>3</v>
      </c>
      <c r="G839" s="1">
        <f t="shared" si="51"/>
        <v>35</v>
      </c>
      <c r="H839" s="10">
        <v>0</v>
      </c>
      <c r="I839" s="1">
        <v>19000</v>
      </c>
      <c r="J839" s="1">
        <v>20</v>
      </c>
      <c r="K839" s="1">
        <v>0</v>
      </c>
      <c r="L839" s="1">
        <v>22500</v>
      </c>
      <c r="M839" s="1" t="s">
        <v>1918</v>
      </c>
      <c r="N839" s="1" t="s">
        <v>1071</v>
      </c>
      <c r="O839" s="1">
        <v>0</v>
      </c>
      <c r="P839" s="1" t="s">
        <v>2077</v>
      </c>
      <c r="Q839" s="7" t="s">
        <v>2063</v>
      </c>
    </row>
    <row r="840" spans="1:17" ht="14.25" thickBot="1">
      <c r="A840" s="1" t="s">
        <v>902</v>
      </c>
      <c r="B840" s="3">
        <v>1</v>
      </c>
      <c r="C840" s="1" t="s">
        <v>2184</v>
      </c>
      <c r="D840" s="1" t="str">
        <f t="shared" si="50"/>
        <v>护腿</v>
      </c>
      <c r="E840" s="1">
        <f>INDEX([1]游戏类型定义!$C$20:$C$29,MATCH(D840,[1]!装备部位,0))</f>
        <v>7</v>
      </c>
      <c r="F840" s="1">
        <v>3</v>
      </c>
      <c r="G840" s="1">
        <f t="shared" si="51"/>
        <v>35</v>
      </c>
      <c r="H840" s="10">
        <v>0</v>
      </c>
      <c r="I840" s="1">
        <v>17500</v>
      </c>
      <c r="J840" s="1">
        <v>20</v>
      </c>
      <c r="K840" s="1">
        <v>0</v>
      </c>
      <c r="L840" s="1">
        <v>20000</v>
      </c>
      <c r="M840" s="1" t="s">
        <v>1917</v>
      </c>
      <c r="N840" s="1" t="s">
        <v>1071</v>
      </c>
      <c r="O840" s="1">
        <v>0</v>
      </c>
      <c r="P840" s="1" t="s">
        <v>2077</v>
      </c>
      <c r="Q840" s="7" t="s">
        <v>2418</v>
      </c>
    </row>
    <row r="841" spans="1:17" ht="14.25" thickBot="1">
      <c r="A841" s="1" t="s">
        <v>903</v>
      </c>
      <c r="B841" s="2">
        <v>0</v>
      </c>
      <c r="C841" s="1" t="s">
        <v>2038</v>
      </c>
      <c r="D841" s="1" t="str">
        <f t="shared" si="50"/>
        <v>护腿</v>
      </c>
      <c r="E841" s="1">
        <f>INDEX([1]游戏类型定义!$C$20:$C$29,MATCH(D841,[1]!装备部位,0))</f>
        <v>7</v>
      </c>
      <c r="F841" s="1">
        <v>3</v>
      </c>
      <c r="G841" s="1">
        <f t="shared" si="51"/>
        <v>35</v>
      </c>
      <c r="H841" s="10">
        <v>0</v>
      </c>
      <c r="I841" s="1">
        <v>19000</v>
      </c>
      <c r="J841" s="1">
        <v>20</v>
      </c>
      <c r="K841" s="1">
        <v>0</v>
      </c>
      <c r="L841" s="1">
        <v>22500</v>
      </c>
      <c r="M841" s="1" t="s">
        <v>1919</v>
      </c>
      <c r="N841" s="1" t="s">
        <v>1071</v>
      </c>
      <c r="O841" s="1">
        <v>0</v>
      </c>
      <c r="P841" s="1" t="s">
        <v>2077</v>
      </c>
      <c r="Q841" s="7" t="s">
        <v>2064</v>
      </c>
    </row>
    <row r="842" spans="1:17" ht="14.25" thickBot="1">
      <c r="A842" s="1" t="s">
        <v>904</v>
      </c>
      <c r="B842" s="3">
        <v>1</v>
      </c>
      <c r="C842" s="1" t="s">
        <v>2101</v>
      </c>
      <c r="D842" s="1" t="str">
        <f t="shared" si="50"/>
        <v>头盔</v>
      </c>
      <c r="E842" s="1">
        <f>INDEX([1]游戏类型定义!$C$20:$C$29,MATCH(D842,[1]!装备部位,0))</f>
        <v>1</v>
      </c>
      <c r="F842" s="1">
        <v>3</v>
      </c>
      <c r="G842" s="1">
        <f t="shared" si="51"/>
        <v>40</v>
      </c>
      <c r="H842" s="10">
        <v>0</v>
      </c>
      <c r="I842" s="1">
        <v>20000</v>
      </c>
      <c r="J842" s="1">
        <v>20</v>
      </c>
      <c r="K842" s="1">
        <v>0</v>
      </c>
      <c r="L842" s="1">
        <v>22500</v>
      </c>
      <c r="M842" s="1" t="s">
        <v>1920</v>
      </c>
      <c r="N842" s="1" t="s">
        <v>1073</v>
      </c>
      <c r="O842" s="1">
        <v>0</v>
      </c>
      <c r="P842" s="1" t="s">
        <v>2078</v>
      </c>
      <c r="Q842" s="7" t="s">
        <v>2431</v>
      </c>
    </row>
    <row r="843" spans="1:17" ht="14.25" thickBot="1">
      <c r="A843" s="1" t="s">
        <v>905</v>
      </c>
      <c r="B843" s="3">
        <v>1</v>
      </c>
      <c r="C843" s="1" t="s">
        <v>2114</v>
      </c>
      <c r="D843" s="1" t="str">
        <f t="shared" si="50"/>
        <v>戒指</v>
      </c>
      <c r="E843" s="1">
        <f>INDEX([1]游戏类型定义!$C$20:$C$29,MATCH(D843,[1]!装备部位,0))</f>
        <v>2</v>
      </c>
      <c r="F843" s="1">
        <v>3</v>
      </c>
      <c r="G843" s="1">
        <f t="shared" si="51"/>
        <v>40</v>
      </c>
      <c r="H843" s="10">
        <v>0</v>
      </c>
      <c r="I843" s="1">
        <v>20000</v>
      </c>
      <c r="J843" s="1">
        <v>20</v>
      </c>
      <c r="K843" s="1">
        <v>0</v>
      </c>
      <c r="L843" s="1">
        <v>22500</v>
      </c>
      <c r="M843" s="1" t="s">
        <v>1921</v>
      </c>
      <c r="N843" s="1" t="s">
        <v>1073</v>
      </c>
      <c r="O843" s="1">
        <v>0</v>
      </c>
      <c r="P843" s="1" t="s">
        <v>2078</v>
      </c>
      <c r="Q843" s="7" t="s">
        <v>2432</v>
      </c>
    </row>
    <row r="844" spans="1:17" ht="14.25" thickBot="1">
      <c r="A844" s="1" t="s">
        <v>906</v>
      </c>
      <c r="B844" s="3">
        <v>1</v>
      </c>
      <c r="C844" s="1" t="s">
        <v>2093</v>
      </c>
      <c r="D844" s="1" t="str">
        <f t="shared" si="50"/>
        <v>腰带</v>
      </c>
      <c r="E844" s="1">
        <f>INDEX([1]游戏类型定义!$C$20:$C$29,MATCH(D844,[1]!装备部位,0))</f>
        <v>3</v>
      </c>
      <c r="F844" s="1">
        <v>3</v>
      </c>
      <c r="G844" s="1">
        <f t="shared" si="51"/>
        <v>40</v>
      </c>
      <c r="H844" s="10">
        <v>0</v>
      </c>
      <c r="I844" s="1">
        <v>20000</v>
      </c>
      <c r="J844" s="1">
        <v>20</v>
      </c>
      <c r="K844" s="1">
        <v>0</v>
      </c>
      <c r="L844" s="1">
        <v>22500</v>
      </c>
      <c r="M844" s="1" t="s">
        <v>1922</v>
      </c>
      <c r="N844" s="1" t="s">
        <v>1073</v>
      </c>
      <c r="O844" s="1">
        <v>0</v>
      </c>
      <c r="P844" s="1" t="s">
        <v>2078</v>
      </c>
      <c r="Q844" s="7" t="s">
        <v>2433</v>
      </c>
    </row>
    <row r="845" spans="1:17" ht="14.25" thickBot="1">
      <c r="A845" s="1" t="s">
        <v>907</v>
      </c>
      <c r="B845" s="3">
        <v>1</v>
      </c>
      <c r="C845" s="1" t="s">
        <v>2126</v>
      </c>
      <c r="D845" s="1" t="str">
        <f t="shared" si="50"/>
        <v>鞋子</v>
      </c>
      <c r="E845" s="1">
        <f>INDEX([1]游戏类型定义!$C$20:$C$29,MATCH(D845,[1]!装备部位,0))</f>
        <v>8</v>
      </c>
      <c r="F845" s="1">
        <v>3</v>
      </c>
      <c r="G845" s="1">
        <f t="shared" si="51"/>
        <v>40</v>
      </c>
      <c r="H845" s="10">
        <v>0</v>
      </c>
      <c r="I845" s="1">
        <v>20000</v>
      </c>
      <c r="J845" s="1">
        <v>20</v>
      </c>
      <c r="K845" s="1">
        <v>0</v>
      </c>
      <c r="L845" s="1">
        <v>22500</v>
      </c>
      <c r="M845" s="1" t="s">
        <v>1923</v>
      </c>
      <c r="N845" s="1" t="s">
        <v>1073</v>
      </c>
      <c r="O845" s="1">
        <v>0</v>
      </c>
      <c r="P845" s="1" t="s">
        <v>2078</v>
      </c>
      <c r="Q845" s="7" t="s">
        <v>2434</v>
      </c>
    </row>
    <row r="846" spans="1:17" ht="14.25" thickBot="1">
      <c r="A846" s="1" t="s">
        <v>908</v>
      </c>
      <c r="B846" s="3">
        <v>1</v>
      </c>
      <c r="C846" s="1" t="s">
        <v>2141</v>
      </c>
      <c r="D846" s="1" t="str">
        <f t="shared" si="50"/>
        <v>手套</v>
      </c>
      <c r="E846" s="1">
        <f>INDEX([1]游戏类型定义!$C$20:$C$29,MATCH(D846,[1]!装备部位,0))</f>
        <v>9</v>
      </c>
      <c r="F846" s="1">
        <v>3</v>
      </c>
      <c r="G846" s="1">
        <f t="shared" si="51"/>
        <v>40</v>
      </c>
      <c r="H846" s="10">
        <v>0</v>
      </c>
      <c r="I846" s="1">
        <v>20000</v>
      </c>
      <c r="J846" s="1">
        <v>20</v>
      </c>
      <c r="K846" s="1">
        <v>0</v>
      </c>
      <c r="L846" s="1">
        <v>22500</v>
      </c>
      <c r="M846" s="1" t="s">
        <v>1924</v>
      </c>
      <c r="N846" s="1" t="s">
        <v>1073</v>
      </c>
      <c r="O846" s="1">
        <v>0</v>
      </c>
      <c r="P846" s="1" t="s">
        <v>2078</v>
      </c>
      <c r="Q846" s="7" t="s">
        <v>2435</v>
      </c>
    </row>
    <row r="847" spans="1:17" ht="14.25" thickBot="1">
      <c r="A847" s="1" t="s">
        <v>909</v>
      </c>
      <c r="B847" s="2">
        <v>0</v>
      </c>
      <c r="C847" s="1" t="s">
        <v>2034</v>
      </c>
      <c r="D847" s="1" t="str">
        <f t="shared" si="50"/>
        <v>项链</v>
      </c>
      <c r="E847" s="1">
        <f>INDEX([1]游戏类型定义!$C$20:$C$29,MATCH(D847,[1]!装备部位,0))</f>
        <v>10</v>
      </c>
      <c r="F847" s="1">
        <v>3</v>
      </c>
      <c r="G847" s="1">
        <f t="shared" si="51"/>
        <v>40</v>
      </c>
      <c r="H847" s="10">
        <v>0</v>
      </c>
      <c r="I847" s="1">
        <v>20000</v>
      </c>
      <c r="J847" s="1">
        <v>20</v>
      </c>
      <c r="K847" s="1">
        <v>0</v>
      </c>
      <c r="L847" s="1">
        <v>22500</v>
      </c>
      <c r="M847" s="1" t="s">
        <v>1909</v>
      </c>
      <c r="N847" s="1" t="s">
        <v>1073</v>
      </c>
      <c r="O847" s="1">
        <v>0</v>
      </c>
      <c r="P847" s="1" t="s">
        <v>2078</v>
      </c>
      <c r="Q847" s="7" t="s">
        <v>2056</v>
      </c>
    </row>
    <row r="848" spans="1:17" ht="14.25" thickBot="1">
      <c r="A848" s="1" t="s">
        <v>910</v>
      </c>
      <c r="B848" s="3">
        <v>1</v>
      </c>
      <c r="C848" s="9" t="s">
        <v>2316</v>
      </c>
      <c r="D848" s="1" t="str">
        <f t="shared" si="50"/>
        <v>主手武器</v>
      </c>
      <c r="E848" s="1">
        <f>INDEX([1]游戏类型定义!$C$20:$C$29,MATCH(D848,[1]!装备部位,0))</f>
        <v>5</v>
      </c>
      <c r="F848" s="1">
        <v>3</v>
      </c>
      <c r="G848" s="1">
        <f t="shared" si="51"/>
        <v>40</v>
      </c>
      <c r="H848" s="10" t="s">
        <v>2320</v>
      </c>
      <c r="I848" s="1">
        <v>20000</v>
      </c>
      <c r="J848" s="1">
        <v>20</v>
      </c>
      <c r="K848" s="1">
        <v>0</v>
      </c>
      <c r="L848" s="1">
        <v>22500</v>
      </c>
      <c r="M848" s="1" t="s">
        <v>1925</v>
      </c>
      <c r="N848" s="1" t="s">
        <v>1074</v>
      </c>
      <c r="O848" s="1">
        <v>0</v>
      </c>
      <c r="P848" s="1" t="s">
        <v>2078</v>
      </c>
      <c r="Q848" s="7" t="s">
        <v>2436</v>
      </c>
    </row>
    <row r="849" spans="1:17" ht="14.25" thickBot="1">
      <c r="A849" s="1" t="s">
        <v>911</v>
      </c>
      <c r="B849" s="3">
        <v>1</v>
      </c>
      <c r="C849" s="9" t="s">
        <v>2252</v>
      </c>
      <c r="D849" s="1" t="str">
        <f t="shared" si="50"/>
        <v>主手武器</v>
      </c>
      <c r="E849" s="1">
        <f>INDEX([1]游戏类型定义!$C$20:$C$29,MATCH(D849,[1]!装备部位,0))</f>
        <v>5</v>
      </c>
      <c r="F849" s="1">
        <v>3</v>
      </c>
      <c r="G849" s="1">
        <f t="shared" si="51"/>
        <v>40</v>
      </c>
      <c r="H849" s="10" t="s">
        <v>2320</v>
      </c>
      <c r="I849" s="1">
        <v>21500</v>
      </c>
      <c r="J849" s="1">
        <v>20</v>
      </c>
      <c r="K849" s="1">
        <v>0</v>
      </c>
      <c r="L849" s="1">
        <v>25000</v>
      </c>
      <c r="M849" s="1" t="s">
        <v>2023</v>
      </c>
      <c r="N849" s="1" t="s">
        <v>1074</v>
      </c>
      <c r="O849" s="1">
        <v>0</v>
      </c>
      <c r="P849" s="1" t="s">
        <v>2078</v>
      </c>
      <c r="Q849" s="7" t="s">
        <v>2437</v>
      </c>
    </row>
    <row r="850" spans="1:17" ht="14.25" thickBot="1">
      <c r="A850" s="1" t="s">
        <v>912</v>
      </c>
      <c r="B850" s="3">
        <v>1</v>
      </c>
      <c r="C850" s="9" t="s">
        <v>2253</v>
      </c>
      <c r="D850" s="1" t="str">
        <f t="shared" si="50"/>
        <v>副手武器</v>
      </c>
      <c r="E850" s="1">
        <f>INDEX([1]游戏类型定义!$C$20:$C$29,MATCH(D850,[1]!装备部位,0))</f>
        <v>6</v>
      </c>
      <c r="F850" s="1">
        <v>3</v>
      </c>
      <c r="G850" s="1">
        <f t="shared" si="51"/>
        <v>40</v>
      </c>
      <c r="H850" s="10" t="s">
        <v>2320</v>
      </c>
      <c r="I850" s="1">
        <v>20000</v>
      </c>
      <c r="J850" s="1">
        <v>20</v>
      </c>
      <c r="K850" s="1">
        <v>0</v>
      </c>
      <c r="L850" s="1">
        <v>22500</v>
      </c>
      <c r="M850" s="1" t="s">
        <v>1926</v>
      </c>
      <c r="N850" s="1" t="s">
        <v>1074</v>
      </c>
      <c r="O850" s="1">
        <v>0</v>
      </c>
      <c r="P850" s="1" t="s">
        <v>2078</v>
      </c>
      <c r="Q850" s="7" t="s">
        <v>2438</v>
      </c>
    </row>
    <row r="851" spans="1:17" ht="14.25" thickBot="1">
      <c r="A851" s="1" t="s">
        <v>913</v>
      </c>
      <c r="B851" s="2">
        <v>0</v>
      </c>
      <c r="C851" s="9" t="s">
        <v>2044</v>
      </c>
      <c r="D851" s="1" t="str">
        <f t="shared" si="50"/>
        <v>副手武器</v>
      </c>
      <c r="E851" s="1">
        <f>INDEX([1]游戏类型定义!$C$20:$C$29,MATCH(D851,[1]!装备部位,0))</f>
        <v>6</v>
      </c>
      <c r="F851" s="1">
        <v>3</v>
      </c>
      <c r="G851" s="1">
        <f t="shared" si="51"/>
        <v>40</v>
      </c>
      <c r="H851" s="10" t="s">
        <v>2320</v>
      </c>
      <c r="I851" s="1">
        <v>21500</v>
      </c>
      <c r="J851" s="1">
        <v>20</v>
      </c>
      <c r="K851" s="1">
        <v>0</v>
      </c>
      <c r="L851" s="1">
        <v>25000</v>
      </c>
      <c r="M851" s="1" t="s">
        <v>1927</v>
      </c>
      <c r="N851" s="1" t="s">
        <v>1074</v>
      </c>
      <c r="O851" s="1">
        <v>0</v>
      </c>
      <c r="P851" s="1" t="s">
        <v>2078</v>
      </c>
      <c r="Q851" s="7" t="s">
        <v>2058</v>
      </c>
    </row>
    <row r="852" spans="1:17" ht="14.25" thickBot="1">
      <c r="A852" s="1" t="s">
        <v>914</v>
      </c>
      <c r="B852" s="3">
        <v>1</v>
      </c>
      <c r="C852" s="1" t="s">
        <v>2254</v>
      </c>
      <c r="D852" s="1" t="str">
        <f t="shared" si="50"/>
        <v>主手武器</v>
      </c>
      <c r="E852" s="1">
        <f>INDEX([1]游戏类型定义!$C$20:$C$29,MATCH(D852,[1]!装备部位,0))</f>
        <v>5</v>
      </c>
      <c r="F852" s="1">
        <v>3</v>
      </c>
      <c r="G852" s="1">
        <f t="shared" si="51"/>
        <v>40</v>
      </c>
      <c r="H852" s="10" t="s">
        <v>2321</v>
      </c>
      <c r="I852" s="1">
        <v>20000</v>
      </c>
      <c r="J852" s="1">
        <v>20</v>
      </c>
      <c r="K852" s="1">
        <v>0</v>
      </c>
      <c r="L852" s="1">
        <v>22500</v>
      </c>
      <c r="M852" s="1" t="s">
        <v>1925</v>
      </c>
      <c r="N852" s="1" t="s">
        <v>1074</v>
      </c>
      <c r="O852" s="1">
        <v>0</v>
      </c>
      <c r="P852" s="1" t="s">
        <v>2078</v>
      </c>
      <c r="Q852" s="7" t="s">
        <v>2439</v>
      </c>
    </row>
    <row r="853" spans="1:17" ht="14.25" thickBot="1">
      <c r="A853" s="1" t="s">
        <v>915</v>
      </c>
      <c r="B853" s="3">
        <v>1</v>
      </c>
      <c r="C853" s="1" t="s">
        <v>2255</v>
      </c>
      <c r="D853" s="1" t="str">
        <f t="shared" si="50"/>
        <v>主手武器</v>
      </c>
      <c r="E853" s="1">
        <f>INDEX([1]游戏类型定义!$C$20:$C$29,MATCH(D853,[1]!装备部位,0))</f>
        <v>5</v>
      </c>
      <c r="F853" s="1">
        <v>3</v>
      </c>
      <c r="G853" s="1">
        <f t="shared" si="51"/>
        <v>40</v>
      </c>
      <c r="H853" s="10" t="s">
        <v>2321</v>
      </c>
      <c r="I853" s="1">
        <v>21500</v>
      </c>
      <c r="J853" s="1">
        <v>20</v>
      </c>
      <c r="K853" s="1">
        <v>0</v>
      </c>
      <c r="L853" s="1">
        <v>25000</v>
      </c>
      <c r="M853" s="1" t="s">
        <v>2023</v>
      </c>
      <c r="N853" s="1" t="s">
        <v>1074</v>
      </c>
      <c r="O853" s="1">
        <v>0</v>
      </c>
      <c r="P853" s="1" t="s">
        <v>2078</v>
      </c>
      <c r="Q853" s="7" t="s">
        <v>2440</v>
      </c>
    </row>
    <row r="854" spans="1:17" ht="14.25" thickBot="1">
      <c r="A854" s="1" t="s">
        <v>916</v>
      </c>
      <c r="B854" s="3">
        <v>1</v>
      </c>
      <c r="C854" s="9" t="s">
        <v>2256</v>
      </c>
      <c r="D854" s="1" t="str">
        <f t="shared" si="50"/>
        <v>副手武器</v>
      </c>
      <c r="E854" s="1">
        <f>INDEX([1]游戏类型定义!$C$20:$C$29,MATCH(D854,[1]!装备部位,0))</f>
        <v>6</v>
      </c>
      <c r="F854" s="1">
        <v>3</v>
      </c>
      <c r="G854" s="1">
        <f t="shared" si="51"/>
        <v>40</v>
      </c>
      <c r="H854" s="10" t="s">
        <v>2321</v>
      </c>
      <c r="I854" s="1">
        <v>20000</v>
      </c>
      <c r="J854" s="1">
        <v>20</v>
      </c>
      <c r="K854" s="1">
        <v>0</v>
      </c>
      <c r="L854" s="1">
        <v>22500</v>
      </c>
      <c r="M854" s="1" t="s">
        <v>1924</v>
      </c>
      <c r="N854" s="1" t="s">
        <v>1074</v>
      </c>
      <c r="O854" s="1">
        <v>0</v>
      </c>
      <c r="P854" s="1" t="s">
        <v>2078</v>
      </c>
      <c r="Q854" s="7" t="s">
        <v>2441</v>
      </c>
    </row>
    <row r="855" spans="1:17" ht="14.25" thickBot="1">
      <c r="A855" s="1" t="s">
        <v>917</v>
      </c>
      <c r="B855" s="2">
        <v>0</v>
      </c>
      <c r="C855" s="9" t="s">
        <v>2042</v>
      </c>
      <c r="D855" s="1" t="str">
        <f t="shared" si="50"/>
        <v>副手武器</v>
      </c>
      <c r="E855" s="1">
        <f>INDEX([1]游戏类型定义!$C$20:$C$29,MATCH(D855,[1]!装备部位,0))</f>
        <v>6</v>
      </c>
      <c r="F855" s="1">
        <v>3</v>
      </c>
      <c r="G855" s="1">
        <f t="shared" si="51"/>
        <v>40</v>
      </c>
      <c r="H855" s="10" t="s">
        <v>2321</v>
      </c>
      <c r="I855" s="1">
        <v>21500</v>
      </c>
      <c r="J855" s="1">
        <v>20</v>
      </c>
      <c r="K855" s="1">
        <v>0</v>
      </c>
      <c r="L855" s="1">
        <v>25000</v>
      </c>
      <c r="M855" s="1" t="s">
        <v>1928</v>
      </c>
      <c r="N855" s="1" t="s">
        <v>1074</v>
      </c>
      <c r="O855" s="1">
        <v>0</v>
      </c>
      <c r="P855" s="1" t="s">
        <v>2078</v>
      </c>
      <c r="Q855" s="7" t="s">
        <v>2060</v>
      </c>
    </row>
    <row r="856" spans="1:17" ht="14.25" thickBot="1">
      <c r="A856" s="1" t="s">
        <v>918</v>
      </c>
      <c r="B856" s="3">
        <v>1</v>
      </c>
      <c r="C856" s="9" t="s">
        <v>2258</v>
      </c>
      <c r="D856" s="1" t="str">
        <f t="shared" ref="D856:D875" si="52">D526</f>
        <v>主手武器</v>
      </c>
      <c r="E856" s="1">
        <f>INDEX([1]游戏类型定义!$C$20:$C$29,MATCH(D856,[1]!装备部位,0))</f>
        <v>5</v>
      </c>
      <c r="F856" s="1">
        <v>3</v>
      </c>
      <c r="G856" s="1">
        <f t="shared" ref="G856:G875" si="53">G526</f>
        <v>40</v>
      </c>
      <c r="H856" s="10" t="s">
        <v>2322</v>
      </c>
      <c r="I856" s="1">
        <v>20000</v>
      </c>
      <c r="J856" s="1">
        <v>20</v>
      </c>
      <c r="K856" s="1">
        <v>0</v>
      </c>
      <c r="L856" s="1">
        <v>22500</v>
      </c>
      <c r="M856" s="1" t="s">
        <v>1925</v>
      </c>
      <c r="N856" s="1" t="s">
        <v>1074</v>
      </c>
      <c r="O856" s="1">
        <v>0</v>
      </c>
      <c r="P856" s="1" t="s">
        <v>2078</v>
      </c>
      <c r="Q856" s="7" t="s">
        <v>2442</v>
      </c>
    </row>
    <row r="857" spans="1:17" ht="14.25" thickBot="1">
      <c r="A857" s="1" t="s">
        <v>919</v>
      </c>
      <c r="B857" s="3">
        <v>1</v>
      </c>
      <c r="C857" s="9" t="s">
        <v>2250</v>
      </c>
      <c r="D857" s="1" t="str">
        <f t="shared" si="52"/>
        <v>主手武器</v>
      </c>
      <c r="E857" s="1">
        <f>INDEX([1]游戏类型定义!$C$20:$C$29,MATCH(D857,[1]!装备部位,0))</f>
        <v>5</v>
      </c>
      <c r="F857" s="1">
        <v>3</v>
      </c>
      <c r="G857" s="1">
        <f t="shared" si="53"/>
        <v>40</v>
      </c>
      <c r="H857" s="10" t="s">
        <v>2322</v>
      </c>
      <c r="I857" s="1">
        <v>21500</v>
      </c>
      <c r="J857" s="1">
        <v>20</v>
      </c>
      <c r="K857" s="1">
        <v>0</v>
      </c>
      <c r="L857" s="1">
        <v>25000</v>
      </c>
      <c r="M857" s="1" t="s">
        <v>2023</v>
      </c>
      <c r="N857" s="1" t="s">
        <v>1074</v>
      </c>
      <c r="O857" s="1">
        <v>0</v>
      </c>
      <c r="P857" s="1" t="s">
        <v>2078</v>
      </c>
      <c r="Q857" s="7" t="s">
        <v>2443</v>
      </c>
    </row>
    <row r="858" spans="1:17" ht="14.25" thickBot="1">
      <c r="A858" s="1" t="s">
        <v>920</v>
      </c>
      <c r="B858" s="3">
        <v>1</v>
      </c>
      <c r="C858" s="9" t="s">
        <v>2259</v>
      </c>
      <c r="D858" s="1" t="str">
        <f t="shared" si="52"/>
        <v>副手武器</v>
      </c>
      <c r="E858" s="1">
        <f>INDEX([1]游戏类型定义!$C$20:$C$29,MATCH(D858,[1]!装备部位,0))</f>
        <v>6</v>
      </c>
      <c r="F858" s="1">
        <v>3</v>
      </c>
      <c r="G858" s="1">
        <f t="shared" si="53"/>
        <v>40</v>
      </c>
      <c r="H858" s="10" t="s">
        <v>2322</v>
      </c>
      <c r="I858" s="1">
        <v>20000</v>
      </c>
      <c r="J858" s="1">
        <v>20</v>
      </c>
      <c r="K858" s="1">
        <v>0</v>
      </c>
      <c r="L858" s="1">
        <v>22500</v>
      </c>
      <c r="M858" s="1" t="s">
        <v>1929</v>
      </c>
      <c r="N858" s="1" t="s">
        <v>1074</v>
      </c>
      <c r="O858" s="1">
        <v>0</v>
      </c>
      <c r="P858" s="1" t="s">
        <v>2078</v>
      </c>
      <c r="Q858" s="7" t="s">
        <v>2444</v>
      </c>
    </row>
    <row r="859" spans="1:17" ht="14.25" thickBot="1">
      <c r="A859" s="1" t="s">
        <v>921</v>
      </c>
      <c r="B859" s="2">
        <v>0</v>
      </c>
      <c r="C859" s="9" t="s">
        <v>2050</v>
      </c>
      <c r="D859" s="1" t="str">
        <f t="shared" si="52"/>
        <v>副手武器</v>
      </c>
      <c r="E859" s="1">
        <f>INDEX([1]游戏类型定义!$C$20:$C$29,MATCH(D859,[1]!装备部位,0))</f>
        <v>6</v>
      </c>
      <c r="F859" s="1">
        <v>3</v>
      </c>
      <c r="G859" s="1">
        <f t="shared" si="53"/>
        <v>40</v>
      </c>
      <c r="H859" s="10" t="s">
        <v>2322</v>
      </c>
      <c r="I859" s="1">
        <v>21500</v>
      </c>
      <c r="J859" s="1">
        <v>20</v>
      </c>
      <c r="K859" s="1">
        <v>0</v>
      </c>
      <c r="L859" s="1">
        <v>25000</v>
      </c>
      <c r="M859" s="1" t="s">
        <v>1930</v>
      </c>
      <c r="N859" s="1" t="s">
        <v>1074</v>
      </c>
      <c r="O859" s="1">
        <v>0</v>
      </c>
      <c r="P859" s="1" t="s">
        <v>2078</v>
      </c>
      <c r="Q859" s="7" t="s">
        <v>2062</v>
      </c>
    </row>
    <row r="860" spans="1:17" ht="14.25" thickBot="1">
      <c r="A860" s="1" t="s">
        <v>922</v>
      </c>
      <c r="B860" s="3">
        <v>1</v>
      </c>
      <c r="C860" s="1" t="s">
        <v>2167</v>
      </c>
      <c r="D860" s="1" t="str">
        <f t="shared" si="52"/>
        <v>胸甲</v>
      </c>
      <c r="E860" s="1">
        <f>INDEX([1]游戏类型定义!$C$20:$C$29,MATCH(D860,[1]!装备部位,0))</f>
        <v>4</v>
      </c>
      <c r="F860" s="1">
        <v>3</v>
      </c>
      <c r="G860" s="1">
        <f t="shared" si="53"/>
        <v>40</v>
      </c>
      <c r="H860" s="10">
        <v>0</v>
      </c>
      <c r="I860" s="1">
        <v>20000</v>
      </c>
      <c r="J860" s="1">
        <v>20</v>
      </c>
      <c r="K860" s="1">
        <v>0</v>
      </c>
      <c r="L860" s="1">
        <v>22500</v>
      </c>
      <c r="M860" s="1" t="s">
        <v>1931</v>
      </c>
      <c r="N860" s="1" t="s">
        <v>1073</v>
      </c>
      <c r="O860" s="1">
        <v>0</v>
      </c>
      <c r="P860" s="1" t="s">
        <v>2078</v>
      </c>
      <c r="Q860" s="7" t="s">
        <v>2445</v>
      </c>
    </row>
    <row r="861" spans="1:17" ht="14.25" thickBot="1">
      <c r="A861" s="1" t="s">
        <v>923</v>
      </c>
      <c r="B861" s="2">
        <v>0</v>
      </c>
      <c r="C861" s="1" t="s">
        <v>2030</v>
      </c>
      <c r="D861" s="1" t="str">
        <f t="shared" si="52"/>
        <v>胸甲</v>
      </c>
      <c r="E861" s="1">
        <f>INDEX([1]游戏类型定义!$C$20:$C$29,MATCH(D861,[1]!装备部位,0))</f>
        <v>4</v>
      </c>
      <c r="F861" s="1">
        <v>3</v>
      </c>
      <c r="G861" s="1">
        <f t="shared" si="53"/>
        <v>40</v>
      </c>
      <c r="H861" s="10">
        <v>0</v>
      </c>
      <c r="I861" s="1">
        <v>21500</v>
      </c>
      <c r="J861" s="1">
        <v>20</v>
      </c>
      <c r="K861" s="1">
        <v>0</v>
      </c>
      <c r="L861" s="1">
        <v>25000</v>
      </c>
      <c r="M861" s="1" t="s">
        <v>1932</v>
      </c>
      <c r="N861" s="1" t="s">
        <v>1073</v>
      </c>
      <c r="O861" s="1">
        <v>0</v>
      </c>
      <c r="P861" s="1" t="s">
        <v>2078</v>
      </c>
      <c r="Q861" s="7" t="s">
        <v>2063</v>
      </c>
    </row>
    <row r="862" spans="1:17" ht="14.25" thickBot="1">
      <c r="A862" s="1" t="s">
        <v>924</v>
      </c>
      <c r="B862" s="3">
        <v>1</v>
      </c>
      <c r="C862" s="1" t="s">
        <v>2185</v>
      </c>
      <c r="D862" s="1" t="str">
        <f t="shared" si="52"/>
        <v>护腿</v>
      </c>
      <c r="E862" s="1">
        <f>INDEX([1]游戏类型定义!$C$20:$C$29,MATCH(D862,[1]!装备部位,0))</f>
        <v>7</v>
      </c>
      <c r="F862" s="1">
        <v>3</v>
      </c>
      <c r="G862" s="1">
        <f t="shared" si="53"/>
        <v>40</v>
      </c>
      <c r="H862" s="10">
        <v>0</v>
      </c>
      <c r="I862" s="1">
        <v>20000</v>
      </c>
      <c r="J862" s="1">
        <v>20</v>
      </c>
      <c r="K862" s="1">
        <v>0</v>
      </c>
      <c r="L862" s="1">
        <v>22500</v>
      </c>
      <c r="M862" s="1" t="s">
        <v>1933</v>
      </c>
      <c r="N862" s="1" t="s">
        <v>1073</v>
      </c>
      <c r="O862" s="1">
        <v>0</v>
      </c>
      <c r="P862" s="1" t="s">
        <v>2078</v>
      </c>
      <c r="Q862" s="7" t="s">
        <v>2446</v>
      </c>
    </row>
    <row r="863" spans="1:17" ht="14.25" thickBot="1">
      <c r="A863" s="1" t="s">
        <v>925</v>
      </c>
      <c r="B863" s="2">
        <v>0</v>
      </c>
      <c r="C863" s="1" t="s">
        <v>2038</v>
      </c>
      <c r="D863" s="1" t="str">
        <f t="shared" si="52"/>
        <v>护腿</v>
      </c>
      <c r="E863" s="1">
        <f>INDEX([1]游戏类型定义!$C$20:$C$29,MATCH(D863,[1]!装备部位,0))</f>
        <v>7</v>
      </c>
      <c r="F863" s="1">
        <v>3</v>
      </c>
      <c r="G863" s="1">
        <f t="shared" si="53"/>
        <v>40</v>
      </c>
      <c r="H863" s="10">
        <v>0</v>
      </c>
      <c r="I863" s="1">
        <v>21500</v>
      </c>
      <c r="J863" s="1">
        <v>20</v>
      </c>
      <c r="K863" s="1">
        <v>0</v>
      </c>
      <c r="L863" s="1">
        <v>25000</v>
      </c>
      <c r="M863" s="1" t="s">
        <v>1934</v>
      </c>
      <c r="N863" s="1" t="s">
        <v>1073</v>
      </c>
      <c r="O863" s="1">
        <v>0</v>
      </c>
      <c r="P863" s="1" t="s">
        <v>2078</v>
      </c>
      <c r="Q863" s="7" t="s">
        <v>2064</v>
      </c>
    </row>
    <row r="864" spans="1:17" ht="14.25" thickBot="1">
      <c r="A864" s="1" t="s">
        <v>926</v>
      </c>
      <c r="B864" s="2">
        <v>0</v>
      </c>
      <c r="C864" s="1" t="s">
        <v>2104</v>
      </c>
      <c r="D864" s="1" t="str">
        <f t="shared" si="52"/>
        <v>头盔</v>
      </c>
      <c r="E864" s="1">
        <f>INDEX([1]游戏类型定义!$C$20:$C$29,MATCH(D864,[1]!装备部位,0))</f>
        <v>1</v>
      </c>
      <c r="F864" s="1">
        <v>3</v>
      </c>
      <c r="G864" s="1">
        <f t="shared" si="53"/>
        <v>45</v>
      </c>
      <c r="H864" s="10">
        <v>0</v>
      </c>
      <c r="I864" s="1">
        <v>22500</v>
      </c>
      <c r="J864" s="1">
        <v>20</v>
      </c>
      <c r="K864" s="1">
        <v>0</v>
      </c>
      <c r="L864" s="1">
        <v>25000</v>
      </c>
      <c r="M864" s="1" t="s">
        <v>1920</v>
      </c>
      <c r="N864" s="1" t="s">
        <v>1075</v>
      </c>
      <c r="O864" s="1">
        <v>0</v>
      </c>
      <c r="P864" s="1" t="s">
        <v>2079</v>
      </c>
      <c r="Q864" s="7" t="s">
        <v>2051</v>
      </c>
    </row>
    <row r="865" spans="1:17" ht="14.25" thickBot="1">
      <c r="A865" s="1" t="s">
        <v>927</v>
      </c>
      <c r="B865" s="2">
        <v>0</v>
      </c>
      <c r="C865" s="1" t="s">
        <v>2032</v>
      </c>
      <c r="D865" s="1" t="str">
        <f t="shared" si="52"/>
        <v>戒指</v>
      </c>
      <c r="E865" s="1">
        <f>INDEX([1]游戏类型定义!$C$20:$C$29,MATCH(D865,[1]!装备部位,0))</f>
        <v>2</v>
      </c>
      <c r="F865" s="1">
        <v>3</v>
      </c>
      <c r="G865" s="1">
        <f t="shared" si="53"/>
        <v>45</v>
      </c>
      <c r="H865" s="10">
        <v>0</v>
      </c>
      <c r="I865" s="1">
        <v>22500</v>
      </c>
      <c r="J865" s="1">
        <v>20</v>
      </c>
      <c r="K865" s="1">
        <v>0</v>
      </c>
      <c r="L865" s="1">
        <v>25000</v>
      </c>
      <c r="M865" s="1" t="s">
        <v>1921</v>
      </c>
      <c r="N865" s="1" t="s">
        <v>1075</v>
      </c>
      <c r="O865" s="1">
        <v>0</v>
      </c>
      <c r="P865" s="1" t="s">
        <v>2079</v>
      </c>
      <c r="Q865" s="7" t="s">
        <v>2052</v>
      </c>
    </row>
    <row r="866" spans="1:17" ht="14.25" thickBot="1">
      <c r="A866" s="1" t="s">
        <v>928</v>
      </c>
      <c r="B866" s="3">
        <v>1</v>
      </c>
      <c r="C866" s="1" t="s">
        <v>2110</v>
      </c>
      <c r="D866" s="1" t="str">
        <f t="shared" si="52"/>
        <v>腰带</v>
      </c>
      <c r="E866" s="1">
        <f>INDEX([1]游戏类型定义!$C$20:$C$29,MATCH(D866,[1]!装备部位,0))</f>
        <v>3</v>
      </c>
      <c r="F866" s="1">
        <v>3</v>
      </c>
      <c r="G866" s="1">
        <f t="shared" si="53"/>
        <v>45</v>
      </c>
      <c r="H866" s="10">
        <v>0</v>
      </c>
      <c r="I866" s="1">
        <v>22500</v>
      </c>
      <c r="J866" s="1">
        <v>20</v>
      </c>
      <c r="K866" s="1">
        <v>0</v>
      </c>
      <c r="L866" s="1">
        <v>25000</v>
      </c>
      <c r="M866" s="1" t="s">
        <v>1935</v>
      </c>
      <c r="N866" s="1" t="s">
        <v>1075</v>
      </c>
      <c r="O866" s="1">
        <v>0</v>
      </c>
      <c r="P866" s="1" t="s">
        <v>2079</v>
      </c>
      <c r="Q866" s="7" t="s">
        <v>2447</v>
      </c>
    </row>
    <row r="867" spans="1:17" ht="14.25" thickBot="1">
      <c r="A867" s="1" t="s">
        <v>929</v>
      </c>
      <c r="B867" s="3">
        <v>1</v>
      </c>
      <c r="C867" s="1" t="s">
        <v>2125</v>
      </c>
      <c r="D867" s="1" t="str">
        <f t="shared" si="52"/>
        <v>鞋子</v>
      </c>
      <c r="E867" s="1">
        <f>INDEX([1]游戏类型定义!$C$20:$C$29,MATCH(D867,[1]!装备部位,0))</f>
        <v>8</v>
      </c>
      <c r="F867" s="1">
        <v>3</v>
      </c>
      <c r="G867" s="1">
        <f t="shared" si="53"/>
        <v>45</v>
      </c>
      <c r="H867" s="10">
        <v>0</v>
      </c>
      <c r="I867" s="1">
        <v>22500</v>
      </c>
      <c r="J867" s="1">
        <v>20</v>
      </c>
      <c r="K867" s="1">
        <v>0</v>
      </c>
      <c r="L867" s="1">
        <v>25000</v>
      </c>
      <c r="M867" s="1" t="s">
        <v>1936</v>
      </c>
      <c r="N867" s="1" t="s">
        <v>1075</v>
      </c>
      <c r="O867" s="1">
        <v>0</v>
      </c>
      <c r="P867" s="1" t="s">
        <v>2079</v>
      </c>
      <c r="Q867" s="7" t="s">
        <v>2448</v>
      </c>
    </row>
    <row r="868" spans="1:17" ht="14.25" thickBot="1">
      <c r="A868" s="1" t="s">
        <v>930</v>
      </c>
      <c r="B868" s="3">
        <v>1</v>
      </c>
      <c r="C868" s="1" t="s">
        <v>2143</v>
      </c>
      <c r="D868" s="1" t="str">
        <f t="shared" si="52"/>
        <v>手套</v>
      </c>
      <c r="E868" s="1">
        <f>INDEX([1]游戏类型定义!$C$20:$C$29,MATCH(D868,[1]!装备部位,0))</f>
        <v>9</v>
      </c>
      <c r="F868" s="1">
        <v>3</v>
      </c>
      <c r="G868" s="1">
        <f t="shared" si="53"/>
        <v>45</v>
      </c>
      <c r="H868" s="10">
        <v>0</v>
      </c>
      <c r="I868" s="1">
        <v>22500</v>
      </c>
      <c r="J868" s="1">
        <v>20</v>
      </c>
      <c r="K868" s="1">
        <v>0</v>
      </c>
      <c r="L868" s="1">
        <v>25000</v>
      </c>
      <c r="M868" s="1" t="s">
        <v>1937</v>
      </c>
      <c r="N868" s="1" t="s">
        <v>1075</v>
      </c>
      <c r="O868" s="1">
        <v>0</v>
      </c>
      <c r="P868" s="1" t="s">
        <v>2079</v>
      </c>
      <c r="Q868" s="7" t="s">
        <v>2449</v>
      </c>
    </row>
    <row r="869" spans="1:17" ht="14.25" thickBot="1">
      <c r="A869" s="1" t="s">
        <v>931</v>
      </c>
      <c r="B869" s="3">
        <v>1</v>
      </c>
      <c r="C869" s="1" t="s">
        <v>2151</v>
      </c>
      <c r="D869" s="1" t="str">
        <f t="shared" si="52"/>
        <v>项链</v>
      </c>
      <c r="E869" s="1">
        <f>INDEX([1]游戏类型定义!$C$20:$C$29,MATCH(D869,[1]!装备部位,0))</f>
        <v>10</v>
      </c>
      <c r="F869" s="1">
        <v>3</v>
      </c>
      <c r="G869" s="1">
        <f t="shared" si="53"/>
        <v>45</v>
      </c>
      <c r="H869" s="10">
        <v>0</v>
      </c>
      <c r="I869" s="1">
        <v>22500</v>
      </c>
      <c r="J869" s="1">
        <v>20</v>
      </c>
      <c r="K869" s="1">
        <v>0</v>
      </c>
      <c r="L869" s="1">
        <v>25000</v>
      </c>
      <c r="M869" s="1" t="s">
        <v>1938</v>
      </c>
      <c r="N869" s="1" t="s">
        <v>1075</v>
      </c>
      <c r="O869" s="1">
        <v>0</v>
      </c>
      <c r="P869" s="1" t="s">
        <v>2079</v>
      </c>
      <c r="Q869" s="7" t="s">
        <v>2450</v>
      </c>
    </row>
    <row r="870" spans="1:17" ht="14.25" thickBot="1">
      <c r="A870" s="1" t="s">
        <v>932</v>
      </c>
      <c r="B870" s="3">
        <v>1</v>
      </c>
      <c r="C870" s="9" t="s">
        <v>2260</v>
      </c>
      <c r="D870" s="1" t="str">
        <f t="shared" si="52"/>
        <v>主手武器</v>
      </c>
      <c r="E870" s="1">
        <f>INDEX([1]游戏类型定义!$C$20:$C$29,MATCH(D870,[1]!装备部位,0))</f>
        <v>5</v>
      </c>
      <c r="F870" s="1">
        <v>3</v>
      </c>
      <c r="G870" s="1">
        <f t="shared" si="53"/>
        <v>45</v>
      </c>
      <c r="H870" s="10" t="s">
        <v>2320</v>
      </c>
      <c r="I870" s="1">
        <v>22500</v>
      </c>
      <c r="J870" s="1">
        <v>20</v>
      </c>
      <c r="K870" s="1">
        <v>0</v>
      </c>
      <c r="L870" s="1">
        <v>25000</v>
      </c>
      <c r="M870" s="1" t="s">
        <v>2024</v>
      </c>
      <c r="N870" s="1" t="s">
        <v>1076</v>
      </c>
      <c r="O870" s="1">
        <v>0</v>
      </c>
      <c r="P870" s="1" t="s">
        <v>2079</v>
      </c>
      <c r="Q870" s="7" t="s">
        <v>2451</v>
      </c>
    </row>
    <row r="871" spans="1:17" ht="14.25" thickBot="1">
      <c r="A871" s="1" t="s">
        <v>933</v>
      </c>
      <c r="B871" s="2">
        <v>0</v>
      </c>
      <c r="C871" s="9" t="s">
        <v>2046</v>
      </c>
      <c r="D871" s="1" t="str">
        <f t="shared" si="52"/>
        <v>主手武器</v>
      </c>
      <c r="E871" s="1">
        <f>INDEX([1]游戏类型定义!$C$20:$C$29,MATCH(D871,[1]!装备部位,0))</f>
        <v>5</v>
      </c>
      <c r="F871" s="1">
        <v>3</v>
      </c>
      <c r="G871" s="1">
        <f t="shared" si="53"/>
        <v>45</v>
      </c>
      <c r="H871" s="10" t="s">
        <v>2320</v>
      </c>
      <c r="I871" s="1">
        <v>24000</v>
      </c>
      <c r="J871" s="1">
        <v>20</v>
      </c>
      <c r="K871" s="1">
        <v>0</v>
      </c>
      <c r="L871" s="1">
        <v>27500</v>
      </c>
      <c r="M871" s="1" t="s">
        <v>2025</v>
      </c>
      <c r="N871" s="1" t="s">
        <v>1076</v>
      </c>
      <c r="O871" s="1">
        <v>0</v>
      </c>
      <c r="P871" s="1" t="s">
        <v>2079</v>
      </c>
      <c r="Q871" s="7" t="s">
        <v>2057</v>
      </c>
    </row>
    <row r="872" spans="1:17" ht="14.25" thickBot="1">
      <c r="A872" s="1" t="s">
        <v>934</v>
      </c>
      <c r="B872" s="3">
        <v>1</v>
      </c>
      <c r="C872" s="9" t="s">
        <v>2261</v>
      </c>
      <c r="D872" s="1" t="str">
        <f t="shared" si="52"/>
        <v>副手武器</v>
      </c>
      <c r="E872" s="1">
        <f>INDEX([1]游戏类型定义!$C$20:$C$29,MATCH(D872,[1]!装备部位,0))</f>
        <v>6</v>
      </c>
      <c r="F872" s="1">
        <v>3</v>
      </c>
      <c r="G872" s="1">
        <f t="shared" si="53"/>
        <v>45</v>
      </c>
      <c r="H872" s="10" t="s">
        <v>2320</v>
      </c>
      <c r="I872" s="1">
        <v>22500</v>
      </c>
      <c r="J872" s="1">
        <v>20</v>
      </c>
      <c r="K872" s="1">
        <v>0</v>
      </c>
      <c r="L872" s="1">
        <v>25000</v>
      </c>
      <c r="M872" s="1" t="s">
        <v>1939</v>
      </c>
      <c r="N872" s="1" t="s">
        <v>1076</v>
      </c>
      <c r="O872" s="1">
        <v>0</v>
      </c>
      <c r="P872" s="1" t="s">
        <v>2079</v>
      </c>
      <c r="Q872" s="7" t="s">
        <v>2452</v>
      </c>
    </row>
    <row r="873" spans="1:17" ht="14.25" thickBot="1">
      <c r="A873" s="1" t="s">
        <v>935</v>
      </c>
      <c r="B873" s="2">
        <v>0</v>
      </c>
      <c r="C873" s="9" t="s">
        <v>2044</v>
      </c>
      <c r="D873" s="1" t="str">
        <f t="shared" si="52"/>
        <v>副手武器</v>
      </c>
      <c r="E873" s="1">
        <f>INDEX([1]游戏类型定义!$C$20:$C$29,MATCH(D873,[1]!装备部位,0))</f>
        <v>6</v>
      </c>
      <c r="F873" s="1">
        <v>3</v>
      </c>
      <c r="G873" s="1">
        <f t="shared" si="53"/>
        <v>45</v>
      </c>
      <c r="H873" s="10" t="s">
        <v>2320</v>
      </c>
      <c r="I873" s="1">
        <v>24000</v>
      </c>
      <c r="J873" s="1">
        <v>20</v>
      </c>
      <c r="K873" s="1">
        <v>0</v>
      </c>
      <c r="L873" s="1">
        <v>27500</v>
      </c>
      <c r="M873" s="1" t="s">
        <v>1940</v>
      </c>
      <c r="N873" s="1" t="s">
        <v>1076</v>
      </c>
      <c r="O873" s="1">
        <v>0</v>
      </c>
      <c r="P873" s="1" t="s">
        <v>2079</v>
      </c>
      <c r="Q873" s="7" t="s">
        <v>2058</v>
      </c>
    </row>
    <row r="874" spans="1:17" ht="14.25" thickBot="1">
      <c r="A874" s="1" t="s">
        <v>936</v>
      </c>
      <c r="B874" s="3">
        <v>1</v>
      </c>
      <c r="C874" s="1" t="s">
        <v>2262</v>
      </c>
      <c r="D874" s="1" t="str">
        <f t="shared" si="52"/>
        <v>主手武器</v>
      </c>
      <c r="E874" s="1">
        <f>INDEX([1]游戏类型定义!$C$20:$C$29,MATCH(D874,[1]!装备部位,0))</f>
        <v>5</v>
      </c>
      <c r="F874" s="1">
        <v>3</v>
      </c>
      <c r="G874" s="1">
        <f t="shared" si="53"/>
        <v>45</v>
      </c>
      <c r="H874" s="10" t="s">
        <v>2321</v>
      </c>
      <c r="I874" s="1">
        <v>22500</v>
      </c>
      <c r="J874" s="1">
        <v>20</v>
      </c>
      <c r="K874" s="1">
        <v>0</v>
      </c>
      <c r="L874" s="1">
        <v>25000</v>
      </c>
      <c r="M874" s="1" t="s">
        <v>2024</v>
      </c>
      <c r="N874" s="1" t="s">
        <v>1076</v>
      </c>
      <c r="O874" s="1">
        <v>0</v>
      </c>
      <c r="P874" s="1" t="s">
        <v>2079</v>
      </c>
      <c r="Q874" s="7" t="s">
        <v>2453</v>
      </c>
    </row>
    <row r="875" spans="1:17" ht="14.25" thickBot="1">
      <c r="A875" s="1" t="s">
        <v>937</v>
      </c>
      <c r="B875" s="2">
        <v>0</v>
      </c>
      <c r="C875" s="1" t="s">
        <v>2040</v>
      </c>
      <c r="D875" s="1" t="str">
        <f t="shared" si="52"/>
        <v>主手武器</v>
      </c>
      <c r="E875" s="1">
        <f>INDEX([1]游戏类型定义!$C$20:$C$29,MATCH(D875,[1]!装备部位,0))</f>
        <v>5</v>
      </c>
      <c r="F875" s="1">
        <v>3</v>
      </c>
      <c r="G875" s="1">
        <f t="shared" si="53"/>
        <v>45</v>
      </c>
      <c r="H875" s="10" t="s">
        <v>2321</v>
      </c>
      <c r="I875" s="1">
        <v>24000</v>
      </c>
      <c r="J875" s="1">
        <v>20</v>
      </c>
      <c r="K875" s="1">
        <v>0</v>
      </c>
      <c r="L875" s="1">
        <v>27500</v>
      </c>
      <c r="M875" s="1" t="s">
        <v>2025</v>
      </c>
      <c r="N875" s="1" t="s">
        <v>1076</v>
      </c>
      <c r="O875" s="1">
        <v>0</v>
      </c>
      <c r="P875" s="1" t="s">
        <v>2079</v>
      </c>
      <c r="Q875" s="7" t="s">
        <v>2059</v>
      </c>
    </row>
    <row r="876" spans="1:17" ht="14.25" thickBot="1">
      <c r="A876" s="1" t="s">
        <v>938</v>
      </c>
      <c r="B876" s="3">
        <v>1</v>
      </c>
      <c r="C876" s="9" t="s">
        <v>2263</v>
      </c>
      <c r="D876" s="1" t="str">
        <f t="shared" ref="D876:D895" si="54">D546</f>
        <v>副手武器</v>
      </c>
      <c r="E876" s="1">
        <f>INDEX([1]游戏类型定义!$C$20:$C$29,MATCH(D876,[1]!装备部位,0))</f>
        <v>6</v>
      </c>
      <c r="F876" s="1">
        <v>3</v>
      </c>
      <c r="G876" s="1">
        <f t="shared" ref="G876:G895" si="55">G546</f>
        <v>45</v>
      </c>
      <c r="H876" s="10" t="s">
        <v>2321</v>
      </c>
      <c r="I876" s="1">
        <v>22500</v>
      </c>
      <c r="J876" s="1">
        <v>20</v>
      </c>
      <c r="K876" s="1">
        <v>0</v>
      </c>
      <c r="L876" s="1">
        <v>25000</v>
      </c>
      <c r="M876" s="1" t="s">
        <v>1941</v>
      </c>
      <c r="N876" s="1" t="s">
        <v>1076</v>
      </c>
      <c r="O876" s="1">
        <v>0</v>
      </c>
      <c r="P876" s="1" t="s">
        <v>2079</v>
      </c>
      <c r="Q876" s="7" t="s">
        <v>2454</v>
      </c>
    </row>
    <row r="877" spans="1:17" ht="14.25" thickBot="1">
      <c r="A877" s="1" t="s">
        <v>939</v>
      </c>
      <c r="B877" s="2">
        <v>0</v>
      </c>
      <c r="C877" s="9" t="s">
        <v>2042</v>
      </c>
      <c r="D877" s="1" t="str">
        <f t="shared" si="54"/>
        <v>副手武器</v>
      </c>
      <c r="E877" s="1">
        <f>INDEX([1]游戏类型定义!$C$20:$C$29,MATCH(D877,[1]!装备部位,0))</f>
        <v>6</v>
      </c>
      <c r="F877" s="1">
        <v>3</v>
      </c>
      <c r="G877" s="1">
        <f t="shared" si="55"/>
        <v>45</v>
      </c>
      <c r="H877" s="10" t="s">
        <v>2321</v>
      </c>
      <c r="I877" s="1">
        <v>24000</v>
      </c>
      <c r="J877" s="1">
        <v>20</v>
      </c>
      <c r="K877" s="1">
        <v>0</v>
      </c>
      <c r="L877" s="1">
        <v>27500</v>
      </c>
      <c r="M877" s="1" t="s">
        <v>1942</v>
      </c>
      <c r="N877" s="1" t="s">
        <v>1076</v>
      </c>
      <c r="O877" s="1">
        <v>0</v>
      </c>
      <c r="P877" s="1" t="s">
        <v>2079</v>
      </c>
      <c r="Q877" s="7" t="s">
        <v>2060</v>
      </c>
    </row>
    <row r="878" spans="1:17" ht="14.25" thickBot="1">
      <c r="A878" s="1" t="s">
        <v>940</v>
      </c>
      <c r="B878" s="3">
        <v>1</v>
      </c>
      <c r="C878" s="9" t="s">
        <v>2257</v>
      </c>
      <c r="D878" s="1" t="str">
        <f t="shared" si="54"/>
        <v>主手武器</v>
      </c>
      <c r="E878" s="1">
        <f>INDEX([1]游戏类型定义!$C$20:$C$29,MATCH(D878,[1]!装备部位,0))</f>
        <v>5</v>
      </c>
      <c r="F878" s="1">
        <v>3</v>
      </c>
      <c r="G878" s="1">
        <f t="shared" si="55"/>
        <v>45</v>
      </c>
      <c r="H878" s="10" t="s">
        <v>2322</v>
      </c>
      <c r="I878" s="1">
        <v>22500</v>
      </c>
      <c r="J878" s="1">
        <v>20</v>
      </c>
      <c r="K878" s="1">
        <v>0</v>
      </c>
      <c r="L878" s="1">
        <v>25000</v>
      </c>
      <c r="M878" s="1" t="s">
        <v>2024</v>
      </c>
      <c r="N878" s="1" t="s">
        <v>1076</v>
      </c>
      <c r="O878" s="1">
        <v>0</v>
      </c>
      <c r="P878" s="1" t="s">
        <v>2079</v>
      </c>
      <c r="Q878" s="7" t="s">
        <v>2455</v>
      </c>
    </row>
    <row r="879" spans="1:17" ht="14.25" thickBot="1">
      <c r="A879" s="1" t="s">
        <v>941</v>
      </c>
      <c r="B879" s="3">
        <v>1</v>
      </c>
      <c r="C879" s="9" t="s">
        <v>2264</v>
      </c>
      <c r="D879" s="1" t="str">
        <f t="shared" si="54"/>
        <v>主手武器</v>
      </c>
      <c r="E879" s="1">
        <f>INDEX([1]游戏类型定义!$C$20:$C$29,MATCH(D879,[1]!装备部位,0))</f>
        <v>5</v>
      </c>
      <c r="F879" s="1">
        <v>3</v>
      </c>
      <c r="G879" s="1">
        <f t="shared" si="55"/>
        <v>45</v>
      </c>
      <c r="H879" s="10" t="s">
        <v>2322</v>
      </c>
      <c r="I879" s="1">
        <v>24000</v>
      </c>
      <c r="J879" s="1">
        <v>20</v>
      </c>
      <c r="K879" s="1">
        <v>0</v>
      </c>
      <c r="L879" s="1">
        <v>27500</v>
      </c>
      <c r="M879" s="1" t="s">
        <v>2025</v>
      </c>
      <c r="N879" s="1" t="s">
        <v>1076</v>
      </c>
      <c r="O879" s="1">
        <v>0</v>
      </c>
      <c r="P879" s="1" t="s">
        <v>2079</v>
      </c>
      <c r="Q879" s="7" t="s">
        <v>2456</v>
      </c>
    </row>
    <row r="880" spans="1:17" ht="14.25" thickBot="1">
      <c r="A880" s="1" t="s">
        <v>942</v>
      </c>
      <c r="B880" s="3">
        <v>1</v>
      </c>
      <c r="C880" s="9" t="s">
        <v>2266</v>
      </c>
      <c r="D880" s="1" t="str">
        <f t="shared" si="54"/>
        <v>副手武器</v>
      </c>
      <c r="E880" s="1">
        <f>INDEX([1]游戏类型定义!$C$20:$C$29,MATCH(D880,[1]!装备部位,0))</f>
        <v>6</v>
      </c>
      <c r="F880" s="1">
        <v>3</v>
      </c>
      <c r="G880" s="1">
        <f t="shared" si="55"/>
        <v>45</v>
      </c>
      <c r="H880" s="10" t="s">
        <v>2322</v>
      </c>
      <c r="I880" s="1">
        <v>22500</v>
      </c>
      <c r="J880" s="1">
        <v>20</v>
      </c>
      <c r="K880" s="1">
        <v>0</v>
      </c>
      <c r="L880" s="1">
        <v>25000</v>
      </c>
      <c r="M880" s="1" t="s">
        <v>1943</v>
      </c>
      <c r="N880" s="1" t="s">
        <v>1076</v>
      </c>
      <c r="O880" s="1">
        <v>0</v>
      </c>
      <c r="P880" s="1" t="s">
        <v>2079</v>
      </c>
      <c r="Q880" s="7" t="s">
        <v>2457</v>
      </c>
    </row>
    <row r="881" spans="1:17" ht="14.25" thickBot="1">
      <c r="A881" s="1" t="s">
        <v>943</v>
      </c>
      <c r="B881" s="2">
        <v>0</v>
      </c>
      <c r="C881" s="9" t="s">
        <v>2050</v>
      </c>
      <c r="D881" s="1" t="str">
        <f t="shared" si="54"/>
        <v>副手武器</v>
      </c>
      <c r="E881" s="1">
        <f>INDEX([1]游戏类型定义!$C$20:$C$29,MATCH(D881,[1]!装备部位,0))</f>
        <v>6</v>
      </c>
      <c r="F881" s="1">
        <v>3</v>
      </c>
      <c r="G881" s="1">
        <f t="shared" si="55"/>
        <v>45</v>
      </c>
      <c r="H881" s="10" t="s">
        <v>2322</v>
      </c>
      <c r="I881" s="1">
        <v>24000</v>
      </c>
      <c r="J881" s="1">
        <v>20</v>
      </c>
      <c r="K881" s="1">
        <v>0</v>
      </c>
      <c r="L881" s="1">
        <v>27500</v>
      </c>
      <c r="M881" s="1" t="s">
        <v>1944</v>
      </c>
      <c r="N881" s="1" t="s">
        <v>1076</v>
      </c>
      <c r="O881" s="1">
        <v>0</v>
      </c>
      <c r="P881" s="1" t="s">
        <v>2079</v>
      </c>
      <c r="Q881" s="7" t="s">
        <v>2062</v>
      </c>
    </row>
    <row r="882" spans="1:17" ht="14.25" thickBot="1">
      <c r="A882" s="1" t="s">
        <v>944</v>
      </c>
      <c r="B882" s="3">
        <v>1</v>
      </c>
      <c r="C882" s="1" t="s">
        <v>2168</v>
      </c>
      <c r="D882" s="1" t="str">
        <f t="shared" si="54"/>
        <v>胸甲</v>
      </c>
      <c r="E882" s="1">
        <f>INDEX([1]游戏类型定义!$C$20:$C$29,MATCH(D882,[1]!装备部位,0))</f>
        <v>4</v>
      </c>
      <c r="F882" s="1">
        <v>3</v>
      </c>
      <c r="G882" s="1">
        <f t="shared" si="55"/>
        <v>45</v>
      </c>
      <c r="H882" s="10">
        <v>0</v>
      </c>
      <c r="I882" s="1">
        <v>22500</v>
      </c>
      <c r="J882" s="1">
        <v>20</v>
      </c>
      <c r="K882" s="1">
        <v>0</v>
      </c>
      <c r="L882" s="1">
        <v>25000</v>
      </c>
      <c r="M882" s="1" t="s">
        <v>1945</v>
      </c>
      <c r="N882" s="1" t="s">
        <v>1075</v>
      </c>
      <c r="O882" s="1">
        <v>0</v>
      </c>
      <c r="P882" s="1" t="s">
        <v>2079</v>
      </c>
      <c r="Q882" s="7" t="s">
        <v>2458</v>
      </c>
    </row>
    <row r="883" spans="1:17" ht="14.25" thickBot="1">
      <c r="A883" s="1" t="s">
        <v>945</v>
      </c>
      <c r="B883" s="3">
        <v>1</v>
      </c>
      <c r="C883" s="1" t="s">
        <v>2169</v>
      </c>
      <c r="D883" s="1" t="str">
        <f t="shared" si="54"/>
        <v>胸甲</v>
      </c>
      <c r="E883" s="1">
        <f>INDEX([1]游戏类型定义!$C$20:$C$29,MATCH(D883,[1]!装备部位,0))</f>
        <v>4</v>
      </c>
      <c r="F883" s="1">
        <v>3</v>
      </c>
      <c r="G883" s="1">
        <f t="shared" si="55"/>
        <v>45</v>
      </c>
      <c r="H883" s="10">
        <v>0</v>
      </c>
      <c r="I883" s="1">
        <v>24000</v>
      </c>
      <c r="J883" s="1">
        <v>20</v>
      </c>
      <c r="K883" s="1">
        <v>0</v>
      </c>
      <c r="L883" s="1">
        <v>27500</v>
      </c>
      <c r="M883" s="1" t="s">
        <v>1946</v>
      </c>
      <c r="N883" s="1" t="s">
        <v>1075</v>
      </c>
      <c r="O883" s="1">
        <v>0</v>
      </c>
      <c r="P883" s="1" t="s">
        <v>2079</v>
      </c>
      <c r="Q883" s="7" t="s">
        <v>2459</v>
      </c>
    </row>
    <row r="884" spans="1:17" ht="14.25" thickBot="1">
      <c r="A884" s="1" t="s">
        <v>946</v>
      </c>
      <c r="B884" s="3">
        <v>1</v>
      </c>
      <c r="C884" s="1" t="s">
        <v>2186</v>
      </c>
      <c r="D884" s="1" t="str">
        <f t="shared" si="54"/>
        <v>护腿</v>
      </c>
      <c r="E884" s="1">
        <f>INDEX([1]游戏类型定义!$C$20:$C$29,MATCH(D884,[1]!装备部位,0))</f>
        <v>7</v>
      </c>
      <c r="F884" s="1">
        <v>3</v>
      </c>
      <c r="G884" s="1">
        <f t="shared" si="55"/>
        <v>45</v>
      </c>
      <c r="H884" s="10">
        <v>0</v>
      </c>
      <c r="I884" s="1">
        <v>22500</v>
      </c>
      <c r="J884" s="1">
        <v>20</v>
      </c>
      <c r="K884" s="1">
        <v>0</v>
      </c>
      <c r="L884" s="1">
        <v>25000</v>
      </c>
      <c r="M884" s="1" t="s">
        <v>1931</v>
      </c>
      <c r="N884" s="1" t="s">
        <v>1075</v>
      </c>
      <c r="O884" s="1">
        <v>0</v>
      </c>
      <c r="P884" s="1" t="s">
        <v>2079</v>
      </c>
      <c r="Q884" s="7" t="s">
        <v>2460</v>
      </c>
    </row>
    <row r="885" spans="1:17" ht="14.25" thickBot="1">
      <c r="A885" s="1" t="s">
        <v>947</v>
      </c>
      <c r="B885" s="3">
        <v>1</v>
      </c>
      <c r="C885" s="1" t="s">
        <v>2187</v>
      </c>
      <c r="D885" s="1" t="str">
        <f t="shared" si="54"/>
        <v>护腿</v>
      </c>
      <c r="E885" s="1">
        <f>INDEX([1]游戏类型定义!$C$20:$C$29,MATCH(D885,[1]!装备部位,0))</f>
        <v>7</v>
      </c>
      <c r="F885" s="1">
        <v>3</v>
      </c>
      <c r="G885" s="1">
        <f t="shared" si="55"/>
        <v>45</v>
      </c>
      <c r="H885" s="10">
        <v>0</v>
      </c>
      <c r="I885" s="1">
        <v>24000</v>
      </c>
      <c r="J885" s="1">
        <v>20</v>
      </c>
      <c r="K885" s="1">
        <v>0</v>
      </c>
      <c r="L885" s="1">
        <v>27500</v>
      </c>
      <c r="M885" s="1" t="s">
        <v>1932</v>
      </c>
      <c r="N885" s="1" t="s">
        <v>1075</v>
      </c>
      <c r="O885" s="1">
        <v>0</v>
      </c>
      <c r="P885" s="1" t="s">
        <v>2079</v>
      </c>
      <c r="Q885" s="7" t="s">
        <v>2461</v>
      </c>
    </row>
    <row r="886" spans="1:17" ht="14.25" thickBot="1">
      <c r="A886" s="1" t="s">
        <v>948</v>
      </c>
      <c r="B886" s="3">
        <v>1</v>
      </c>
      <c r="C886" s="1" t="s">
        <v>2105</v>
      </c>
      <c r="D886" s="1" t="str">
        <f t="shared" si="54"/>
        <v>头盔</v>
      </c>
      <c r="E886" s="1">
        <f>INDEX([1]游戏类型定义!$C$20:$C$29,MATCH(D886,[1]!装备部位,0))</f>
        <v>1</v>
      </c>
      <c r="F886" s="1">
        <v>3</v>
      </c>
      <c r="G886" s="1">
        <f t="shared" si="55"/>
        <v>50</v>
      </c>
      <c r="H886" s="10">
        <v>0</v>
      </c>
      <c r="I886" s="1">
        <v>25000</v>
      </c>
      <c r="J886" s="1">
        <v>20</v>
      </c>
      <c r="K886" s="1">
        <v>0</v>
      </c>
      <c r="L886" s="1">
        <v>27500</v>
      </c>
      <c r="M886" s="1" t="s">
        <v>1947</v>
      </c>
      <c r="N886" s="1" t="s">
        <v>1077</v>
      </c>
      <c r="O886" s="1">
        <v>0</v>
      </c>
      <c r="P886" s="1" t="s">
        <v>2080</v>
      </c>
      <c r="Q886" s="7" t="s">
        <v>2462</v>
      </c>
    </row>
    <row r="887" spans="1:17" ht="14.25" thickBot="1">
      <c r="A887" s="1" t="s">
        <v>949</v>
      </c>
      <c r="B887" s="3">
        <v>1</v>
      </c>
      <c r="C887" s="1" t="s">
        <v>2115</v>
      </c>
      <c r="D887" s="1" t="str">
        <f t="shared" si="54"/>
        <v>戒指</v>
      </c>
      <c r="E887" s="1">
        <f>INDEX([1]游戏类型定义!$C$20:$C$29,MATCH(D887,[1]!装备部位,0))</f>
        <v>2</v>
      </c>
      <c r="F887" s="1">
        <v>3</v>
      </c>
      <c r="G887" s="1">
        <f t="shared" si="55"/>
        <v>50</v>
      </c>
      <c r="H887" s="10">
        <v>0</v>
      </c>
      <c r="I887" s="1">
        <v>25000</v>
      </c>
      <c r="J887" s="1">
        <v>20</v>
      </c>
      <c r="K887" s="1">
        <v>0</v>
      </c>
      <c r="L887" s="1">
        <v>27500</v>
      </c>
      <c r="M887" s="1" t="s">
        <v>1948</v>
      </c>
      <c r="N887" s="1" t="s">
        <v>1077</v>
      </c>
      <c r="O887" s="1">
        <v>0</v>
      </c>
      <c r="P887" s="1" t="s">
        <v>2080</v>
      </c>
      <c r="Q887" s="7" t="s">
        <v>2463</v>
      </c>
    </row>
    <row r="888" spans="1:17" ht="14.25" thickBot="1">
      <c r="A888" s="1" t="s">
        <v>950</v>
      </c>
      <c r="B888" s="3">
        <v>1</v>
      </c>
      <c r="C888" s="1" t="s">
        <v>2092</v>
      </c>
      <c r="D888" s="1" t="str">
        <f t="shared" si="54"/>
        <v>腰带</v>
      </c>
      <c r="E888" s="1">
        <f>INDEX([1]游戏类型定义!$C$20:$C$29,MATCH(D888,[1]!装备部位,0))</f>
        <v>3</v>
      </c>
      <c r="F888" s="1">
        <v>3</v>
      </c>
      <c r="G888" s="1">
        <f t="shared" si="55"/>
        <v>50</v>
      </c>
      <c r="H888" s="10">
        <v>0</v>
      </c>
      <c r="I888" s="1">
        <v>25000</v>
      </c>
      <c r="J888" s="1">
        <v>20</v>
      </c>
      <c r="K888" s="1">
        <v>0</v>
      </c>
      <c r="L888" s="1">
        <v>27500</v>
      </c>
      <c r="M888" s="1" t="s">
        <v>1949</v>
      </c>
      <c r="N888" s="1" t="s">
        <v>1077</v>
      </c>
      <c r="O888" s="1">
        <v>0</v>
      </c>
      <c r="P888" s="1" t="s">
        <v>2080</v>
      </c>
      <c r="Q888" s="7" t="s">
        <v>2464</v>
      </c>
    </row>
    <row r="889" spans="1:17" ht="14.25" thickBot="1">
      <c r="A889" s="1" t="s">
        <v>951</v>
      </c>
      <c r="B889" s="2">
        <v>0</v>
      </c>
      <c r="C889" s="1" t="s">
        <v>2127</v>
      </c>
      <c r="D889" s="1" t="str">
        <f t="shared" si="54"/>
        <v>鞋子</v>
      </c>
      <c r="E889" s="1">
        <f>INDEX([1]游戏类型定义!$C$20:$C$29,MATCH(D889,[1]!装备部位,0))</f>
        <v>8</v>
      </c>
      <c r="F889" s="1">
        <v>3</v>
      </c>
      <c r="G889" s="1">
        <f t="shared" si="55"/>
        <v>50</v>
      </c>
      <c r="H889" s="10">
        <v>0</v>
      </c>
      <c r="I889" s="1">
        <v>25000</v>
      </c>
      <c r="J889" s="1">
        <v>20</v>
      </c>
      <c r="K889" s="1">
        <v>0</v>
      </c>
      <c r="L889" s="1">
        <v>27500</v>
      </c>
      <c r="M889" s="1" t="s">
        <v>1950</v>
      </c>
      <c r="N889" s="1" t="s">
        <v>1077</v>
      </c>
      <c r="O889" s="1">
        <v>0</v>
      </c>
      <c r="P889" s="1" t="s">
        <v>2080</v>
      </c>
      <c r="Q889" s="7" t="s">
        <v>2054</v>
      </c>
    </row>
    <row r="890" spans="1:17" ht="14.25" thickBot="1">
      <c r="A890" s="1" t="s">
        <v>952</v>
      </c>
      <c r="B890" s="3">
        <v>1</v>
      </c>
      <c r="C890" s="1" t="s">
        <v>2137</v>
      </c>
      <c r="D890" s="1" t="str">
        <f t="shared" si="54"/>
        <v>手套</v>
      </c>
      <c r="E890" s="1">
        <f>INDEX([1]游戏类型定义!$C$20:$C$29,MATCH(D890,[1]!装备部位,0))</f>
        <v>9</v>
      </c>
      <c r="F890" s="1">
        <v>3</v>
      </c>
      <c r="G890" s="1">
        <f t="shared" si="55"/>
        <v>50</v>
      </c>
      <c r="H890" s="10">
        <v>0</v>
      </c>
      <c r="I890" s="1">
        <v>25000</v>
      </c>
      <c r="J890" s="1">
        <v>20</v>
      </c>
      <c r="K890" s="1">
        <v>0</v>
      </c>
      <c r="L890" s="1">
        <v>27500</v>
      </c>
      <c r="M890" s="1" t="s">
        <v>1951</v>
      </c>
      <c r="N890" s="1" t="s">
        <v>1077</v>
      </c>
      <c r="O890" s="1">
        <v>0</v>
      </c>
      <c r="P890" s="1" t="s">
        <v>2080</v>
      </c>
      <c r="Q890" s="7" t="s">
        <v>2465</v>
      </c>
    </row>
    <row r="891" spans="1:17" ht="14.25" thickBot="1">
      <c r="A891" s="1" t="s">
        <v>953</v>
      </c>
      <c r="B891" s="3">
        <v>1</v>
      </c>
      <c r="C891" s="1" t="s">
        <v>2152</v>
      </c>
      <c r="D891" s="1" t="str">
        <f t="shared" si="54"/>
        <v>项链</v>
      </c>
      <c r="E891" s="1">
        <f>INDEX([1]游戏类型定义!$C$20:$C$29,MATCH(D891,[1]!装备部位,0))</f>
        <v>10</v>
      </c>
      <c r="F891" s="1">
        <v>3</v>
      </c>
      <c r="G891" s="1">
        <f t="shared" si="55"/>
        <v>50</v>
      </c>
      <c r="H891" s="10">
        <v>0</v>
      </c>
      <c r="I891" s="1">
        <v>25000</v>
      </c>
      <c r="J891" s="1">
        <v>20</v>
      </c>
      <c r="K891" s="1">
        <v>0</v>
      </c>
      <c r="L891" s="1">
        <v>27500</v>
      </c>
      <c r="M891" s="1" t="s">
        <v>1952</v>
      </c>
      <c r="N891" s="1" t="s">
        <v>1077</v>
      </c>
      <c r="O891" s="1">
        <v>0</v>
      </c>
      <c r="P891" s="1" t="s">
        <v>2080</v>
      </c>
      <c r="Q891" s="7" t="s">
        <v>2466</v>
      </c>
    </row>
    <row r="892" spans="1:17" ht="14.25" thickBot="1">
      <c r="A892" s="1" t="s">
        <v>954</v>
      </c>
      <c r="B892" s="3">
        <v>1</v>
      </c>
      <c r="C892" s="9" t="s">
        <v>2269</v>
      </c>
      <c r="D892" s="1" t="str">
        <f t="shared" si="54"/>
        <v>主手武器</v>
      </c>
      <c r="E892" s="1">
        <f>INDEX([1]游戏类型定义!$C$20:$C$29,MATCH(D892,[1]!装备部位,0))</f>
        <v>5</v>
      </c>
      <c r="F892" s="1">
        <v>3</v>
      </c>
      <c r="G892" s="1">
        <f t="shared" si="55"/>
        <v>50</v>
      </c>
      <c r="H892" s="10" t="s">
        <v>2320</v>
      </c>
      <c r="I892" s="1">
        <v>25000</v>
      </c>
      <c r="J892" s="1">
        <v>20</v>
      </c>
      <c r="K892" s="1">
        <v>0</v>
      </c>
      <c r="L892" s="1">
        <v>27500</v>
      </c>
      <c r="M892" s="1" t="s">
        <v>1953</v>
      </c>
      <c r="N892" s="1" t="s">
        <v>1078</v>
      </c>
      <c r="O892" s="1">
        <v>0</v>
      </c>
      <c r="P892" s="1" t="s">
        <v>2080</v>
      </c>
      <c r="Q892" s="7" t="s">
        <v>2467</v>
      </c>
    </row>
    <row r="893" spans="1:17" ht="14.25" thickBot="1">
      <c r="A893" s="1" t="s">
        <v>955</v>
      </c>
      <c r="B893" s="3">
        <v>1</v>
      </c>
      <c r="C893" s="9" t="s">
        <v>2267</v>
      </c>
      <c r="D893" s="1" t="str">
        <f t="shared" si="54"/>
        <v>主手武器</v>
      </c>
      <c r="E893" s="1">
        <f>INDEX([1]游戏类型定义!$C$20:$C$29,MATCH(D893,[1]!装备部位,0))</f>
        <v>5</v>
      </c>
      <c r="F893" s="1">
        <v>3</v>
      </c>
      <c r="G893" s="1">
        <f t="shared" si="55"/>
        <v>50</v>
      </c>
      <c r="H893" s="10" t="s">
        <v>2320</v>
      </c>
      <c r="I893" s="1">
        <v>26500</v>
      </c>
      <c r="J893" s="1">
        <v>20</v>
      </c>
      <c r="K893" s="1">
        <v>0</v>
      </c>
      <c r="L893" s="1">
        <v>30000</v>
      </c>
      <c r="M893" s="1" t="s">
        <v>1954</v>
      </c>
      <c r="N893" s="1" t="s">
        <v>1078</v>
      </c>
      <c r="O893" s="1">
        <v>0</v>
      </c>
      <c r="P893" s="1" t="s">
        <v>2080</v>
      </c>
      <c r="Q893" s="7" t="s">
        <v>2468</v>
      </c>
    </row>
    <row r="894" spans="1:17" ht="14.25" thickBot="1">
      <c r="A894" s="1" t="s">
        <v>956</v>
      </c>
      <c r="B894" s="3">
        <v>1</v>
      </c>
      <c r="C894" s="9" t="s">
        <v>2268</v>
      </c>
      <c r="D894" s="1" t="str">
        <f t="shared" si="54"/>
        <v>副手武器</v>
      </c>
      <c r="E894" s="1">
        <f>INDEX([1]游戏类型定义!$C$20:$C$29,MATCH(D894,[1]!装备部位,0))</f>
        <v>6</v>
      </c>
      <c r="F894" s="1">
        <v>3</v>
      </c>
      <c r="G894" s="1">
        <f t="shared" si="55"/>
        <v>50</v>
      </c>
      <c r="H894" s="10" t="s">
        <v>2320</v>
      </c>
      <c r="I894" s="1">
        <v>25000</v>
      </c>
      <c r="J894" s="1">
        <v>20</v>
      </c>
      <c r="K894" s="1">
        <v>0</v>
      </c>
      <c r="L894" s="1">
        <v>27500</v>
      </c>
      <c r="M894" s="1" t="s">
        <v>1955</v>
      </c>
      <c r="N894" s="1" t="s">
        <v>1078</v>
      </c>
      <c r="O894" s="1">
        <v>0</v>
      </c>
      <c r="P894" s="1" t="s">
        <v>2080</v>
      </c>
      <c r="Q894" s="7" t="s">
        <v>2469</v>
      </c>
    </row>
    <row r="895" spans="1:17" ht="14.25" thickBot="1">
      <c r="A895" s="1" t="s">
        <v>957</v>
      </c>
      <c r="B895" s="3">
        <v>1</v>
      </c>
      <c r="C895" s="9" t="s">
        <v>2271</v>
      </c>
      <c r="D895" s="1" t="str">
        <f t="shared" si="54"/>
        <v>副手武器</v>
      </c>
      <c r="E895" s="1">
        <f>INDEX([1]游戏类型定义!$C$20:$C$29,MATCH(D895,[1]!装备部位,0))</f>
        <v>6</v>
      </c>
      <c r="F895" s="1">
        <v>3</v>
      </c>
      <c r="G895" s="1">
        <f t="shared" si="55"/>
        <v>50</v>
      </c>
      <c r="H895" s="10" t="s">
        <v>2320</v>
      </c>
      <c r="I895" s="1">
        <v>26500</v>
      </c>
      <c r="J895" s="1">
        <v>20</v>
      </c>
      <c r="K895" s="1">
        <v>0</v>
      </c>
      <c r="L895" s="1">
        <v>30000</v>
      </c>
      <c r="M895" s="1" t="s">
        <v>1956</v>
      </c>
      <c r="N895" s="1" t="s">
        <v>1078</v>
      </c>
      <c r="O895" s="1">
        <v>0</v>
      </c>
      <c r="P895" s="1" t="s">
        <v>2080</v>
      </c>
      <c r="Q895" s="7" t="s">
        <v>2470</v>
      </c>
    </row>
    <row r="896" spans="1:17" ht="14.25" thickBot="1">
      <c r="A896" s="1" t="s">
        <v>958</v>
      </c>
      <c r="B896" s="3">
        <v>1</v>
      </c>
      <c r="C896" s="1" t="s">
        <v>2270</v>
      </c>
      <c r="D896" s="1" t="str">
        <f t="shared" ref="D896:D915" si="56">D566</f>
        <v>主手武器</v>
      </c>
      <c r="E896" s="1">
        <f>INDEX([1]游戏类型定义!$C$20:$C$29,MATCH(D896,[1]!装备部位,0))</f>
        <v>5</v>
      </c>
      <c r="F896" s="1">
        <v>3</v>
      </c>
      <c r="G896" s="1">
        <f t="shared" ref="G896:G915" si="57">G566</f>
        <v>50</v>
      </c>
      <c r="H896" s="10" t="s">
        <v>2321</v>
      </c>
      <c r="I896" s="1">
        <v>25000</v>
      </c>
      <c r="J896" s="1">
        <v>20</v>
      </c>
      <c r="K896" s="1">
        <v>0</v>
      </c>
      <c r="L896" s="1">
        <v>27500</v>
      </c>
      <c r="M896" s="1" t="s">
        <v>1953</v>
      </c>
      <c r="N896" s="1" t="s">
        <v>1078</v>
      </c>
      <c r="O896" s="1">
        <v>0</v>
      </c>
      <c r="P896" s="1" t="s">
        <v>2080</v>
      </c>
      <c r="Q896" s="7" t="s">
        <v>2471</v>
      </c>
    </row>
    <row r="897" spans="1:17" ht="14.25" thickBot="1">
      <c r="A897" s="1" t="s">
        <v>959</v>
      </c>
      <c r="B897" s="3">
        <v>1</v>
      </c>
      <c r="C897" s="1" t="s">
        <v>2318</v>
      </c>
      <c r="D897" s="1" t="str">
        <f t="shared" si="56"/>
        <v>主手武器</v>
      </c>
      <c r="E897" s="1">
        <f>INDEX([1]游戏类型定义!$C$20:$C$29,MATCH(D897,[1]!装备部位,0))</f>
        <v>5</v>
      </c>
      <c r="F897" s="1">
        <v>3</v>
      </c>
      <c r="G897" s="1">
        <f t="shared" si="57"/>
        <v>50</v>
      </c>
      <c r="H897" s="10" t="s">
        <v>2321</v>
      </c>
      <c r="I897" s="1">
        <v>26500</v>
      </c>
      <c r="J897" s="1">
        <v>20</v>
      </c>
      <c r="K897" s="1">
        <v>0</v>
      </c>
      <c r="L897" s="1">
        <v>30000</v>
      </c>
      <c r="M897" s="1" t="s">
        <v>1954</v>
      </c>
      <c r="N897" s="1" t="s">
        <v>1078</v>
      </c>
      <c r="O897" s="1">
        <v>0</v>
      </c>
      <c r="P897" s="1" t="s">
        <v>2080</v>
      </c>
      <c r="Q897" s="7" t="s">
        <v>2472</v>
      </c>
    </row>
    <row r="898" spans="1:17" ht="14.25" thickBot="1">
      <c r="A898" s="1" t="s">
        <v>960</v>
      </c>
      <c r="B898" s="3">
        <v>1</v>
      </c>
      <c r="C898" s="9" t="s">
        <v>2272</v>
      </c>
      <c r="D898" s="1" t="str">
        <f t="shared" si="56"/>
        <v>副手武器</v>
      </c>
      <c r="E898" s="1">
        <f>INDEX([1]游戏类型定义!$C$20:$C$29,MATCH(D898,[1]!装备部位,0))</f>
        <v>6</v>
      </c>
      <c r="F898" s="1">
        <v>3</v>
      </c>
      <c r="G898" s="1">
        <f t="shared" si="57"/>
        <v>50</v>
      </c>
      <c r="H898" s="10" t="s">
        <v>2321</v>
      </c>
      <c r="I898" s="1">
        <v>25000</v>
      </c>
      <c r="J898" s="1">
        <v>20</v>
      </c>
      <c r="K898" s="1">
        <v>0</v>
      </c>
      <c r="L898" s="1">
        <v>27500</v>
      </c>
      <c r="M898" s="1" t="s">
        <v>1957</v>
      </c>
      <c r="N898" s="1" t="s">
        <v>1078</v>
      </c>
      <c r="O898" s="1">
        <v>0</v>
      </c>
      <c r="P898" s="1" t="s">
        <v>2080</v>
      </c>
      <c r="Q898" s="7" t="s">
        <v>2473</v>
      </c>
    </row>
    <row r="899" spans="1:17" ht="14.25" thickBot="1">
      <c r="A899" s="1" t="s">
        <v>961</v>
      </c>
      <c r="B899" s="3">
        <v>1</v>
      </c>
      <c r="C899" s="9" t="s">
        <v>2273</v>
      </c>
      <c r="D899" s="1" t="str">
        <f t="shared" si="56"/>
        <v>副手武器</v>
      </c>
      <c r="E899" s="1">
        <f>INDEX([1]游戏类型定义!$C$20:$C$29,MATCH(D899,[1]!装备部位,0))</f>
        <v>6</v>
      </c>
      <c r="F899" s="1">
        <v>3</v>
      </c>
      <c r="G899" s="1">
        <f t="shared" si="57"/>
        <v>50</v>
      </c>
      <c r="H899" s="10" t="s">
        <v>2321</v>
      </c>
      <c r="I899" s="1">
        <v>26500</v>
      </c>
      <c r="J899" s="1">
        <v>20</v>
      </c>
      <c r="K899" s="1">
        <v>0</v>
      </c>
      <c r="L899" s="1">
        <v>30000</v>
      </c>
      <c r="M899" s="1" t="s">
        <v>1958</v>
      </c>
      <c r="N899" s="1" t="s">
        <v>1078</v>
      </c>
      <c r="O899" s="1">
        <v>0</v>
      </c>
      <c r="P899" s="1" t="s">
        <v>2080</v>
      </c>
      <c r="Q899" s="7" t="s">
        <v>2474</v>
      </c>
    </row>
    <row r="900" spans="1:17" ht="14.25" thickBot="1">
      <c r="A900" s="1" t="s">
        <v>962</v>
      </c>
      <c r="B900" s="3">
        <v>1</v>
      </c>
      <c r="C900" s="9" t="s">
        <v>2265</v>
      </c>
      <c r="D900" s="1" t="str">
        <f t="shared" si="56"/>
        <v>主手武器</v>
      </c>
      <c r="E900" s="1">
        <f>INDEX([1]游戏类型定义!$C$20:$C$29,MATCH(D900,[1]!装备部位,0))</f>
        <v>5</v>
      </c>
      <c r="F900" s="1">
        <v>3</v>
      </c>
      <c r="G900" s="1">
        <f t="shared" si="57"/>
        <v>50</v>
      </c>
      <c r="H900" s="10" t="s">
        <v>2322</v>
      </c>
      <c r="I900" s="1">
        <v>25000</v>
      </c>
      <c r="J900" s="1">
        <v>20</v>
      </c>
      <c r="K900" s="1">
        <v>0</v>
      </c>
      <c r="L900" s="1">
        <v>27500</v>
      </c>
      <c r="M900" s="1" t="s">
        <v>1953</v>
      </c>
      <c r="N900" s="1" t="s">
        <v>1078</v>
      </c>
      <c r="O900" s="1">
        <v>0</v>
      </c>
      <c r="P900" s="1" t="s">
        <v>2080</v>
      </c>
      <c r="Q900" s="7" t="s">
        <v>2475</v>
      </c>
    </row>
    <row r="901" spans="1:17" ht="14.25" thickBot="1">
      <c r="A901" s="1" t="s">
        <v>963</v>
      </c>
      <c r="B901" s="3">
        <v>1</v>
      </c>
      <c r="C901" s="9" t="s">
        <v>2290</v>
      </c>
      <c r="D901" s="1" t="str">
        <f t="shared" si="56"/>
        <v>主手武器</v>
      </c>
      <c r="E901" s="1">
        <f>INDEX([1]游戏类型定义!$C$20:$C$29,MATCH(D901,[1]!装备部位,0))</f>
        <v>5</v>
      </c>
      <c r="F901" s="1">
        <v>3</v>
      </c>
      <c r="G901" s="1">
        <f t="shared" si="57"/>
        <v>50</v>
      </c>
      <c r="H901" s="10" t="s">
        <v>2322</v>
      </c>
      <c r="I901" s="1">
        <v>26500</v>
      </c>
      <c r="J901" s="1">
        <v>20</v>
      </c>
      <c r="K901" s="1">
        <v>0</v>
      </c>
      <c r="L901" s="1">
        <v>30000</v>
      </c>
      <c r="M901" s="1" t="s">
        <v>1954</v>
      </c>
      <c r="N901" s="1" t="s">
        <v>1078</v>
      </c>
      <c r="O901" s="1">
        <v>0</v>
      </c>
      <c r="P901" s="1" t="s">
        <v>2080</v>
      </c>
      <c r="Q901" s="7" t="s">
        <v>2476</v>
      </c>
    </row>
    <row r="902" spans="1:17" ht="14.25" thickBot="1">
      <c r="A902" s="1" t="s">
        <v>964</v>
      </c>
      <c r="B902" s="3">
        <v>1</v>
      </c>
      <c r="C902" s="9" t="s">
        <v>2275</v>
      </c>
      <c r="D902" s="1" t="str">
        <f t="shared" si="56"/>
        <v>副手武器</v>
      </c>
      <c r="E902" s="1">
        <f>INDEX([1]游戏类型定义!$C$20:$C$29,MATCH(D902,[1]!装备部位,0))</f>
        <v>6</v>
      </c>
      <c r="F902" s="1">
        <v>3</v>
      </c>
      <c r="G902" s="1">
        <f t="shared" si="57"/>
        <v>50</v>
      </c>
      <c r="H902" s="10" t="s">
        <v>2322</v>
      </c>
      <c r="I902" s="1">
        <v>25000</v>
      </c>
      <c r="J902" s="1">
        <v>20</v>
      </c>
      <c r="K902" s="1">
        <v>0</v>
      </c>
      <c r="L902" s="1">
        <v>27500</v>
      </c>
      <c r="M902" s="1" t="s">
        <v>1959</v>
      </c>
      <c r="N902" s="1" t="s">
        <v>1078</v>
      </c>
      <c r="O902" s="1">
        <v>0</v>
      </c>
      <c r="P902" s="1" t="s">
        <v>2080</v>
      </c>
      <c r="Q902" s="7" t="s">
        <v>2477</v>
      </c>
    </row>
    <row r="903" spans="1:17" ht="14.25" thickBot="1">
      <c r="A903" s="1" t="s">
        <v>965</v>
      </c>
      <c r="B903" s="3">
        <v>1</v>
      </c>
      <c r="C903" s="9" t="s">
        <v>2276</v>
      </c>
      <c r="D903" s="1" t="str">
        <f t="shared" si="56"/>
        <v>副手武器</v>
      </c>
      <c r="E903" s="1">
        <f>INDEX([1]游戏类型定义!$C$20:$C$29,MATCH(D903,[1]!装备部位,0))</f>
        <v>6</v>
      </c>
      <c r="F903" s="1">
        <v>3</v>
      </c>
      <c r="G903" s="1">
        <f t="shared" si="57"/>
        <v>50</v>
      </c>
      <c r="H903" s="10" t="s">
        <v>2322</v>
      </c>
      <c r="I903" s="1">
        <v>26500</v>
      </c>
      <c r="J903" s="1">
        <v>20</v>
      </c>
      <c r="K903" s="1">
        <v>0</v>
      </c>
      <c r="L903" s="1">
        <v>30000</v>
      </c>
      <c r="M903" s="1" t="s">
        <v>1960</v>
      </c>
      <c r="N903" s="1" t="s">
        <v>1078</v>
      </c>
      <c r="O903" s="1">
        <v>0</v>
      </c>
      <c r="P903" s="1" t="s">
        <v>2080</v>
      </c>
      <c r="Q903" s="7" t="s">
        <v>2478</v>
      </c>
    </row>
    <row r="904" spans="1:17" ht="14.25" thickBot="1">
      <c r="A904" s="1" t="s">
        <v>966</v>
      </c>
      <c r="B904" s="2">
        <v>0</v>
      </c>
      <c r="C904" s="1" t="s">
        <v>2030</v>
      </c>
      <c r="D904" s="1" t="str">
        <f t="shared" si="56"/>
        <v>胸甲</v>
      </c>
      <c r="E904" s="1">
        <f>INDEX([1]游戏类型定义!$C$20:$C$29,MATCH(D904,[1]!装备部位,0))</f>
        <v>4</v>
      </c>
      <c r="F904" s="1">
        <v>3</v>
      </c>
      <c r="G904" s="1">
        <f t="shared" si="57"/>
        <v>50</v>
      </c>
      <c r="H904" s="10">
        <v>0</v>
      </c>
      <c r="I904" s="1">
        <v>25000</v>
      </c>
      <c r="J904" s="1">
        <v>20</v>
      </c>
      <c r="K904" s="1">
        <v>0</v>
      </c>
      <c r="L904" s="1">
        <v>27500</v>
      </c>
      <c r="M904" s="1" t="s">
        <v>1961</v>
      </c>
      <c r="N904" s="1" t="s">
        <v>1077</v>
      </c>
      <c r="O904" s="1">
        <v>0</v>
      </c>
      <c r="P904" s="1" t="s">
        <v>2080</v>
      </c>
      <c r="Q904" s="7" t="s">
        <v>2063</v>
      </c>
    </row>
    <row r="905" spans="1:17" ht="14.25" thickBot="1">
      <c r="A905" s="1" t="s">
        <v>967</v>
      </c>
      <c r="B905" s="2">
        <v>0</v>
      </c>
      <c r="C905" s="1" t="s">
        <v>2030</v>
      </c>
      <c r="D905" s="1" t="str">
        <f t="shared" si="56"/>
        <v>胸甲</v>
      </c>
      <c r="E905" s="1">
        <f>INDEX([1]游戏类型定义!$C$20:$C$29,MATCH(D905,[1]!装备部位,0))</f>
        <v>4</v>
      </c>
      <c r="F905" s="1">
        <v>3</v>
      </c>
      <c r="G905" s="1">
        <f t="shared" si="57"/>
        <v>50</v>
      </c>
      <c r="H905" s="10">
        <v>0</v>
      </c>
      <c r="I905" s="1">
        <v>26500</v>
      </c>
      <c r="J905" s="1">
        <v>20</v>
      </c>
      <c r="K905" s="1">
        <v>0</v>
      </c>
      <c r="L905" s="1">
        <v>30000</v>
      </c>
      <c r="M905" s="1" t="s">
        <v>1962</v>
      </c>
      <c r="N905" s="1" t="s">
        <v>1077</v>
      </c>
      <c r="O905" s="1">
        <v>0</v>
      </c>
      <c r="P905" s="1" t="s">
        <v>2080</v>
      </c>
      <c r="Q905" s="7" t="s">
        <v>2063</v>
      </c>
    </row>
    <row r="906" spans="1:17" ht="14.25" thickBot="1">
      <c r="A906" s="1" t="s">
        <v>968</v>
      </c>
      <c r="B906" s="3">
        <v>1</v>
      </c>
      <c r="C906" s="1" t="s">
        <v>2188</v>
      </c>
      <c r="D906" s="1" t="str">
        <f t="shared" si="56"/>
        <v>护腿</v>
      </c>
      <c r="E906" s="1">
        <f>INDEX([1]游戏类型定义!$C$20:$C$29,MATCH(D906,[1]!装备部位,0))</f>
        <v>7</v>
      </c>
      <c r="F906" s="1">
        <v>3</v>
      </c>
      <c r="G906" s="1">
        <f t="shared" si="57"/>
        <v>50</v>
      </c>
      <c r="H906" s="10">
        <v>0</v>
      </c>
      <c r="I906" s="1">
        <v>25000</v>
      </c>
      <c r="J906" s="1">
        <v>20</v>
      </c>
      <c r="K906" s="1">
        <v>0</v>
      </c>
      <c r="L906" s="1">
        <v>27500</v>
      </c>
      <c r="M906" s="1" t="s">
        <v>1945</v>
      </c>
      <c r="N906" s="1" t="s">
        <v>1077</v>
      </c>
      <c r="O906" s="1">
        <v>0</v>
      </c>
      <c r="P906" s="1" t="s">
        <v>2080</v>
      </c>
      <c r="Q906" s="7" t="s">
        <v>2479</v>
      </c>
    </row>
    <row r="907" spans="1:17" ht="14.25" thickBot="1">
      <c r="A907" s="1" t="s">
        <v>969</v>
      </c>
      <c r="B907" s="2">
        <v>0</v>
      </c>
      <c r="C907" s="1" t="s">
        <v>2038</v>
      </c>
      <c r="D907" s="1" t="str">
        <f t="shared" si="56"/>
        <v>护腿</v>
      </c>
      <c r="E907" s="1">
        <f>INDEX([1]游戏类型定义!$C$20:$C$29,MATCH(D907,[1]!装备部位,0))</f>
        <v>7</v>
      </c>
      <c r="F907" s="1">
        <v>3</v>
      </c>
      <c r="G907" s="1">
        <f t="shared" si="57"/>
        <v>50</v>
      </c>
      <c r="H907" s="10">
        <v>0</v>
      </c>
      <c r="I907" s="1">
        <v>26500</v>
      </c>
      <c r="J907" s="1">
        <v>20</v>
      </c>
      <c r="K907" s="1">
        <v>0</v>
      </c>
      <c r="L907" s="1">
        <v>30000</v>
      </c>
      <c r="M907" s="1" t="s">
        <v>1946</v>
      </c>
      <c r="N907" s="1" t="s">
        <v>1077</v>
      </c>
      <c r="O907" s="1">
        <v>0</v>
      </c>
      <c r="P907" s="1" t="s">
        <v>2080</v>
      </c>
      <c r="Q907" s="7" t="s">
        <v>2064</v>
      </c>
    </row>
    <row r="908" spans="1:17" ht="14.25" thickBot="1">
      <c r="A908" s="1" t="s">
        <v>970</v>
      </c>
      <c r="B908" s="3">
        <v>1</v>
      </c>
      <c r="C908" s="1" t="s">
        <v>2106</v>
      </c>
      <c r="D908" s="1" t="str">
        <f t="shared" si="56"/>
        <v>头盔</v>
      </c>
      <c r="E908" s="1">
        <f>INDEX([1]游戏类型定义!$C$20:$C$29,MATCH(D908,[1]!装备部位,0))</f>
        <v>1</v>
      </c>
      <c r="F908" s="1">
        <v>3</v>
      </c>
      <c r="G908" s="1">
        <f t="shared" si="57"/>
        <v>55</v>
      </c>
      <c r="H908" s="10">
        <v>0</v>
      </c>
      <c r="I908" s="1">
        <v>27500</v>
      </c>
      <c r="J908" s="1">
        <v>20</v>
      </c>
      <c r="K908" s="1">
        <v>0</v>
      </c>
      <c r="L908" s="1">
        <v>30000</v>
      </c>
      <c r="M908" s="1" t="s">
        <v>1963</v>
      </c>
      <c r="N908" s="1" t="s">
        <v>1079</v>
      </c>
      <c r="O908" s="1">
        <v>0</v>
      </c>
      <c r="P908" s="1" t="s">
        <v>2081</v>
      </c>
      <c r="Q908" s="7" t="s">
        <v>2480</v>
      </c>
    </row>
    <row r="909" spans="1:17" ht="14.25" thickBot="1">
      <c r="A909" s="1" t="s">
        <v>971</v>
      </c>
      <c r="B909" s="3">
        <v>1</v>
      </c>
      <c r="C909" s="1" t="s">
        <v>2117</v>
      </c>
      <c r="D909" s="1" t="str">
        <f t="shared" si="56"/>
        <v>戒指</v>
      </c>
      <c r="E909" s="1">
        <f>INDEX([1]游戏类型定义!$C$20:$C$29,MATCH(D909,[1]!装备部位,0))</f>
        <v>2</v>
      </c>
      <c r="F909" s="1">
        <v>3</v>
      </c>
      <c r="G909" s="1">
        <f t="shared" si="57"/>
        <v>55</v>
      </c>
      <c r="H909" s="10">
        <v>0</v>
      </c>
      <c r="I909" s="1">
        <v>27500</v>
      </c>
      <c r="J909" s="1">
        <v>20</v>
      </c>
      <c r="K909" s="1">
        <v>0</v>
      </c>
      <c r="L909" s="1">
        <v>30000</v>
      </c>
      <c r="M909" s="1" t="s">
        <v>1964</v>
      </c>
      <c r="N909" s="1" t="s">
        <v>1079</v>
      </c>
      <c r="O909" s="1">
        <v>0</v>
      </c>
      <c r="P909" s="1" t="s">
        <v>2081</v>
      </c>
      <c r="Q909" s="7" t="s">
        <v>2481</v>
      </c>
    </row>
    <row r="910" spans="1:17" ht="14.25" thickBot="1">
      <c r="A910" s="1" t="s">
        <v>972</v>
      </c>
      <c r="B910" s="2">
        <v>0</v>
      </c>
      <c r="C910" s="1" t="s">
        <v>2095</v>
      </c>
      <c r="D910" s="1" t="str">
        <f t="shared" si="56"/>
        <v>腰带</v>
      </c>
      <c r="E910" s="1">
        <f>INDEX([1]游戏类型定义!$C$20:$C$29,MATCH(D910,[1]!装备部位,0))</f>
        <v>3</v>
      </c>
      <c r="F910" s="1">
        <v>3</v>
      </c>
      <c r="G910" s="1">
        <f t="shared" si="57"/>
        <v>55</v>
      </c>
      <c r="H910" s="10">
        <v>0</v>
      </c>
      <c r="I910" s="1">
        <v>27500</v>
      </c>
      <c r="J910" s="1">
        <v>20</v>
      </c>
      <c r="K910" s="1">
        <v>0</v>
      </c>
      <c r="L910" s="1">
        <v>30000</v>
      </c>
      <c r="M910" s="1" t="s">
        <v>1965</v>
      </c>
      <c r="N910" s="1" t="s">
        <v>1079</v>
      </c>
      <c r="O910" s="1">
        <v>0</v>
      </c>
      <c r="P910" s="1" t="s">
        <v>2081</v>
      </c>
      <c r="Q910" s="7" t="s">
        <v>2053</v>
      </c>
    </row>
    <row r="911" spans="1:17" ht="14.25" thickBot="1">
      <c r="A911" s="1" t="s">
        <v>973</v>
      </c>
      <c r="B911" s="3">
        <v>1</v>
      </c>
      <c r="C911" s="1" t="s">
        <v>2128</v>
      </c>
      <c r="D911" s="1" t="str">
        <f t="shared" si="56"/>
        <v>鞋子</v>
      </c>
      <c r="E911" s="1">
        <f>INDEX([1]游戏类型定义!$C$20:$C$29,MATCH(D911,[1]!装备部位,0))</f>
        <v>8</v>
      </c>
      <c r="F911" s="1">
        <v>3</v>
      </c>
      <c r="G911" s="1">
        <f t="shared" si="57"/>
        <v>55</v>
      </c>
      <c r="H911" s="10">
        <v>0</v>
      </c>
      <c r="I911" s="1">
        <v>27500</v>
      </c>
      <c r="J911" s="1">
        <v>20</v>
      </c>
      <c r="K911" s="1">
        <v>0</v>
      </c>
      <c r="L911" s="1">
        <v>30000</v>
      </c>
      <c r="M911" s="1" t="s">
        <v>1966</v>
      </c>
      <c r="N911" s="1" t="s">
        <v>1079</v>
      </c>
      <c r="O911" s="1">
        <v>0</v>
      </c>
      <c r="P911" s="1" t="s">
        <v>2081</v>
      </c>
      <c r="Q911" s="7" t="s">
        <v>2482</v>
      </c>
    </row>
    <row r="912" spans="1:17" ht="14.25" thickBot="1">
      <c r="A912" s="1" t="s">
        <v>974</v>
      </c>
      <c r="B912" s="2">
        <v>0</v>
      </c>
      <c r="C912" s="1" t="s">
        <v>2035</v>
      </c>
      <c r="D912" s="1" t="str">
        <f t="shared" si="56"/>
        <v>手套</v>
      </c>
      <c r="E912" s="1">
        <f>INDEX([1]游戏类型定义!$C$20:$C$29,MATCH(D912,[1]!装备部位,0))</f>
        <v>9</v>
      </c>
      <c r="F912" s="1">
        <v>3</v>
      </c>
      <c r="G912" s="1">
        <f t="shared" si="57"/>
        <v>55</v>
      </c>
      <c r="H912" s="10">
        <v>0</v>
      </c>
      <c r="I912" s="1">
        <v>27500</v>
      </c>
      <c r="J912" s="1">
        <v>20</v>
      </c>
      <c r="K912" s="1">
        <v>0</v>
      </c>
      <c r="L912" s="1">
        <v>30000</v>
      </c>
      <c r="M912" s="1" t="s">
        <v>1951</v>
      </c>
      <c r="N912" s="1" t="s">
        <v>1079</v>
      </c>
      <c r="O912" s="1">
        <v>0</v>
      </c>
      <c r="P912" s="1" t="s">
        <v>2081</v>
      </c>
      <c r="Q912" s="7" t="s">
        <v>2055</v>
      </c>
    </row>
    <row r="913" spans="1:17" ht="14.25" thickBot="1">
      <c r="A913" s="1" t="s">
        <v>975</v>
      </c>
      <c r="B913" s="3">
        <v>1</v>
      </c>
      <c r="C913" s="1" t="s">
        <v>2153</v>
      </c>
      <c r="D913" s="1" t="str">
        <f t="shared" si="56"/>
        <v>项链</v>
      </c>
      <c r="E913" s="1">
        <f>INDEX([1]游戏类型定义!$C$20:$C$29,MATCH(D913,[1]!装备部位,0))</f>
        <v>10</v>
      </c>
      <c r="F913" s="1">
        <v>3</v>
      </c>
      <c r="G913" s="1">
        <f t="shared" si="57"/>
        <v>55</v>
      </c>
      <c r="H913" s="10">
        <v>0</v>
      </c>
      <c r="I913" s="1">
        <v>27500</v>
      </c>
      <c r="J913" s="1">
        <v>20</v>
      </c>
      <c r="K913" s="1">
        <v>0</v>
      </c>
      <c r="L913" s="1">
        <v>30000</v>
      </c>
      <c r="M913" s="1" t="s">
        <v>1967</v>
      </c>
      <c r="N913" s="1" t="s">
        <v>1079</v>
      </c>
      <c r="O913" s="1">
        <v>0</v>
      </c>
      <c r="P913" s="1" t="s">
        <v>2081</v>
      </c>
      <c r="Q913" s="7" t="s">
        <v>2483</v>
      </c>
    </row>
    <row r="914" spans="1:17" ht="14.25" thickBot="1">
      <c r="A914" s="1" t="s">
        <v>976</v>
      </c>
      <c r="B914" s="3">
        <v>1</v>
      </c>
      <c r="C914" s="9" t="s">
        <v>2277</v>
      </c>
      <c r="D914" s="1" t="str">
        <f t="shared" si="56"/>
        <v>主手武器</v>
      </c>
      <c r="E914" s="1">
        <f>INDEX([1]游戏类型定义!$C$20:$C$29,MATCH(D914,[1]!装备部位,0))</f>
        <v>5</v>
      </c>
      <c r="F914" s="1">
        <v>3</v>
      </c>
      <c r="G914" s="1">
        <f t="shared" si="57"/>
        <v>55</v>
      </c>
      <c r="H914" s="10" t="s">
        <v>2320</v>
      </c>
      <c r="I914" s="1">
        <v>27500</v>
      </c>
      <c r="J914" s="1">
        <v>20</v>
      </c>
      <c r="K914" s="1">
        <v>0</v>
      </c>
      <c r="L914" s="1">
        <v>30000</v>
      </c>
      <c r="M914" s="1" t="s">
        <v>2026</v>
      </c>
      <c r="N914" s="1" t="s">
        <v>1080</v>
      </c>
      <c r="O914" s="1">
        <v>0</v>
      </c>
      <c r="P914" s="1" t="s">
        <v>2081</v>
      </c>
      <c r="Q914" s="7" t="s">
        <v>2484</v>
      </c>
    </row>
    <row r="915" spans="1:17" ht="14.25" thickBot="1">
      <c r="A915" s="1" t="s">
        <v>977</v>
      </c>
      <c r="B915" s="2">
        <v>0</v>
      </c>
      <c r="C915" s="9" t="s">
        <v>2046</v>
      </c>
      <c r="D915" s="1" t="str">
        <f t="shared" si="56"/>
        <v>主手武器</v>
      </c>
      <c r="E915" s="1">
        <f>INDEX([1]游戏类型定义!$C$20:$C$29,MATCH(D915,[1]!装备部位,0))</f>
        <v>5</v>
      </c>
      <c r="F915" s="1">
        <v>3</v>
      </c>
      <c r="G915" s="1">
        <f t="shared" si="57"/>
        <v>55</v>
      </c>
      <c r="H915" s="10" t="s">
        <v>2320</v>
      </c>
      <c r="I915" s="1">
        <v>29000</v>
      </c>
      <c r="J915" s="1">
        <v>20</v>
      </c>
      <c r="K915" s="1">
        <v>0</v>
      </c>
      <c r="L915" s="1">
        <v>32500</v>
      </c>
      <c r="M915" s="1" t="s">
        <v>2027</v>
      </c>
      <c r="N915" s="1" t="s">
        <v>1080</v>
      </c>
      <c r="O915" s="1">
        <v>0</v>
      </c>
      <c r="P915" s="1" t="s">
        <v>2081</v>
      </c>
      <c r="Q915" s="7" t="s">
        <v>2057</v>
      </c>
    </row>
    <row r="916" spans="1:17" ht="14.25" thickBot="1">
      <c r="A916" s="1" t="s">
        <v>978</v>
      </c>
      <c r="B916" s="3">
        <v>1</v>
      </c>
      <c r="C916" s="9" t="s">
        <v>2278</v>
      </c>
      <c r="D916" s="1" t="str">
        <f t="shared" ref="D916:D935" si="58">D586</f>
        <v>副手武器</v>
      </c>
      <c r="E916" s="1">
        <f>INDEX([1]游戏类型定义!$C$20:$C$29,MATCH(D916,[1]!装备部位,0))</f>
        <v>6</v>
      </c>
      <c r="F916" s="1">
        <v>3</v>
      </c>
      <c r="G916" s="1">
        <f t="shared" ref="G916:G935" si="59">G586</f>
        <v>55</v>
      </c>
      <c r="H916" s="10" t="s">
        <v>2320</v>
      </c>
      <c r="I916" s="1">
        <v>27500</v>
      </c>
      <c r="J916" s="1">
        <v>20</v>
      </c>
      <c r="K916" s="1">
        <v>0</v>
      </c>
      <c r="L916" s="1">
        <v>30000</v>
      </c>
      <c r="M916" s="1" t="s">
        <v>1968</v>
      </c>
      <c r="N916" s="1" t="s">
        <v>1080</v>
      </c>
      <c r="O916" s="1">
        <v>0</v>
      </c>
      <c r="P916" s="1" t="s">
        <v>2081</v>
      </c>
      <c r="Q916" s="7" t="s">
        <v>2485</v>
      </c>
    </row>
    <row r="917" spans="1:17" ht="14.25" thickBot="1">
      <c r="A917" s="1" t="s">
        <v>979</v>
      </c>
      <c r="B917" s="3">
        <v>1</v>
      </c>
      <c r="C917" s="9" t="s">
        <v>2279</v>
      </c>
      <c r="D917" s="1" t="str">
        <f t="shared" si="58"/>
        <v>副手武器</v>
      </c>
      <c r="E917" s="1">
        <f>INDEX([1]游戏类型定义!$C$20:$C$29,MATCH(D917,[1]!装备部位,0))</f>
        <v>6</v>
      </c>
      <c r="F917" s="1">
        <v>3</v>
      </c>
      <c r="G917" s="1">
        <f t="shared" si="59"/>
        <v>55</v>
      </c>
      <c r="H917" s="10" t="s">
        <v>2320</v>
      </c>
      <c r="I917" s="1">
        <v>29000</v>
      </c>
      <c r="J917" s="1">
        <v>20</v>
      </c>
      <c r="K917" s="1">
        <v>0</v>
      </c>
      <c r="L917" s="1">
        <v>32500</v>
      </c>
      <c r="M917" s="1" t="s">
        <v>1969</v>
      </c>
      <c r="N917" s="1" t="s">
        <v>1080</v>
      </c>
      <c r="O917" s="1">
        <v>0</v>
      </c>
      <c r="P917" s="1" t="s">
        <v>2081</v>
      </c>
      <c r="Q917" s="7" t="s">
        <v>2486</v>
      </c>
    </row>
    <row r="918" spans="1:17" ht="14.25" thickBot="1">
      <c r="A918" s="1" t="s">
        <v>980</v>
      </c>
      <c r="B918" s="3">
        <v>1</v>
      </c>
      <c r="C918" s="1" t="s">
        <v>2280</v>
      </c>
      <c r="D918" s="1" t="str">
        <f t="shared" si="58"/>
        <v>主手武器</v>
      </c>
      <c r="E918" s="1">
        <f>INDEX([1]游戏类型定义!$C$20:$C$29,MATCH(D918,[1]!装备部位,0))</f>
        <v>5</v>
      </c>
      <c r="F918" s="1">
        <v>3</v>
      </c>
      <c r="G918" s="1">
        <f t="shared" si="59"/>
        <v>55</v>
      </c>
      <c r="H918" s="10" t="s">
        <v>2321</v>
      </c>
      <c r="I918" s="1">
        <v>27500</v>
      </c>
      <c r="J918" s="1">
        <v>20</v>
      </c>
      <c r="K918" s="1">
        <v>0</v>
      </c>
      <c r="L918" s="1">
        <v>30000</v>
      </c>
      <c r="M918" s="1" t="s">
        <v>2026</v>
      </c>
      <c r="N918" s="1" t="s">
        <v>1080</v>
      </c>
      <c r="O918" s="1">
        <v>0</v>
      </c>
      <c r="P918" s="1" t="s">
        <v>2081</v>
      </c>
      <c r="Q918" s="7" t="s">
        <v>2471</v>
      </c>
    </row>
    <row r="919" spans="1:17" ht="14.25" thickBot="1">
      <c r="A919" s="1" t="s">
        <v>981</v>
      </c>
      <c r="B919" s="2">
        <v>0</v>
      </c>
      <c r="C919" s="1" t="s">
        <v>2040</v>
      </c>
      <c r="D919" s="1" t="str">
        <f t="shared" si="58"/>
        <v>主手武器</v>
      </c>
      <c r="E919" s="1">
        <f>INDEX([1]游戏类型定义!$C$20:$C$29,MATCH(D919,[1]!装备部位,0))</f>
        <v>5</v>
      </c>
      <c r="F919" s="1">
        <v>3</v>
      </c>
      <c r="G919" s="1">
        <f t="shared" si="59"/>
        <v>55</v>
      </c>
      <c r="H919" s="10" t="s">
        <v>2321</v>
      </c>
      <c r="I919" s="1">
        <v>29000</v>
      </c>
      <c r="J919" s="1">
        <v>20</v>
      </c>
      <c r="K919" s="1">
        <v>0</v>
      </c>
      <c r="L919" s="1">
        <v>32500</v>
      </c>
      <c r="M919" s="1" t="s">
        <v>2027</v>
      </c>
      <c r="N919" s="1" t="s">
        <v>1080</v>
      </c>
      <c r="O919" s="1">
        <v>0</v>
      </c>
      <c r="P919" s="1" t="s">
        <v>2081</v>
      </c>
      <c r="Q919" s="7" t="s">
        <v>2059</v>
      </c>
    </row>
    <row r="920" spans="1:17" ht="14.25" thickBot="1">
      <c r="A920" s="1" t="s">
        <v>982</v>
      </c>
      <c r="B920" s="3">
        <v>1</v>
      </c>
      <c r="C920" s="9" t="s">
        <v>2281</v>
      </c>
      <c r="D920" s="1" t="str">
        <f t="shared" si="58"/>
        <v>副手武器</v>
      </c>
      <c r="E920" s="1">
        <f>INDEX([1]游戏类型定义!$C$20:$C$29,MATCH(D920,[1]!装备部位,0))</f>
        <v>6</v>
      </c>
      <c r="F920" s="1">
        <v>3</v>
      </c>
      <c r="G920" s="1">
        <f t="shared" si="59"/>
        <v>55</v>
      </c>
      <c r="H920" s="10" t="s">
        <v>2321</v>
      </c>
      <c r="I920" s="1">
        <v>27500</v>
      </c>
      <c r="J920" s="1">
        <v>20</v>
      </c>
      <c r="K920" s="1">
        <v>0</v>
      </c>
      <c r="L920" s="1">
        <v>30000</v>
      </c>
      <c r="M920" s="1" t="s">
        <v>1970</v>
      </c>
      <c r="N920" s="1" t="s">
        <v>1080</v>
      </c>
      <c r="O920" s="1">
        <v>0</v>
      </c>
      <c r="P920" s="1" t="s">
        <v>2081</v>
      </c>
      <c r="Q920" s="7" t="s">
        <v>2487</v>
      </c>
    </row>
    <row r="921" spans="1:17" ht="14.25" thickBot="1">
      <c r="A921" s="1" t="s">
        <v>983</v>
      </c>
      <c r="B921" s="3">
        <v>1</v>
      </c>
      <c r="C921" s="9" t="s">
        <v>2282</v>
      </c>
      <c r="D921" s="1" t="str">
        <f t="shared" si="58"/>
        <v>副手武器</v>
      </c>
      <c r="E921" s="1">
        <f>INDEX([1]游戏类型定义!$C$20:$C$29,MATCH(D921,[1]!装备部位,0))</f>
        <v>6</v>
      </c>
      <c r="F921" s="1">
        <v>3</v>
      </c>
      <c r="G921" s="1">
        <f t="shared" si="59"/>
        <v>55</v>
      </c>
      <c r="H921" s="10" t="s">
        <v>2321</v>
      </c>
      <c r="I921" s="1">
        <v>29000</v>
      </c>
      <c r="J921" s="1">
        <v>20</v>
      </c>
      <c r="K921" s="1">
        <v>0</v>
      </c>
      <c r="L921" s="1">
        <v>32500</v>
      </c>
      <c r="M921" s="1" t="s">
        <v>1971</v>
      </c>
      <c r="N921" s="1" t="s">
        <v>1080</v>
      </c>
      <c r="O921" s="1">
        <v>0</v>
      </c>
      <c r="P921" s="1" t="s">
        <v>2081</v>
      </c>
      <c r="Q921" s="7" t="s">
        <v>2488</v>
      </c>
    </row>
    <row r="922" spans="1:17" ht="14.25" thickBot="1">
      <c r="A922" s="1" t="s">
        <v>984</v>
      </c>
      <c r="B922" s="3">
        <v>1</v>
      </c>
      <c r="C922" s="9" t="s">
        <v>2274</v>
      </c>
      <c r="D922" s="1" t="str">
        <f t="shared" si="58"/>
        <v>主手武器</v>
      </c>
      <c r="E922" s="1">
        <f>INDEX([1]游戏类型定义!$C$20:$C$29,MATCH(D922,[1]!装备部位,0))</f>
        <v>5</v>
      </c>
      <c r="F922" s="1">
        <v>3</v>
      </c>
      <c r="G922" s="1">
        <f t="shared" si="59"/>
        <v>55</v>
      </c>
      <c r="H922" s="10" t="s">
        <v>2322</v>
      </c>
      <c r="I922" s="1">
        <v>27500</v>
      </c>
      <c r="J922" s="1">
        <v>20</v>
      </c>
      <c r="K922" s="1">
        <v>0</v>
      </c>
      <c r="L922" s="1">
        <v>30000</v>
      </c>
      <c r="M922" s="1" t="s">
        <v>2026</v>
      </c>
      <c r="N922" s="1" t="s">
        <v>1080</v>
      </c>
      <c r="O922" s="1">
        <v>0</v>
      </c>
      <c r="P922" s="1" t="s">
        <v>2081</v>
      </c>
      <c r="Q922" s="7" t="s">
        <v>2489</v>
      </c>
    </row>
    <row r="923" spans="1:17" ht="14.25" thickBot="1">
      <c r="A923" s="1" t="s">
        <v>985</v>
      </c>
      <c r="B923" s="2">
        <v>0</v>
      </c>
      <c r="C923" s="9" t="s">
        <v>2048</v>
      </c>
      <c r="D923" s="1" t="str">
        <f t="shared" si="58"/>
        <v>主手武器</v>
      </c>
      <c r="E923" s="1">
        <f>INDEX([1]游戏类型定义!$C$20:$C$29,MATCH(D923,[1]!装备部位,0))</f>
        <v>5</v>
      </c>
      <c r="F923" s="1">
        <v>3</v>
      </c>
      <c r="G923" s="1">
        <f t="shared" si="59"/>
        <v>55</v>
      </c>
      <c r="H923" s="10" t="s">
        <v>2322</v>
      </c>
      <c r="I923" s="1">
        <v>29000</v>
      </c>
      <c r="J923" s="1">
        <v>20</v>
      </c>
      <c r="K923" s="1">
        <v>0</v>
      </c>
      <c r="L923" s="1">
        <v>32500</v>
      </c>
      <c r="M923" s="1" t="s">
        <v>2027</v>
      </c>
      <c r="N923" s="1" t="s">
        <v>1080</v>
      </c>
      <c r="O923" s="1">
        <v>0</v>
      </c>
      <c r="P923" s="1" t="s">
        <v>2081</v>
      </c>
      <c r="Q923" s="7" t="s">
        <v>2061</v>
      </c>
    </row>
    <row r="924" spans="1:17" ht="14.25" thickBot="1">
      <c r="A924" s="1" t="s">
        <v>986</v>
      </c>
      <c r="B924" s="3">
        <v>1</v>
      </c>
      <c r="C924" s="9" t="s">
        <v>2283</v>
      </c>
      <c r="D924" s="1" t="str">
        <f t="shared" si="58"/>
        <v>副手武器</v>
      </c>
      <c r="E924" s="1">
        <f>INDEX([1]游戏类型定义!$C$20:$C$29,MATCH(D924,[1]!装备部位,0))</f>
        <v>6</v>
      </c>
      <c r="F924" s="1">
        <v>3</v>
      </c>
      <c r="G924" s="1">
        <f t="shared" si="59"/>
        <v>55</v>
      </c>
      <c r="H924" s="10" t="s">
        <v>2322</v>
      </c>
      <c r="I924" s="1">
        <v>27500</v>
      </c>
      <c r="J924" s="1">
        <v>20</v>
      </c>
      <c r="K924" s="1">
        <v>0</v>
      </c>
      <c r="L924" s="1">
        <v>30000</v>
      </c>
      <c r="M924" s="1" t="s">
        <v>1972</v>
      </c>
      <c r="N924" s="1" t="s">
        <v>1080</v>
      </c>
      <c r="O924" s="1">
        <v>0</v>
      </c>
      <c r="P924" s="1" t="s">
        <v>2081</v>
      </c>
      <c r="Q924" s="7" t="s">
        <v>2490</v>
      </c>
    </row>
    <row r="925" spans="1:17" ht="14.25" thickBot="1">
      <c r="A925" s="1" t="s">
        <v>987</v>
      </c>
      <c r="B925" s="3">
        <v>1</v>
      </c>
      <c r="C925" s="9" t="s">
        <v>2285</v>
      </c>
      <c r="D925" s="1" t="str">
        <f t="shared" si="58"/>
        <v>副手武器</v>
      </c>
      <c r="E925" s="1">
        <f>INDEX([1]游戏类型定义!$C$20:$C$29,MATCH(D925,[1]!装备部位,0))</f>
        <v>6</v>
      </c>
      <c r="F925" s="1">
        <v>3</v>
      </c>
      <c r="G925" s="1">
        <f t="shared" si="59"/>
        <v>55</v>
      </c>
      <c r="H925" s="10" t="s">
        <v>2322</v>
      </c>
      <c r="I925" s="1">
        <v>29000</v>
      </c>
      <c r="J925" s="1">
        <v>20</v>
      </c>
      <c r="K925" s="1">
        <v>0</v>
      </c>
      <c r="L925" s="1">
        <v>32500</v>
      </c>
      <c r="M925" s="1" t="s">
        <v>1973</v>
      </c>
      <c r="N925" s="1" t="s">
        <v>1080</v>
      </c>
      <c r="O925" s="1">
        <v>0</v>
      </c>
      <c r="P925" s="1" t="s">
        <v>2081</v>
      </c>
      <c r="Q925" s="7" t="s">
        <v>2491</v>
      </c>
    </row>
    <row r="926" spans="1:17" ht="14.25" thickBot="1">
      <c r="A926" s="1" t="s">
        <v>988</v>
      </c>
      <c r="B926" s="3">
        <v>1</v>
      </c>
      <c r="C926" s="1" t="s">
        <v>2170</v>
      </c>
      <c r="D926" s="1" t="str">
        <f t="shared" si="58"/>
        <v>胸甲</v>
      </c>
      <c r="E926" s="1">
        <f>INDEX([1]游戏类型定义!$C$20:$C$29,MATCH(D926,[1]!装备部位,0))</f>
        <v>4</v>
      </c>
      <c r="F926" s="1">
        <v>3</v>
      </c>
      <c r="G926" s="1">
        <f t="shared" si="59"/>
        <v>55</v>
      </c>
      <c r="H926" s="10">
        <v>0</v>
      </c>
      <c r="I926" s="1">
        <v>27500</v>
      </c>
      <c r="J926" s="1">
        <v>20</v>
      </c>
      <c r="K926" s="1">
        <v>0</v>
      </c>
      <c r="L926" s="1">
        <v>30000</v>
      </c>
      <c r="M926" s="1" t="s">
        <v>1974</v>
      </c>
      <c r="N926" s="1" t="s">
        <v>1079</v>
      </c>
      <c r="O926" s="1">
        <v>0</v>
      </c>
      <c r="P926" s="1" t="s">
        <v>2081</v>
      </c>
      <c r="Q926" s="7" t="s">
        <v>2492</v>
      </c>
    </row>
    <row r="927" spans="1:17" ht="14.25" thickBot="1">
      <c r="A927" s="1" t="s">
        <v>989</v>
      </c>
      <c r="B927" s="2">
        <v>0</v>
      </c>
      <c r="C927" s="1" t="s">
        <v>2030</v>
      </c>
      <c r="D927" s="1" t="str">
        <f t="shared" si="58"/>
        <v>胸甲</v>
      </c>
      <c r="E927" s="1">
        <f>INDEX([1]游戏类型定义!$C$20:$C$29,MATCH(D927,[1]!装备部位,0))</f>
        <v>4</v>
      </c>
      <c r="F927" s="1">
        <v>3</v>
      </c>
      <c r="G927" s="1">
        <f t="shared" si="59"/>
        <v>55</v>
      </c>
      <c r="H927" s="10">
        <v>0</v>
      </c>
      <c r="I927" s="1">
        <v>29000</v>
      </c>
      <c r="J927" s="1">
        <v>20</v>
      </c>
      <c r="K927" s="1">
        <v>0</v>
      </c>
      <c r="L927" s="1">
        <v>32500</v>
      </c>
      <c r="M927" s="1" t="s">
        <v>1975</v>
      </c>
      <c r="N927" s="1" t="s">
        <v>1079</v>
      </c>
      <c r="O927" s="1">
        <v>0</v>
      </c>
      <c r="P927" s="1" t="s">
        <v>2081</v>
      </c>
      <c r="Q927" s="7" t="s">
        <v>2063</v>
      </c>
    </row>
    <row r="928" spans="1:17" ht="14.25" thickBot="1">
      <c r="A928" s="1" t="s">
        <v>990</v>
      </c>
      <c r="B928" s="3">
        <v>1</v>
      </c>
      <c r="C928" s="1" t="s">
        <v>2189</v>
      </c>
      <c r="D928" s="1" t="str">
        <f t="shared" si="58"/>
        <v>护腿</v>
      </c>
      <c r="E928" s="1">
        <f>INDEX([1]游戏类型定义!$C$20:$C$29,MATCH(D928,[1]!装备部位,0))</f>
        <v>7</v>
      </c>
      <c r="F928" s="1">
        <v>3</v>
      </c>
      <c r="G928" s="1">
        <f t="shared" si="59"/>
        <v>55</v>
      </c>
      <c r="H928" s="10">
        <v>0</v>
      </c>
      <c r="I928" s="1">
        <v>27500</v>
      </c>
      <c r="J928" s="1">
        <v>20</v>
      </c>
      <c r="K928" s="1">
        <v>0</v>
      </c>
      <c r="L928" s="1">
        <v>30000</v>
      </c>
      <c r="M928" s="1" t="s">
        <v>1961</v>
      </c>
      <c r="N928" s="1" t="s">
        <v>1079</v>
      </c>
      <c r="O928" s="1">
        <v>0</v>
      </c>
      <c r="P928" s="1" t="s">
        <v>2081</v>
      </c>
      <c r="Q928" s="7" t="s">
        <v>2493</v>
      </c>
    </row>
    <row r="929" spans="1:17" ht="14.25" thickBot="1">
      <c r="A929" s="1" t="s">
        <v>991</v>
      </c>
      <c r="B929" s="2">
        <v>0</v>
      </c>
      <c r="C929" s="1" t="s">
        <v>2038</v>
      </c>
      <c r="D929" s="1" t="str">
        <f t="shared" si="58"/>
        <v>护腿</v>
      </c>
      <c r="E929" s="1">
        <f>INDEX([1]游戏类型定义!$C$20:$C$29,MATCH(D929,[1]!装备部位,0))</f>
        <v>7</v>
      </c>
      <c r="F929" s="1">
        <v>3</v>
      </c>
      <c r="G929" s="1">
        <f t="shared" si="59"/>
        <v>55</v>
      </c>
      <c r="H929" s="10">
        <v>0</v>
      </c>
      <c r="I929" s="1">
        <v>29000</v>
      </c>
      <c r="J929" s="1">
        <v>20</v>
      </c>
      <c r="K929" s="1">
        <v>0</v>
      </c>
      <c r="L929" s="1">
        <v>32500</v>
      </c>
      <c r="M929" s="1" t="s">
        <v>1962</v>
      </c>
      <c r="N929" s="1" t="s">
        <v>1079</v>
      </c>
      <c r="O929" s="1">
        <v>0</v>
      </c>
      <c r="P929" s="1" t="s">
        <v>2081</v>
      </c>
      <c r="Q929" s="7" t="s">
        <v>2064</v>
      </c>
    </row>
    <row r="930" spans="1:17" ht="14.25" thickBot="1">
      <c r="A930" s="1" t="s">
        <v>992</v>
      </c>
      <c r="B930" s="3">
        <v>1</v>
      </c>
      <c r="C930" s="1" t="s">
        <v>2142</v>
      </c>
      <c r="D930" s="1" t="str">
        <f t="shared" si="58"/>
        <v>头盔</v>
      </c>
      <c r="E930" s="1">
        <f>INDEX([1]游戏类型定义!$C$20:$C$29,MATCH(D930,[1]!装备部位,0))</f>
        <v>1</v>
      </c>
      <c r="F930" s="1">
        <v>3</v>
      </c>
      <c r="G930" s="1">
        <f t="shared" si="59"/>
        <v>60</v>
      </c>
      <c r="H930" s="10">
        <v>0</v>
      </c>
      <c r="I930" s="1">
        <v>30000</v>
      </c>
      <c r="J930" s="1">
        <v>20</v>
      </c>
      <c r="K930" s="1">
        <v>0</v>
      </c>
      <c r="L930" s="1">
        <v>32500</v>
      </c>
      <c r="M930" s="1" t="s">
        <v>1976</v>
      </c>
      <c r="N930" s="1" t="s">
        <v>1081</v>
      </c>
      <c r="O930" s="1">
        <v>0</v>
      </c>
      <c r="P930" s="1" t="s">
        <v>2082</v>
      </c>
      <c r="Q930" s="7" t="s">
        <v>2494</v>
      </c>
    </row>
    <row r="931" spans="1:17" ht="14.25" thickBot="1">
      <c r="A931" s="1" t="s">
        <v>993</v>
      </c>
      <c r="B931" s="3">
        <v>1</v>
      </c>
      <c r="C931" s="1" t="s">
        <v>2116</v>
      </c>
      <c r="D931" s="1" t="str">
        <f t="shared" si="58"/>
        <v>戒指</v>
      </c>
      <c r="E931" s="1">
        <f>INDEX([1]游戏类型定义!$C$20:$C$29,MATCH(D931,[1]!装备部位,0))</f>
        <v>2</v>
      </c>
      <c r="F931" s="1">
        <v>3</v>
      </c>
      <c r="G931" s="1">
        <f t="shared" si="59"/>
        <v>60</v>
      </c>
      <c r="H931" s="10">
        <v>0</v>
      </c>
      <c r="I931" s="1">
        <v>30000</v>
      </c>
      <c r="J931" s="1">
        <v>20</v>
      </c>
      <c r="K931" s="1">
        <v>0</v>
      </c>
      <c r="L931" s="1">
        <v>32500</v>
      </c>
      <c r="M931" s="1" t="s">
        <v>1977</v>
      </c>
      <c r="N931" s="1" t="s">
        <v>1081</v>
      </c>
      <c r="O931" s="1">
        <v>0</v>
      </c>
      <c r="P931" s="1" t="s">
        <v>2082</v>
      </c>
      <c r="Q931" s="7" t="s">
        <v>2495</v>
      </c>
    </row>
    <row r="932" spans="1:17" ht="14.25" thickBot="1">
      <c r="A932" s="1" t="s">
        <v>994</v>
      </c>
      <c r="B932" s="3">
        <v>1</v>
      </c>
      <c r="C932" s="1" t="s">
        <v>2096</v>
      </c>
      <c r="D932" s="1" t="str">
        <f t="shared" si="58"/>
        <v>腰带</v>
      </c>
      <c r="E932" s="1">
        <f>INDEX([1]游戏类型定义!$C$20:$C$29,MATCH(D932,[1]!装备部位,0))</f>
        <v>3</v>
      </c>
      <c r="F932" s="1">
        <v>3</v>
      </c>
      <c r="G932" s="1">
        <f t="shared" si="59"/>
        <v>60</v>
      </c>
      <c r="H932" s="10">
        <v>0</v>
      </c>
      <c r="I932" s="1">
        <v>30000</v>
      </c>
      <c r="J932" s="1">
        <v>20</v>
      </c>
      <c r="K932" s="1">
        <v>0</v>
      </c>
      <c r="L932" s="1">
        <v>32500</v>
      </c>
      <c r="M932" s="1" t="s">
        <v>1965</v>
      </c>
      <c r="N932" s="1" t="s">
        <v>1081</v>
      </c>
      <c r="O932" s="1">
        <v>0</v>
      </c>
      <c r="P932" s="1" t="s">
        <v>2082</v>
      </c>
      <c r="Q932" s="7" t="s">
        <v>2496</v>
      </c>
    </row>
    <row r="933" spans="1:17" ht="14.25" thickBot="1">
      <c r="A933" s="1" t="s">
        <v>995</v>
      </c>
      <c r="B933" s="3">
        <v>1</v>
      </c>
      <c r="C933" s="1" t="s">
        <v>2140</v>
      </c>
      <c r="D933" s="1" t="str">
        <f t="shared" si="58"/>
        <v>鞋子</v>
      </c>
      <c r="E933" s="1">
        <f>INDEX([1]游戏类型定义!$C$20:$C$29,MATCH(D933,[1]!装备部位,0))</f>
        <v>8</v>
      </c>
      <c r="F933" s="1">
        <v>3</v>
      </c>
      <c r="G933" s="1">
        <f t="shared" si="59"/>
        <v>60</v>
      </c>
      <c r="H933" s="10">
        <v>0</v>
      </c>
      <c r="I933" s="1">
        <v>30000</v>
      </c>
      <c r="J933" s="1">
        <v>20</v>
      </c>
      <c r="K933" s="1">
        <v>0</v>
      </c>
      <c r="L933" s="1">
        <v>32500</v>
      </c>
      <c r="M933" s="1" t="s">
        <v>1978</v>
      </c>
      <c r="N933" s="1" t="s">
        <v>1081</v>
      </c>
      <c r="O933" s="1">
        <v>0</v>
      </c>
      <c r="P933" s="1" t="s">
        <v>2082</v>
      </c>
      <c r="Q933" s="7" t="s">
        <v>2497</v>
      </c>
    </row>
    <row r="934" spans="1:17" ht="14.25" thickBot="1">
      <c r="A934" s="1" t="s">
        <v>996</v>
      </c>
      <c r="B934" s="3">
        <v>1</v>
      </c>
      <c r="C934" s="1" t="s">
        <v>2138</v>
      </c>
      <c r="D934" s="1" t="str">
        <f t="shared" si="58"/>
        <v>手套</v>
      </c>
      <c r="E934" s="1">
        <f>INDEX([1]游戏类型定义!$C$20:$C$29,MATCH(D934,[1]!装备部位,0))</f>
        <v>9</v>
      </c>
      <c r="F934" s="1">
        <v>3</v>
      </c>
      <c r="G934" s="1">
        <f t="shared" si="59"/>
        <v>60</v>
      </c>
      <c r="H934" s="10">
        <v>0</v>
      </c>
      <c r="I934" s="1">
        <v>30000</v>
      </c>
      <c r="J934" s="1">
        <v>20</v>
      </c>
      <c r="K934" s="1">
        <v>0</v>
      </c>
      <c r="L934" s="1">
        <v>32500</v>
      </c>
      <c r="M934" s="1" t="s">
        <v>1979</v>
      </c>
      <c r="N934" s="1" t="s">
        <v>1081</v>
      </c>
      <c r="O934" s="1">
        <v>0</v>
      </c>
      <c r="P934" s="1" t="s">
        <v>2082</v>
      </c>
      <c r="Q934" s="7" t="s">
        <v>2498</v>
      </c>
    </row>
    <row r="935" spans="1:17" ht="14.25" thickBot="1">
      <c r="A935" s="1" t="s">
        <v>997</v>
      </c>
      <c r="B935" s="3">
        <v>1</v>
      </c>
      <c r="C935" s="1" t="s">
        <v>2154</v>
      </c>
      <c r="D935" s="1" t="str">
        <f t="shared" si="58"/>
        <v>项链</v>
      </c>
      <c r="E935" s="1">
        <f>INDEX([1]游戏类型定义!$C$20:$C$29,MATCH(D935,[1]!装备部位,0))</f>
        <v>10</v>
      </c>
      <c r="F935" s="1">
        <v>3</v>
      </c>
      <c r="G935" s="1">
        <f t="shared" si="59"/>
        <v>60</v>
      </c>
      <c r="H935" s="10">
        <v>0</v>
      </c>
      <c r="I935" s="1">
        <v>30000</v>
      </c>
      <c r="J935" s="1">
        <v>20</v>
      </c>
      <c r="K935" s="1">
        <v>0</v>
      </c>
      <c r="L935" s="1">
        <v>32500</v>
      </c>
      <c r="M935" s="1" t="s">
        <v>1980</v>
      </c>
      <c r="N935" s="1" t="s">
        <v>1081</v>
      </c>
      <c r="O935" s="1">
        <v>0</v>
      </c>
      <c r="P935" s="1" t="s">
        <v>2082</v>
      </c>
      <c r="Q935" s="7" t="s">
        <v>2499</v>
      </c>
    </row>
    <row r="936" spans="1:17" ht="14.25" thickBot="1">
      <c r="A936" s="1" t="s">
        <v>998</v>
      </c>
      <c r="B936" s="3">
        <v>1</v>
      </c>
      <c r="C936" s="9" t="s">
        <v>2297</v>
      </c>
      <c r="D936" s="1" t="str">
        <f t="shared" ref="D936:D955" si="60">D606</f>
        <v>主手武器</v>
      </c>
      <c r="E936" s="1">
        <f>INDEX([1]游戏类型定义!$C$20:$C$29,MATCH(D936,[1]!装备部位,0))</f>
        <v>5</v>
      </c>
      <c r="F936" s="1">
        <v>3</v>
      </c>
      <c r="G936" s="1">
        <f t="shared" ref="G936:G955" si="61">G606</f>
        <v>60</v>
      </c>
      <c r="H936" s="10" t="s">
        <v>2320</v>
      </c>
      <c r="I936" s="1">
        <v>30000</v>
      </c>
      <c r="J936" s="1">
        <v>20</v>
      </c>
      <c r="K936" s="1">
        <v>0</v>
      </c>
      <c r="L936" s="1">
        <v>32500</v>
      </c>
      <c r="M936" s="1" t="s">
        <v>1981</v>
      </c>
      <c r="N936" s="1" t="s">
        <v>1082</v>
      </c>
      <c r="O936" s="1">
        <v>0</v>
      </c>
      <c r="P936" s="1" t="s">
        <v>2082</v>
      </c>
      <c r="Q936" s="7" t="s">
        <v>2500</v>
      </c>
    </row>
    <row r="937" spans="1:17" ht="14.25" thickBot="1">
      <c r="A937" s="1" t="s">
        <v>999</v>
      </c>
      <c r="B937" s="3">
        <v>1</v>
      </c>
      <c r="C937" s="9" t="s">
        <v>2286</v>
      </c>
      <c r="D937" s="1" t="str">
        <f t="shared" si="60"/>
        <v>主手武器</v>
      </c>
      <c r="E937" s="1">
        <f>INDEX([1]游戏类型定义!$C$20:$C$29,MATCH(D937,[1]!装备部位,0))</f>
        <v>5</v>
      </c>
      <c r="F937" s="1">
        <v>3</v>
      </c>
      <c r="G937" s="1">
        <f t="shared" si="61"/>
        <v>60</v>
      </c>
      <c r="H937" s="10" t="s">
        <v>2320</v>
      </c>
      <c r="I937" s="1">
        <v>31500</v>
      </c>
      <c r="J937" s="1">
        <v>20</v>
      </c>
      <c r="K937" s="1">
        <v>0</v>
      </c>
      <c r="L937" s="1">
        <v>35000</v>
      </c>
      <c r="M937" s="1" t="s">
        <v>1982</v>
      </c>
      <c r="N937" s="1" t="s">
        <v>1082</v>
      </c>
      <c r="O937" s="1">
        <v>0</v>
      </c>
      <c r="P937" s="1" t="s">
        <v>2082</v>
      </c>
      <c r="Q937" s="7" t="s">
        <v>2501</v>
      </c>
    </row>
    <row r="938" spans="1:17" ht="14.25" thickBot="1">
      <c r="A938" s="1" t="s">
        <v>1000</v>
      </c>
      <c r="B938" s="3">
        <v>1</v>
      </c>
      <c r="C938" s="9" t="s">
        <v>2288</v>
      </c>
      <c r="D938" s="1" t="str">
        <f t="shared" si="60"/>
        <v>副手武器</v>
      </c>
      <c r="E938" s="1">
        <f>INDEX([1]游戏类型定义!$C$20:$C$29,MATCH(D938,[1]!装备部位,0))</f>
        <v>6</v>
      </c>
      <c r="F938" s="1">
        <v>3</v>
      </c>
      <c r="G938" s="1">
        <f t="shared" si="61"/>
        <v>60</v>
      </c>
      <c r="H938" s="10" t="s">
        <v>2320</v>
      </c>
      <c r="I938" s="1">
        <v>30000</v>
      </c>
      <c r="J938" s="1">
        <v>20</v>
      </c>
      <c r="K938" s="1">
        <v>0</v>
      </c>
      <c r="L938" s="1">
        <v>32500</v>
      </c>
      <c r="M938" s="1" t="s">
        <v>1983</v>
      </c>
      <c r="N938" s="1" t="s">
        <v>1082</v>
      </c>
      <c r="O938" s="1">
        <v>0</v>
      </c>
      <c r="P938" s="1" t="s">
        <v>2082</v>
      </c>
      <c r="Q938" s="7" t="s">
        <v>2502</v>
      </c>
    </row>
    <row r="939" spans="1:17" ht="14.25" thickBot="1">
      <c r="A939" s="1" t="s">
        <v>1001</v>
      </c>
      <c r="B939" s="2">
        <v>0</v>
      </c>
      <c r="C939" s="9" t="s">
        <v>2044</v>
      </c>
      <c r="D939" s="1" t="str">
        <f t="shared" si="60"/>
        <v>副手武器</v>
      </c>
      <c r="E939" s="1">
        <f>INDEX([1]游戏类型定义!$C$20:$C$29,MATCH(D939,[1]!装备部位,0))</f>
        <v>6</v>
      </c>
      <c r="F939" s="1">
        <v>3</v>
      </c>
      <c r="G939" s="1">
        <f t="shared" si="61"/>
        <v>60</v>
      </c>
      <c r="H939" s="10" t="s">
        <v>2320</v>
      </c>
      <c r="I939" s="1">
        <v>31500</v>
      </c>
      <c r="J939" s="1">
        <v>20</v>
      </c>
      <c r="K939" s="1">
        <v>0</v>
      </c>
      <c r="L939" s="1">
        <v>35000</v>
      </c>
      <c r="M939" s="1" t="s">
        <v>1984</v>
      </c>
      <c r="N939" s="1" t="s">
        <v>1082</v>
      </c>
      <c r="O939" s="1">
        <v>0</v>
      </c>
      <c r="P939" s="1" t="s">
        <v>2082</v>
      </c>
      <c r="Q939" s="7" t="s">
        <v>2058</v>
      </c>
    </row>
    <row r="940" spans="1:17" ht="14.25" thickBot="1">
      <c r="A940" s="1" t="s">
        <v>1002</v>
      </c>
      <c r="B940" s="3">
        <v>1</v>
      </c>
      <c r="C940" s="1" t="s">
        <v>2289</v>
      </c>
      <c r="D940" s="1" t="str">
        <f t="shared" si="60"/>
        <v>主手武器</v>
      </c>
      <c r="E940" s="1">
        <f>INDEX([1]游戏类型定义!$C$20:$C$29,MATCH(D940,[1]!装备部位,0))</f>
        <v>5</v>
      </c>
      <c r="F940" s="1">
        <v>3</v>
      </c>
      <c r="G940" s="1">
        <f t="shared" si="61"/>
        <v>60</v>
      </c>
      <c r="H940" s="10" t="s">
        <v>2321</v>
      </c>
      <c r="I940" s="1">
        <v>30000</v>
      </c>
      <c r="J940" s="1">
        <v>20</v>
      </c>
      <c r="K940" s="1">
        <v>0</v>
      </c>
      <c r="L940" s="1">
        <v>32500</v>
      </c>
      <c r="M940" s="1" t="s">
        <v>1981</v>
      </c>
      <c r="N940" s="1" t="s">
        <v>1082</v>
      </c>
      <c r="O940" s="1">
        <v>0</v>
      </c>
      <c r="P940" s="1" t="s">
        <v>2082</v>
      </c>
      <c r="Q940" s="7" t="s">
        <v>2503</v>
      </c>
    </row>
    <row r="941" spans="1:17" ht="14.25" thickBot="1">
      <c r="A941" s="1" t="s">
        <v>1003</v>
      </c>
      <c r="B941" s="2">
        <v>0</v>
      </c>
      <c r="C941" s="1" t="s">
        <v>2040</v>
      </c>
      <c r="D941" s="1" t="str">
        <f t="shared" si="60"/>
        <v>主手武器</v>
      </c>
      <c r="E941" s="1">
        <f>INDEX([1]游戏类型定义!$C$20:$C$29,MATCH(D941,[1]!装备部位,0))</f>
        <v>5</v>
      </c>
      <c r="F941" s="1">
        <v>3</v>
      </c>
      <c r="G941" s="1">
        <f t="shared" si="61"/>
        <v>60</v>
      </c>
      <c r="H941" s="10" t="s">
        <v>2321</v>
      </c>
      <c r="I941" s="1">
        <v>31500</v>
      </c>
      <c r="J941" s="1">
        <v>20</v>
      </c>
      <c r="K941" s="1">
        <v>0</v>
      </c>
      <c r="L941" s="1">
        <v>35000</v>
      </c>
      <c r="M941" s="1" t="s">
        <v>1982</v>
      </c>
      <c r="N941" s="1" t="s">
        <v>1082</v>
      </c>
      <c r="O941" s="1">
        <v>0</v>
      </c>
      <c r="P941" s="1" t="s">
        <v>2082</v>
      </c>
      <c r="Q941" s="7" t="s">
        <v>2059</v>
      </c>
    </row>
    <row r="942" spans="1:17" ht="14.25" thickBot="1">
      <c r="A942" s="1" t="s">
        <v>1004</v>
      </c>
      <c r="B942" s="3">
        <v>1</v>
      </c>
      <c r="C942" s="9" t="s">
        <v>2292</v>
      </c>
      <c r="D942" s="1" t="str">
        <f t="shared" si="60"/>
        <v>副手武器</v>
      </c>
      <c r="E942" s="1">
        <f>INDEX([1]游戏类型定义!$C$20:$C$29,MATCH(D942,[1]!装备部位,0))</f>
        <v>6</v>
      </c>
      <c r="F942" s="1">
        <v>3</v>
      </c>
      <c r="G942" s="1">
        <f t="shared" si="61"/>
        <v>60</v>
      </c>
      <c r="H942" s="10" t="s">
        <v>2321</v>
      </c>
      <c r="I942" s="1">
        <v>30000</v>
      </c>
      <c r="J942" s="1">
        <v>20</v>
      </c>
      <c r="K942" s="1">
        <v>0</v>
      </c>
      <c r="L942" s="1">
        <v>32500</v>
      </c>
      <c r="M942" s="1" t="s">
        <v>1985</v>
      </c>
      <c r="N942" s="1" t="s">
        <v>1082</v>
      </c>
      <c r="O942" s="1">
        <v>0</v>
      </c>
      <c r="P942" s="1" t="s">
        <v>2082</v>
      </c>
      <c r="Q942" s="7" t="s">
        <v>2504</v>
      </c>
    </row>
    <row r="943" spans="1:17" ht="14.25" thickBot="1">
      <c r="A943" s="1" t="s">
        <v>1005</v>
      </c>
      <c r="B943" s="2">
        <v>0</v>
      </c>
      <c r="C943" s="9" t="s">
        <v>2042</v>
      </c>
      <c r="D943" s="1" t="str">
        <f t="shared" si="60"/>
        <v>副手武器</v>
      </c>
      <c r="E943" s="1">
        <f>INDEX([1]游戏类型定义!$C$20:$C$29,MATCH(D943,[1]!装备部位,0))</f>
        <v>6</v>
      </c>
      <c r="F943" s="1">
        <v>3</v>
      </c>
      <c r="G943" s="1">
        <f t="shared" si="61"/>
        <v>60</v>
      </c>
      <c r="H943" s="10" t="s">
        <v>2321</v>
      </c>
      <c r="I943" s="1">
        <v>31500</v>
      </c>
      <c r="J943" s="1">
        <v>20</v>
      </c>
      <c r="K943" s="1">
        <v>0</v>
      </c>
      <c r="L943" s="1">
        <v>35000</v>
      </c>
      <c r="M943" s="1" t="s">
        <v>1986</v>
      </c>
      <c r="N943" s="1" t="s">
        <v>1082</v>
      </c>
      <c r="O943" s="1">
        <v>0</v>
      </c>
      <c r="P943" s="1" t="s">
        <v>2082</v>
      </c>
      <c r="Q943" s="7" t="s">
        <v>2060</v>
      </c>
    </row>
    <row r="944" spans="1:17" ht="14.25" thickBot="1">
      <c r="A944" s="1" t="s">
        <v>1006</v>
      </c>
      <c r="B944" s="3">
        <v>1</v>
      </c>
      <c r="C944" s="9" t="s">
        <v>2291</v>
      </c>
      <c r="D944" s="1" t="str">
        <f t="shared" si="60"/>
        <v>主手武器</v>
      </c>
      <c r="E944" s="1">
        <f>INDEX([1]游戏类型定义!$C$20:$C$29,MATCH(D944,[1]!装备部位,0))</f>
        <v>5</v>
      </c>
      <c r="F944" s="1">
        <v>3</v>
      </c>
      <c r="G944" s="1">
        <f t="shared" si="61"/>
        <v>60</v>
      </c>
      <c r="H944" s="10" t="s">
        <v>2322</v>
      </c>
      <c r="I944" s="1">
        <v>30000</v>
      </c>
      <c r="J944" s="1">
        <v>20</v>
      </c>
      <c r="K944" s="1">
        <v>0</v>
      </c>
      <c r="L944" s="1">
        <v>32500</v>
      </c>
      <c r="M944" s="1" t="s">
        <v>1981</v>
      </c>
      <c r="N944" s="1" t="s">
        <v>1082</v>
      </c>
      <c r="O944" s="1">
        <v>0</v>
      </c>
      <c r="P944" s="1" t="s">
        <v>2082</v>
      </c>
      <c r="Q944" s="7" t="s">
        <v>2505</v>
      </c>
    </row>
    <row r="945" spans="1:17" ht="14.25" thickBot="1">
      <c r="A945" s="1" t="s">
        <v>1007</v>
      </c>
      <c r="B945" s="2">
        <v>0</v>
      </c>
      <c r="C945" s="9" t="s">
        <v>2295</v>
      </c>
      <c r="D945" s="1" t="str">
        <f t="shared" si="60"/>
        <v>主手武器</v>
      </c>
      <c r="E945" s="1">
        <f>INDEX([1]游戏类型定义!$C$20:$C$29,MATCH(D945,[1]!装备部位,0))</f>
        <v>5</v>
      </c>
      <c r="F945" s="1">
        <v>3</v>
      </c>
      <c r="G945" s="1">
        <f t="shared" si="61"/>
        <v>60</v>
      </c>
      <c r="H945" s="10" t="s">
        <v>2322</v>
      </c>
      <c r="I945" s="1">
        <v>31500</v>
      </c>
      <c r="J945" s="1">
        <v>20</v>
      </c>
      <c r="K945" s="1">
        <v>0</v>
      </c>
      <c r="L945" s="1">
        <v>35000</v>
      </c>
      <c r="M945" s="1" t="s">
        <v>1982</v>
      </c>
      <c r="N945" s="1" t="s">
        <v>1082</v>
      </c>
      <c r="O945" s="1">
        <v>0</v>
      </c>
      <c r="P945" s="1" t="s">
        <v>2082</v>
      </c>
      <c r="Q945" s="7" t="s">
        <v>2061</v>
      </c>
    </row>
    <row r="946" spans="1:17" ht="14.25" thickBot="1">
      <c r="A946" s="1" t="s">
        <v>1008</v>
      </c>
      <c r="B946" s="3">
        <v>1</v>
      </c>
      <c r="C946" s="9" t="s">
        <v>2296</v>
      </c>
      <c r="D946" s="1" t="str">
        <f t="shared" si="60"/>
        <v>副手武器</v>
      </c>
      <c r="E946" s="1">
        <f>INDEX([1]游戏类型定义!$C$20:$C$29,MATCH(D946,[1]!装备部位,0))</f>
        <v>6</v>
      </c>
      <c r="F946" s="1">
        <v>3</v>
      </c>
      <c r="G946" s="1">
        <f t="shared" si="61"/>
        <v>60</v>
      </c>
      <c r="H946" s="10" t="s">
        <v>2322</v>
      </c>
      <c r="I946" s="1">
        <v>30000</v>
      </c>
      <c r="J946" s="1">
        <v>20</v>
      </c>
      <c r="K946" s="1">
        <v>0</v>
      </c>
      <c r="L946" s="1">
        <v>32500</v>
      </c>
      <c r="M946" s="1" t="s">
        <v>1987</v>
      </c>
      <c r="N946" s="1" t="s">
        <v>1082</v>
      </c>
      <c r="O946" s="1">
        <v>0</v>
      </c>
      <c r="P946" s="1" t="s">
        <v>2082</v>
      </c>
      <c r="Q946" s="7" t="s">
        <v>2506</v>
      </c>
    </row>
    <row r="947" spans="1:17" ht="14.25" thickBot="1">
      <c r="A947" s="1" t="s">
        <v>1009</v>
      </c>
      <c r="B947" s="2">
        <v>0</v>
      </c>
      <c r="C947" s="9" t="s">
        <v>2050</v>
      </c>
      <c r="D947" s="1" t="str">
        <f t="shared" si="60"/>
        <v>副手武器</v>
      </c>
      <c r="E947" s="1">
        <f>INDEX([1]游戏类型定义!$C$20:$C$29,MATCH(D947,[1]!装备部位,0))</f>
        <v>6</v>
      </c>
      <c r="F947" s="1">
        <v>3</v>
      </c>
      <c r="G947" s="1">
        <f t="shared" si="61"/>
        <v>60</v>
      </c>
      <c r="H947" s="10" t="s">
        <v>2322</v>
      </c>
      <c r="I947" s="1">
        <v>31500</v>
      </c>
      <c r="J947" s="1">
        <v>20</v>
      </c>
      <c r="K947" s="1">
        <v>0</v>
      </c>
      <c r="L947" s="1">
        <v>35000</v>
      </c>
      <c r="M947" s="1" t="s">
        <v>1988</v>
      </c>
      <c r="N947" s="1" t="s">
        <v>1082</v>
      </c>
      <c r="O947" s="1">
        <v>0</v>
      </c>
      <c r="P947" s="1" t="s">
        <v>2082</v>
      </c>
      <c r="Q947" s="7" t="s">
        <v>2062</v>
      </c>
    </row>
    <row r="948" spans="1:17" ht="14.25" thickBot="1">
      <c r="A948" s="1" t="s">
        <v>1010</v>
      </c>
      <c r="B948" s="3">
        <v>1</v>
      </c>
      <c r="C948" s="1" t="s">
        <v>2171</v>
      </c>
      <c r="D948" s="1" t="str">
        <f t="shared" si="60"/>
        <v>胸甲</v>
      </c>
      <c r="E948" s="1">
        <f>INDEX([1]游戏类型定义!$C$20:$C$29,MATCH(D948,[1]!装备部位,0))</f>
        <v>4</v>
      </c>
      <c r="F948" s="1">
        <v>3</v>
      </c>
      <c r="G948" s="1">
        <f t="shared" si="61"/>
        <v>60</v>
      </c>
      <c r="H948" s="10">
        <v>0</v>
      </c>
      <c r="I948" s="1">
        <v>30000</v>
      </c>
      <c r="J948" s="1">
        <v>20</v>
      </c>
      <c r="K948" s="1">
        <v>0</v>
      </c>
      <c r="L948" s="1">
        <v>32500</v>
      </c>
      <c r="M948" s="1" t="s">
        <v>1989</v>
      </c>
      <c r="N948" s="1" t="s">
        <v>1081</v>
      </c>
      <c r="O948" s="1">
        <v>0</v>
      </c>
      <c r="P948" s="1" t="s">
        <v>2082</v>
      </c>
      <c r="Q948" s="7" t="s">
        <v>2507</v>
      </c>
    </row>
    <row r="949" spans="1:17" ht="14.25" thickBot="1">
      <c r="A949" s="1" t="s">
        <v>1011</v>
      </c>
      <c r="B949" s="2">
        <v>0</v>
      </c>
      <c r="C949" s="1" t="s">
        <v>2172</v>
      </c>
      <c r="D949" s="1" t="str">
        <f t="shared" si="60"/>
        <v>胸甲</v>
      </c>
      <c r="E949" s="1">
        <f>INDEX([1]游戏类型定义!$C$20:$C$29,MATCH(D949,[1]!装备部位,0))</f>
        <v>4</v>
      </c>
      <c r="F949" s="1">
        <v>3</v>
      </c>
      <c r="G949" s="1">
        <f t="shared" si="61"/>
        <v>60</v>
      </c>
      <c r="H949" s="10">
        <v>0</v>
      </c>
      <c r="I949" s="1">
        <v>31500</v>
      </c>
      <c r="J949" s="1">
        <v>20</v>
      </c>
      <c r="K949" s="1">
        <v>0</v>
      </c>
      <c r="L949" s="1">
        <v>35000</v>
      </c>
      <c r="M949" s="1" t="s">
        <v>1990</v>
      </c>
      <c r="N949" s="1" t="s">
        <v>1081</v>
      </c>
      <c r="O949" s="1">
        <v>0</v>
      </c>
      <c r="P949" s="1" t="s">
        <v>2082</v>
      </c>
      <c r="Q949" s="7" t="s">
        <v>2063</v>
      </c>
    </row>
    <row r="950" spans="1:17" ht="14.25" thickBot="1">
      <c r="A950" s="1" t="s">
        <v>1012</v>
      </c>
      <c r="B950" s="3">
        <v>1</v>
      </c>
      <c r="C950" s="1" t="s">
        <v>2191</v>
      </c>
      <c r="D950" s="1" t="str">
        <f t="shared" si="60"/>
        <v>护腿</v>
      </c>
      <c r="E950" s="1">
        <f>INDEX([1]游戏类型定义!$C$20:$C$29,MATCH(D950,[1]!装备部位,0))</f>
        <v>7</v>
      </c>
      <c r="F950" s="1">
        <v>3</v>
      </c>
      <c r="G950" s="1">
        <f t="shared" si="61"/>
        <v>60</v>
      </c>
      <c r="H950" s="10">
        <v>0</v>
      </c>
      <c r="I950" s="1">
        <v>30000</v>
      </c>
      <c r="J950" s="1">
        <v>20</v>
      </c>
      <c r="K950" s="1">
        <v>0</v>
      </c>
      <c r="L950" s="1">
        <v>32500</v>
      </c>
      <c r="M950" s="1" t="s">
        <v>1991</v>
      </c>
      <c r="N950" s="1" t="s">
        <v>1081</v>
      </c>
      <c r="O950" s="1">
        <v>0</v>
      </c>
      <c r="P950" s="1" t="s">
        <v>2082</v>
      </c>
      <c r="Q950" s="7" t="s">
        <v>2508</v>
      </c>
    </row>
    <row r="951" spans="1:17" ht="14.25" thickBot="1">
      <c r="A951" s="1" t="s">
        <v>1013</v>
      </c>
      <c r="B951" s="3">
        <v>1</v>
      </c>
      <c r="C951" s="1" t="s">
        <v>2190</v>
      </c>
      <c r="D951" s="1" t="str">
        <f t="shared" si="60"/>
        <v>护腿</v>
      </c>
      <c r="E951" s="1">
        <f>INDEX([1]游戏类型定义!$C$20:$C$29,MATCH(D951,[1]!装备部位,0))</f>
        <v>7</v>
      </c>
      <c r="F951" s="1">
        <v>3</v>
      </c>
      <c r="G951" s="1">
        <f t="shared" si="61"/>
        <v>60</v>
      </c>
      <c r="H951" s="10">
        <v>0</v>
      </c>
      <c r="I951" s="1">
        <v>31500</v>
      </c>
      <c r="J951" s="1">
        <v>20</v>
      </c>
      <c r="K951" s="1">
        <v>0</v>
      </c>
      <c r="L951" s="1">
        <v>35000</v>
      </c>
      <c r="M951" s="1" t="s">
        <v>1992</v>
      </c>
      <c r="N951" s="1" t="s">
        <v>1081</v>
      </c>
      <c r="O951" s="1">
        <v>0</v>
      </c>
      <c r="P951" s="1" t="s">
        <v>2082</v>
      </c>
      <c r="Q951" s="7" t="s">
        <v>2509</v>
      </c>
    </row>
    <row r="952" spans="1:17" ht="14.25" thickBot="1">
      <c r="A952" s="1" t="s">
        <v>1014</v>
      </c>
      <c r="B952" s="3">
        <v>1</v>
      </c>
      <c r="C952" s="1" t="s">
        <v>2107</v>
      </c>
      <c r="D952" s="1" t="str">
        <f t="shared" si="60"/>
        <v>头盔</v>
      </c>
      <c r="E952" s="1">
        <f>INDEX([1]游戏类型定义!$C$20:$C$29,MATCH(D952,[1]!装备部位,0))</f>
        <v>1</v>
      </c>
      <c r="F952" s="1">
        <v>3</v>
      </c>
      <c r="G952" s="1">
        <f t="shared" si="61"/>
        <v>65</v>
      </c>
      <c r="H952" s="10">
        <v>0</v>
      </c>
      <c r="I952" s="1">
        <v>32500</v>
      </c>
      <c r="J952" s="1">
        <v>20</v>
      </c>
      <c r="K952" s="1">
        <v>0</v>
      </c>
      <c r="L952" s="1">
        <v>35000</v>
      </c>
      <c r="M952" s="1" t="s">
        <v>1993</v>
      </c>
      <c r="N952" s="1" t="s">
        <v>1083</v>
      </c>
      <c r="O952" s="1">
        <v>0</v>
      </c>
      <c r="P952" s="1" t="s">
        <v>2083</v>
      </c>
      <c r="Q952" s="7" t="s">
        <v>2510</v>
      </c>
    </row>
    <row r="953" spans="1:17" ht="14.25" thickBot="1">
      <c r="A953" s="1" t="s">
        <v>1015</v>
      </c>
      <c r="B953" s="3">
        <v>1</v>
      </c>
      <c r="C953" s="1" t="s">
        <v>2118</v>
      </c>
      <c r="D953" s="1" t="str">
        <f t="shared" si="60"/>
        <v>戒指</v>
      </c>
      <c r="E953" s="1">
        <f>INDEX([1]游戏类型定义!$C$20:$C$29,MATCH(D953,[1]!装备部位,0))</f>
        <v>2</v>
      </c>
      <c r="F953" s="1">
        <v>3</v>
      </c>
      <c r="G953" s="1">
        <f t="shared" si="61"/>
        <v>65</v>
      </c>
      <c r="H953" s="10">
        <v>0</v>
      </c>
      <c r="I953" s="1">
        <v>32500</v>
      </c>
      <c r="J953" s="1">
        <v>20</v>
      </c>
      <c r="K953" s="1">
        <v>0</v>
      </c>
      <c r="L953" s="1">
        <v>35000</v>
      </c>
      <c r="M953" s="1" t="s">
        <v>1994</v>
      </c>
      <c r="N953" s="1" t="s">
        <v>1083</v>
      </c>
      <c r="O953" s="1">
        <v>0</v>
      </c>
      <c r="P953" s="1" t="s">
        <v>2083</v>
      </c>
      <c r="Q953" s="7" t="s">
        <v>2511</v>
      </c>
    </row>
    <row r="954" spans="1:17" ht="14.25" thickBot="1">
      <c r="A954" s="1" t="s">
        <v>1016</v>
      </c>
      <c r="B954" s="3">
        <v>1</v>
      </c>
      <c r="C954" s="1" t="s">
        <v>2097</v>
      </c>
      <c r="D954" s="1" t="str">
        <f t="shared" si="60"/>
        <v>腰带</v>
      </c>
      <c r="E954" s="1">
        <f>INDEX([1]游戏类型定义!$C$20:$C$29,MATCH(D954,[1]!装备部位,0))</f>
        <v>3</v>
      </c>
      <c r="F954" s="1">
        <v>3</v>
      </c>
      <c r="G954" s="1">
        <f t="shared" si="61"/>
        <v>65</v>
      </c>
      <c r="H954" s="10">
        <v>0</v>
      </c>
      <c r="I954" s="1">
        <v>32500</v>
      </c>
      <c r="J954" s="1">
        <v>20</v>
      </c>
      <c r="K954" s="1">
        <v>0</v>
      </c>
      <c r="L954" s="1">
        <v>35000</v>
      </c>
      <c r="M954" s="1" t="s">
        <v>1995</v>
      </c>
      <c r="N954" s="1" t="s">
        <v>1083</v>
      </c>
      <c r="O954" s="1">
        <v>0</v>
      </c>
      <c r="P954" s="1" t="s">
        <v>2083</v>
      </c>
      <c r="Q954" s="7" t="s">
        <v>2512</v>
      </c>
    </row>
    <row r="955" spans="1:17" ht="14.25" thickBot="1">
      <c r="A955" s="1" t="s">
        <v>1017</v>
      </c>
      <c r="B955" s="3">
        <v>1</v>
      </c>
      <c r="C955" s="1" t="s">
        <v>2139</v>
      </c>
      <c r="D955" s="1" t="str">
        <f t="shared" si="60"/>
        <v>鞋子</v>
      </c>
      <c r="E955" s="1">
        <f>INDEX([1]游戏类型定义!$C$20:$C$29,MATCH(D955,[1]!装备部位,0))</f>
        <v>8</v>
      </c>
      <c r="F955" s="1">
        <v>3</v>
      </c>
      <c r="G955" s="1">
        <f t="shared" si="61"/>
        <v>65</v>
      </c>
      <c r="H955" s="10">
        <v>0</v>
      </c>
      <c r="I955" s="1">
        <v>32500</v>
      </c>
      <c r="J955" s="1">
        <v>20</v>
      </c>
      <c r="K955" s="1">
        <v>0</v>
      </c>
      <c r="L955" s="1">
        <v>35000</v>
      </c>
      <c r="M955" s="1" t="s">
        <v>1996</v>
      </c>
      <c r="N955" s="1" t="s">
        <v>1083</v>
      </c>
      <c r="O955" s="1">
        <v>0</v>
      </c>
      <c r="P955" s="1" t="s">
        <v>2083</v>
      </c>
      <c r="Q955" s="7" t="s">
        <v>2513</v>
      </c>
    </row>
    <row r="956" spans="1:17" ht="14.25" thickBot="1">
      <c r="A956" s="1" t="s">
        <v>1018</v>
      </c>
      <c r="B956" s="3">
        <v>1</v>
      </c>
      <c r="C956" s="1" t="s">
        <v>2144</v>
      </c>
      <c r="D956" s="1" t="str">
        <f t="shared" ref="D956:D975" si="62">D626</f>
        <v>手套</v>
      </c>
      <c r="E956" s="1">
        <f>INDEX([1]游戏类型定义!$C$20:$C$29,MATCH(D956,[1]!装备部位,0))</f>
        <v>9</v>
      </c>
      <c r="F956" s="1">
        <v>3</v>
      </c>
      <c r="G956" s="1">
        <f t="shared" ref="G956:G975" si="63">G626</f>
        <v>65</v>
      </c>
      <c r="H956" s="10">
        <v>0</v>
      </c>
      <c r="I956" s="1">
        <v>32500</v>
      </c>
      <c r="J956" s="1">
        <v>20</v>
      </c>
      <c r="K956" s="1">
        <v>0</v>
      </c>
      <c r="L956" s="1">
        <v>35000</v>
      </c>
      <c r="M956" s="1" t="s">
        <v>1997</v>
      </c>
      <c r="N956" s="1" t="s">
        <v>1083</v>
      </c>
      <c r="O956" s="1">
        <v>0</v>
      </c>
      <c r="P956" s="1" t="s">
        <v>2083</v>
      </c>
      <c r="Q956" s="7" t="s">
        <v>2514</v>
      </c>
    </row>
    <row r="957" spans="1:17" ht="14.25" thickBot="1">
      <c r="A957" s="1" t="s">
        <v>1019</v>
      </c>
      <c r="B957" s="3">
        <v>1</v>
      </c>
      <c r="C957" s="1" t="s">
        <v>2155</v>
      </c>
      <c r="D957" s="1" t="str">
        <f t="shared" si="62"/>
        <v>项链</v>
      </c>
      <c r="E957" s="1">
        <f>INDEX([1]游戏类型定义!$C$20:$C$29,MATCH(D957,[1]!装备部位,0))</f>
        <v>10</v>
      </c>
      <c r="F957" s="1">
        <v>3</v>
      </c>
      <c r="G957" s="1">
        <f t="shared" si="63"/>
        <v>65</v>
      </c>
      <c r="H957" s="10">
        <v>0</v>
      </c>
      <c r="I957" s="1">
        <v>32500</v>
      </c>
      <c r="J957" s="1">
        <v>20</v>
      </c>
      <c r="K957" s="1">
        <v>0</v>
      </c>
      <c r="L957" s="1">
        <v>35000</v>
      </c>
      <c r="M957" s="1" t="s">
        <v>1998</v>
      </c>
      <c r="N957" s="1" t="s">
        <v>1083</v>
      </c>
      <c r="O957" s="1">
        <v>0</v>
      </c>
      <c r="P957" s="1" t="s">
        <v>2083</v>
      </c>
      <c r="Q957" s="7" t="s">
        <v>2515</v>
      </c>
    </row>
    <row r="958" spans="1:17" ht="14.25" thickBot="1">
      <c r="A958" s="1" t="s">
        <v>1020</v>
      </c>
      <c r="B958" s="3">
        <v>1</v>
      </c>
      <c r="C958" s="9" t="s">
        <v>2287</v>
      </c>
      <c r="D958" s="1" t="str">
        <f t="shared" si="62"/>
        <v>主手武器</v>
      </c>
      <c r="E958" s="1">
        <f>INDEX([1]游戏类型定义!$C$20:$C$29,MATCH(D958,[1]!装备部位,0))</f>
        <v>5</v>
      </c>
      <c r="F958" s="1">
        <v>3</v>
      </c>
      <c r="G958" s="1">
        <f t="shared" si="63"/>
        <v>65</v>
      </c>
      <c r="H958" s="10" t="s">
        <v>2320</v>
      </c>
      <c r="I958" s="1">
        <v>32500</v>
      </c>
      <c r="J958" s="1">
        <v>20</v>
      </c>
      <c r="K958" s="1">
        <v>0</v>
      </c>
      <c r="L958" s="1">
        <v>35000</v>
      </c>
      <c r="M958" s="1" t="s">
        <v>2028</v>
      </c>
      <c r="N958" s="1" t="s">
        <v>1084</v>
      </c>
      <c r="O958" s="1">
        <v>0</v>
      </c>
      <c r="P958" s="1" t="s">
        <v>2083</v>
      </c>
      <c r="Q958" s="7" t="s">
        <v>2516</v>
      </c>
    </row>
    <row r="959" spans="1:17" ht="14.25" thickBot="1">
      <c r="A959" s="1" t="s">
        <v>1021</v>
      </c>
      <c r="B959" s="2">
        <v>0</v>
      </c>
      <c r="C959" s="9" t="s">
        <v>2298</v>
      </c>
      <c r="D959" s="1" t="str">
        <f t="shared" si="62"/>
        <v>主手武器</v>
      </c>
      <c r="E959" s="1">
        <f>INDEX([1]游戏类型定义!$C$20:$C$29,MATCH(D959,[1]!装备部位,0))</f>
        <v>5</v>
      </c>
      <c r="F959" s="1">
        <v>3</v>
      </c>
      <c r="G959" s="1">
        <f t="shared" si="63"/>
        <v>65</v>
      </c>
      <c r="H959" s="10" t="s">
        <v>2320</v>
      </c>
      <c r="I959" s="1">
        <v>34000</v>
      </c>
      <c r="J959" s="1">
        <v>20</v>
      </c>
      <c r="K959" s="1">
        <v>0</v>
      </c>
      <c r="L959" s="1">
        <v>37500</v>
      </c>
      <c r="M959" s="1" t="s">
        <v>1999</v>
      </c>
      <c r="N959" s="1" t="s">
        <v>1084</v>
      </c>
      <c r="O959" s="1">
        <v>0</v>
      </c>
      <c r="P959" s="1" t="s">
        <v>2083</v>
      </c>
      <c r="Q959" s="7" t="s">
        <v>2057</v>
      </c>
    </row>
    <row r="960" spans="1:17" ht="14.25" thickBot="1">
      <c r="A960" s="1" t="s">
        <v>1022</v>
      </c>
      <c r="B960" s="3">
        <v>1</v>
      </c>
      <c r="C960" s="9" t="s">
        <v>2299</v>
      </c>
      <c r="D960" s="1" t="str">
        <f t="shared" si="62"/>
        <v>副手武器</v>
      </c>
      <c r="E960" s="1">
        <f>INDEX([1]游戏类型定义!$C$20:$C$29,MATCH(D960,[1]!装备部位,0))</f>
        <v>6</v>
      </c>
      <c r="F960" s="1">
        <v>3</v>
      </c>
      <c r="G960" s="1">
        <f t="shared" si="63"/>
        <v>65</v>
      </c>
      <c r="H960" s="10" t="s">
        <v>2320</v>
      </c>
      <c r="I960" s="1">
        <v>32500</v>
      </c>
      <c r="J960" s="1">
        <v>20</v>
      </c>
      <c r="K960" s="1">
        <v>0</v>
      </c>
      <c r="L960" s="1">
        <v>35000</v>
      </c>
      <c r="M960" s="1" t="s">
        <v>2000</v>
      </c>
      <c r="N960" s="1" t="s">
        <v>1084</v>
      </c>
      <c r="O960" s="1">
        <v>0</v>
      </c>
      <c r="P960" s="1" t="s">
        <v>2083</v>
      </c>
      <c r="Q960" s="7" t="s">
        <v>2517</v>
      </c>
    </row>
    <row r="961" spans="1:17" ht="14.25" thickBot="1">
      <c r="A961" s="1" t="s">
        <v>1023</v>
      </c>
      <c r="B961" s="2">
        <v>0</v>
      </c>
      <c r="C961" s="9" t="s">
        <v>2044</v>
      </c>
      <c r="D961" s="1" t="str">
        <f t="shared" si="62"/>
        <v>副手武器</v>
      </c>
      <c r="E961" s="1">
        <f>INDEX([1]游戏类型定义!$C$20:$C$29,MATCH(D961,[1]!装备部位,0))</f>
        <v>6</v>
      </c>
      <c r="F961" s="1">
        <v>3</v>
      </c>
      <c r="G961" s="1">
        <f t="shared" si="63"/>
        <v>65</v>
      </c>
      <c r="H961" s="10" t="s">
        <v>2320</v>
      </c>
      <c r="I961" s="1">
        <v>34000</v>
      </c>
      <c r="J961" s="1">
        <v>20</v>
      </c>
      <c r="K961" s="1">
        <v>0</v>
      </c>
      <c r="L961" s="1">
        <v>37500</v>
      </c>
      <c r="M961" s="1" t="s">
        <v>2000</v>
      </c>
      <c r="N961" s="1" t="s">
        <v>1084</v>
      </c>
      <c r="O961" s="1">
        <v>0</v>
      </c>
      <c r="P961" s="1" t="s">
        <v>2083</v>
      </c>
      <c r="Q961" s="7" t="s">
        <v>2058</v>
      </c>
    </row>
    <row r="962" spans="1:17" ht="14.25" thickBot="1">
      <c r="A962" s="1" t="s">
        <v>1024</v>
      </c>
      <c r="B962" s="3">
        <v>1</v>
      </c>
      <c r="C962" s="1" t="s">
        <v>2306</v>
      </c>
      <c r="D962" s="1" t="str">
        <f t="shared" si="62"/>
        <v>主手武器</v>
      </c>
      <c r="E962" s="1">
        <f>INDEX([1]游戏类型定义!$C$20:$C$29,MATCH(D962,[1]!装备部位,0))</f>
        <v>5</v>
      </c>
      <c r="F962" s="1">
        <v>3</v>
      </c>
      <c r="G962" s="1">
        <f t="shared" si="63"/>
        <v>65</v>
      </c>
      <c r="H962" s="10" t="s">
        <v>2321</v>
      </c>
      <c r="I962" s="1">
        <v>32500</v>
      </c>
      <c r="J962" s="1">
        <v>20</v>
      </c>
      <c r="K962" s="1">
        <v>0</v>
      </c>
      <c r="L962" s="1">
        <v>35000</v>
      </c>
      <c r="M962" s="1" t="s">
        <v>2028</v>
      </c>
      <c r="N962" s="1" t="s">
        <v>1084</v>
      </c>
      <c r="O962" s="1">
        <v>0</v>
      </c>
      <c r="P962" s="1" t="s">
        <v>2083</v>
      </c>
      <c r="Q962" s="7" t="s">
        <v>2518</v>
      </c>
    </row>
    <row r="963" spans="1:17" ht="14.25" thickBot="1">
      <c r="A963" s="1" t="s">
        <v>1025</v>
      </c>
      <c r="B963" s="2">
        <v>0</v>
      </c>
      <c r="C963" s="1" t="s">
        <v>2303</v>
      </c>
      <c r="D963" s="1" t="str">
        <f t="shared" si="62"/>
        <v>主手武器</v>
      </c>
      <c r="E963" s="1">
        <f>INDEX([1]游戏类型定义!$C$20:$C$29,MATCH(D963,[1]!装备部位,0))</f>
        <v>5</v>
      </c>
      <c r="F963" s="1">
        <v>3</v>
      </c>
      <c r="G963" s="1">
        <f t="shared" si="63"/>
        <v>65</v>
      </c>
      <c r="H963" s="10" t="s">
        <v>2321</v>
      </c>
      <c r="I963" s="1">
        <v>34000</v>
      </c>
      <c r="J963" s="1">
        <v>20</v>
      </c>
      <c r="K963" s="1">
        <v>0</v>
      </c>
      <c r="L963" s="1">
        <v>37500</v>
      </c>
      <c r="M963" s="1" t="s">
        <v>1999</v>
      </c>
      <c r="N963" s="1" t="s">
        <v>1084</v>
      </c>
      <c r="O963" s="1">
        <v>0</v>
      </c>
      <c r="P963" s="1" t="s">
        <v>2083</v>
      </c>
      <c r="Q963" s="7" t="s">
        <v>2059</v>
      </c>
    </row>
    <row r="964" spans="1:17" ht="14.25" thickBot="1">
      <c r="A964" s="1" t="s">
        <v>1026</v>
      </c>
      <c r="B964" s="3">
        <v>1</v>
      </c>
      <c r="C964" s="9" t="s">
        <v>2307</v>
      </c>
      <c r="D964" s="1" t="str">
        <f t="shared" si="62"/>
        <v>副手武器</v>
      </c>
      <c r="E964" s="1">
        <f>INDEX([1]游戏类型定义!$C$20:$C$29,MATCH(D964,[1]!装备部位,0))</f>
        <v>6</v>
      </c>
      <c r="F964" s="1">
        <v>3</v>
      </c>
      <c r="G964" s="1">
        <f t="shared" si="63"/>
        <v>65</v>
      </c>
      <c r="H964" s="10" t="s">
        <v>2321</v>
      </c>
      <c r="I964" s="1">
        <v>32500</v>
      </c>
      <c r="J964" s="1">
        <v>20</v>
      </c>
      <c r="K964" s="1">
        <v>0</v>
      </c>
      <c r="L964" s="1">
        <v>35000</v>
      </c>
      <c r="M964" s="1" t="s">
        <v>2001</v>
      </c>
      <c r="N964" s="1" t="s">
        <v>1084</v>
      </c>
      <c r="O964" s="1">
        <v>0</v>
      </c>
      <c r="P964" s="1" t="s">
        <v>2083</v>
      </c>
      <c r="Q964" s="7" t="s">
        <v>2519</v>
      </c>
    </row>
    <row r="965" spans="1:17" ht="14.25" thickBot="1">
      <c r="A965" s="1" t="s">
        <v>1027</v>
      </c>
      <c r="B965" s="2">
        <v>0</v>
      </c>
      <c r="C965" s="9" t="s">
        <v>2042</v>
      </c>
      <c r="D965" s="1" t="str">
        <f t="shared" si="62"/>
        <v>副手武器</v>
      </c>
      <c r="E965" s="1">
        <f>INDEX([1]游戏类型定义!$C$20:$C$29,MATCH(D965,[1]!装备部位,0))</f>
        <v>6</v>
      </c>
      <c r="F965" s="1">
        <v>3</v>
      </c>
      <c r="G965" s="1">
        <f t="shared" si="63"/>
        <v>65</v>
      </c>
      <c r="H965" s="10" t="s">
        <v>2321</v>
      </c>
      <c r="I965" s="1">
        <v>34000</v>
      </c>
      <c r="J965" s="1">
        <v>20</v>
      </c>
      <c r="K965" s="1">
        <v>0</v>
      </c>
      <c r="L965" s="1">
        <v>37500</v>
      </c>
      <c r="M965" s="1" t="s">
        <v>2001</v>
      </c>
      <c r="N965" s="1" t="s">
        <v>1084</v>
      </c>
      <c r="O965" s="1">
        <v>0</v>
      </c>
      <c r="P965" s="1" t="s">
        <v>2083</v>
      </c>
      <c r="Q965" s="7" t="s">
        <v>2060</v>
      </c>
    </row>
    <row r="966" spans="1:17" ht="14.25" thickBot="1">
      <c r="A966" s="1" t="s">
        <v>1028</v>
      </c>
      <c r="B966" s="3">
        <v>1</v>
      </c>
      <c r="C966" s="9" t="s">
        <v>2294</v>
      </c>
      <c r="D966" s="1" t="str">
        <f t="shared" si="62"/>
        <v>主手武器</v>
      </c>
      <c r="E966" s="1">
        <f>INDEX([1]游戏类型定义!$C$20:$C$29,MATCH(D966,[1]!装备部位,0))</f>
        <v>5</v>
      </c>
      <c r="F966" s="1">
        <v>3</v>
      </c>
      <c r="G966" s="1">
        <f t="shared" si="63"/>
        <v>65</v>
      </c>
      <c r="H966" s="10" t="s">
        <v>2322</v>
      </c>
      <c r="I966" s="1">
        <v>32500</v>
      </c>
      <c r="J966" s="1">
        <v>20</v>
      </c>
      <c r="K966" s="1">
        <v>0</v>
      </c>
      <c r="L966" s="1">
        <v>35000</v>
      </c>
      <c r="M966" s="1" t="s">
        <v>2028</v>
      </c>
      <c r="N966" s="1" t="s">
        <v>1084</v>
      </c>
      <c r="O966" s="1">
        <v>0</v>
      </c>
      <c r="P966" s="1" t="s">
        <v>2083</v>
      </c>
      <c r="Q966" s="7" t="s">
        <v>2520</v>
      </c>
    </row>
    <row r="967" spans="1:17" ht="14.25" thickBot="1">
      <c r="A967" s="1" t="s">
        <v>1029</v>
      </c>
      <c r="B967" s="2">
        <v>0</v>
      </c>
      <c r="C967" s="9" t="s">
        <v>2048</v>
      </c>
      <c r="D967" s="1" t="str">
        <f t="shared" si="62"/>
        <v>主手武器</v>
      </c>
      <c r="E967" s="1">
        <f>INDEX([1]游戏类型定义!$C$20:$C$29,MATCH(D967,[1]!装备部位,0))</f>
        <v>5</v>
      </c>
      <c r="F967" s="1">
        <v>3</v>
      </c>
      <c r="G967" s="1">
        <f t="shared" si="63"/>
        <v>65</v>
      </c>
      <c r="H967" s="10" t="s">
        <v>2322</v>
      </c>
      <c r="I967" s="1">
        <v>34000</v>
      </c>
      <c r="J967" s="1">
        <v>20</v>
      </c>
      <c r="K967" s="1">
        <v>0</v>
      </c>
      <c r="L967" s="1">
        <v>37500</v>
      </c>
      <c r="M967" s="1" t="s">
        <v>1999</v>
      </c>
      <c r="N967" s="1" t="s">
        <v>1084</v>
      </c>
      <c r="O967" s="1">
        <v>0</v>
      </c>
      <c r="P967" s="1" t="s">
        <v>2083</v>
      </c>
      <c r="Q967" s="7" t="s">
        <v>2061</v>
      </c>
    </row>
    <row r="968" spans="1:17" ht="14.25" thickBot="1">
      <c r="A968" s="1" t="s">
        <v>1030</v>
      </c>
      <c r="B968" s="3">
        <v>1</v>
      </c>
      <c r="C968" s="9" t="s">
        <v>2284</v>
      </c>
      <c r="D968" s="1" t="str">
        <f t="shared" si="62"/>
        <v>副手武器</v>
      </c>
      <c r="E968" s="1">
        <f>INDEX([1]游戏类型定义!$C$20:$C$29,MATCH(D968,[1]!装备部位,0))</f>
        <v>6</v>
      </c>
      <c r="F968" s="1">
        <v>3</v>
      </c>
      <c r="G968" s="1">
        <f t="shared" si="63"/>
        <v>65</v>
      </c>
      <c r="H968" s="10" t="s">
        <v>2322</v>
      </c>
      <c r="I968" s="1">
        <v>32500</v>
      </c>
      <c r="J968" s="1">
        <v>20</v>
      </c>
      <c r="K968" s="1">
        <v>0</v>
      </c>
      <c r="L968" s="1">
        <v>35000</v>
      </c>
      <c r="M968" s="1" t="s">
        <v>2002</v>
      </c>
      <c r="N968" s="1" t="s">
        <v>1084</v>
      </c>
      <c r="O968" s="1">
        <v>0</v>
      </c>
      <c r="P968" s="1" t="s">
        <v>2083</v>
      </c>
      <c r="Q968" s="7" t="s">
        <v>2521</v>
      </c>
    </row>
    <row r="969" spans="1:17" ht="14.25" thickBot="1">
      <c r="A969" s="1" t="s">
        <v>1031</v>
      </c>
      <c r="B969" s="2">
        <v>0</v>
      </c>
      <c r="C969" s="9" t="s">
        <v>2050</v>
      </c>
      <c r="D969" s="1" t="str">
        <f t="shared" si="62"/>
        <v>副手武器</v>
      </c>
      <c r="E969" s="1">
        <f>INDEX([1]游戏类型定义!$C$20:$C$29,MATCH(D969,[1]!装备部位,0))</f>
        <v>6</v>
      </c>
      <c r="F969" s="1">
        <v>3</v>
      </c>
      <c r="G969" s="1">
        <f t="shared" si="63"/>
        <v>65</v>
      </c>
      <c r="H969" s="10" t="s">
        <v>2322</v>
      </c>
      <c r="I969" s="1">
        <v>34000</v>
      </c>
      <c r="J969" s="1">
        <v>20</v>
      </c>
      <c r="K969" s="1">
        <v>0</v>
      </c>
      <c r="L969" s="1">
        <v>37500</v>
      </c>
      <c r="M969" s="1" t="s">
        <v>2003</v>
      </c>
      <c r="N969" s="1" t="s">
        <v>1084</v>
      </c>
      <c r="O969" s="1">
        <v>0</v>
      </c>
      <c r="P969" s="1" t="s">
        <v>2083</v>
      </c>
      <c r="Q969" s="7" t="s">
        <v>2062</v>
      </c>
    </row>
    <row r="970" spans="1:17" ht="14.25" thickBot="1">
      <c r="A970" s="1" t="s">
        <v>1032</v>
      </c>
      <c r="B970" s="3">
        <v>1</v>
      </c>
      <c r="C970" s="1" t="s">
        <v>2175</v>
      </c>
      <c r="D970" s="1" t="str">
        <f t="shared" si="62"/>
        <v>胸甲</v>
      </c>
      <c r="E970" s="1">
        <f>INDEX([1]游戏类型定义!$C$20:$C$29,MATCH(D970,[1]!装备部位,0))</f>
        <v>4</v>
      </c>
      <c r="F970" s="1">
        <v>3</v>
      </c>
      <c r="G970" s="1">
        <f t="shared" si="63"/>
        <v>65</v>
      </c>
      <c r="H970" s="10">
        <v>0</v>
      </c>
      <c r="I970" s="1">
        <v>32500</v>
      </c>
      <c r="J970" s="1">
        <v>20</v>
      </c>
      <c r="K970" s="1">
        <v>0</v>
      </c>
      <c r="L970" s="1">
        <v>35000</v>
      </c>
      <c r="M970" s="1" t="s">
        <v>2004</v>
      </c>
      <c r="N970" s="1" t="s">
        <v>1083</v>
      </c>
      <c r="O970" s="1">
        <v>0</v>
      </c>
      <c r="P970" s="1" t="s">
        <v>2083</v>
      </c>
      <c r="Q970" s="7" t="s">
        <v>2522</v>
      </c>
    </row>
    <row r="971" spans="1:17" ht="14.25" thickBot="1">
      <c r="A971" s="1" t="s">
        <v>1033</v>
      </c>
      <c r="B971" s="2">
        <v>0</v>
      </c>
      <c r="C971" s="1" t="s">
        <v>2030</v>
      </c>
      <c r="D971" s="1" t="str">
        <f t="shared" si="62"/>
        <v>胸甲</v>
      </c>
      <c r="E971" s="1">
        <f>INDEX([1]游戏类型定义!$C$20:$C$29,MATCH(D971,[1]!装备部位,0))</f>
        <v>4</v>
      </c>
      <c r="F971" s="1">
        <v>3</v>
      </c>
      <c r="G971" s="1">
        <f t="shared" si="63"/>
        <v>65</v>
      </c>
      <c r="H971" s="10">
        <v>0</v>
      </c>
      <c r="I971" s="1">
        <v>34000</v>
      </c>
      <c r="J971" s="1">
        <v>20</v>
      </c>
      <c r="K971" s="1">
        <v>0</v>
      </c>
      <c r="L971" s="1">
        <v>37500</v>
      </c>
      <c r="M971" s="1" t="s">
        <v>2004</v>
      </c>
      <c r="N971" s="1" t="s">
        <v>1083</v>
      </c>
      <c r="O971" s="1">
        <v>0</v>
      </c>
      <c r="P971" s="1" t="s">
        <v>2083</v>
      </c>
      <c r="Q971" s="7" t="s">
        <v>2063</v>
      </c>
    </row>
    <row r="972" spans="1:17" ht="14.25" thickBot="1">
      <c r="A972" s="1" t="s">
        <v>1034</v>
      </c>
      <c r="B972" s="3">
        <v>1</v>
      </c>
      <c r="C972" s="1" t="s">
        <v>2192</v>
      </c>
      <c r="D972" s="1" t="str">
        <f t="shared" si="62"/>
        <v>护腿</v>
      </c>
      <c r="E972" s="1">
        <f>INDEX([1]游戏类型定义!$C$20:$C$29,MATCH(D972,[1]!装备部位,0))</f>
        <v>7</v>
      </c>
      <c r="F972" s="1">
        <v>3</v>
      </c>
      <c r="G972" s="1">
        <f t="shared" si="63"/>
        <v>65</v>
      </c>
      <c r="H972" s="10">
        <v>0</v>
      </c>
      <c r="I972" s="1">
        <v>32500</v>
      </c>
      <c r="J972" s="1">
        <v>20</v>
      </c>
      <c r="K972" s="1">
        <v>0</v>
      </c>
      <c r="L972" s="1">
        <v>35000</v>
      </c>
      <c r="M972" s="1" t="s">
        <v>2005</v>
      </c>
      <c r="N972" s="1" t="s">
        <v>1083</v>
      </c>
      <c r="O972" s="1">
        <v>0</v>
      </c>
      <c r="P972" s="1" t="s">
        <v>2083</v>
      </c>
      <c r="Q972" s="7" t="s">
        <v>2523</v>
      </c>
    </row>
    <row r="973" spans="1:17" ht="14.25" thickBot="1">
      <c r="A973" s="1" t="s">
        <v>1035</v>
      </c>
      <c r="B973" s="2">
        <v>0</v>
      </c>
      <c r="C973" s="1" t="s">
        <v>2038</v>
      </c>
      <c r="D973" s="1" t="str">
        <f t="shared" si="62"/>
        <v>护腿</v>
      </c>
      <c r="E973" s="1">
        <f>INDEX([1]游戏类型定义!$C$20:$C$29,MATCH(D973,[1]!装备部位,0))</f>
        <v>7</v>
      </c>
      <c r="F973" s="1">
        <v>3</v>
      </c>
      <c r="G973" s="1">
        <f t="shared" si="63"/>
        <v>65</v>
      </c>
      <c r="H973" s="10">
        <v>0</v>
      </c>
      <c r="I973" s="1">
        <v>34000</v>
      </c>
      <c r="J973" s="1">
        <v>20</v>
      </c>
      <c r="K973" s="1">
        <v>0</v>
      </c>
      <c r="L973" s="1">
        <v>37500</v>
      </c>
      <c r="M973" s="1" t="s">
        <v>2005</v>
      </c>
      <c r="N973" s="1" t="s">
        <v>1083</v>
      </c>
      <c r="O973" s="1">
        <v>0</v>
      </c>
      <c r="P973" s="1" t="s">
        <v>2083</v>
      </c>
      <c r="Q973" s="7" t="s">
        <v>2064</v>
      </c>
    </row>
    <row r="974" spans="1:17" ht="14.25" thickBot="1">
      <c r="A974" s="1" t="s">
        <v>1036</v>
      </c>
      <c r="B974" s="2">
        <v>0</v>
      </c>
      <c r="C974" s="1" t="s">
        <v>2130</v>
      </c>
      <c r="D974" s="1" t="str">
        <f t="shared" si="62"/>
        <v>头盔</v>
      </c>
      <c r="E974" s="1">
        <f>INDEX([1]游戏类型定义!$C$20:$C$29,MATCH(D974,[1]!装备部位,0))</f>
        <v>1</v>
      </c>
      <c r="F974" s="1">
        <v>3</v>
      </c>
      <c r="G974" s="1">
        <f t="shared" si="63"/>
        <v>70</v>
      </c>
      <c r="H974" s="10">
        <v>0</v>
      </c>
      <c r="I974" s="1">
        <v>35000</v>
      </c>
      <c r="J974" s="1">
        <v>20</v>
      </c>
      <c r="K974" s="1">
        <v>0</v>
      </c>
      <c r="L974" s="1">
        <v>37500</v>
      </c>
      <c r="M974" s="1" t="s">
        <v>1798</v>
      </c>
      <c r="N974" s="1" t="s">
        <v>1085</v>
      </c>
      <c r="O974" s="1">
        <v>0</v>
      </c>
      <c r="P974" s="1" t="s">
        <v>2084</v>
      </c>
      <c r="Q974" s="7" t="s">
        <v>2051</v>
      </c>
    </row>
    <row r="975" spans="1:17" ht="14.25" thickBot="1">
      <c r="A975" s="1" t="s">
        <v>1037</v>
      </c>
      <c r="B975" s="2">
        <v>0</v>
      </c>
      <c r="C975" s="1" t="s">
        <v>2119</v>
      </c>
      <c r="D975" s="1" t="str">
        <f t="shared" si="62"/>
        <v>戒指</v>
      </c>
      <c r="E975" s="1">
        <f>INDEX([1]游戏类型定义!$C$20:$C$29,MATCH(D975,[1]!装备部位,0))</f>
        <v>2</v>
      </c>
      <c r="F975" s="1">
        <v>3</v>
      </c>
      <c r="G975" s="1">
        <f t="shared" si="63"/>
        <v>70</v>
      </c>
      <c r="H975" s="10">
        <v>0</v>
      </c>
      <c r="I975" s="1">
        <v>35000</v>
      </c>
      <c r="J975" s="1">
        <v>20</v>
      </c>
      <c r="K975" s="1">
        <v>0</v>
      </c>
      <c r="L975" s="1">
        <v>37500</v>
      </c>
      <c r="M975" s="1" t="s">
        <v>2006</v>
      </c>
      <c r="N975" s="1" t="s">
        <v>1085</v>
      </c>
      <c r="O975" s="1">
        <v>0</v>
      </c>
      <c r="P975" s="1" t="s">
        <v>2084</v>
      </c>
      <c r="Q975" s="7" t="s">
        <v>2052</v>
      </c>
    </row>
    <row r="976" spans="1:17" ht="14.25" thickBot="1">
      <c r="A976" s="1" t="s">
        <v>1038</v>
      </c>
      <c r="B976" s="2">
        <v>0</v>
      </c>
      <c r="C976" s="1" t="s">
        <v>2129</v>
      </c>
      <c r="D976" s="1" t="str">
        <f t="shared" ref="D976:D995" si="64">D646</f>
        <v>腰带</v>
      </c>
      <c r="E976" s="1">
        <f>INDEX([1]游戏类型定义!$C$20:$C$29,MATCH(D976,[1]!装备部位,0))</f>
        <v>3</v>
      </c>
      <c r="F976" s="1">
        <v>3</v>
      </c>
      <c r="G976" s="1">
        <f t="shared" ref="G976:G995" si="65">G646</f>
        <v>70</v>
      </c>
      <c r="H976" s="10">
        <v>0</v>
      </c>
      <c r="I976" s="1">
        <v>35000</v>
      </c>
      <c r="J976" s="1">
        <v>20</v>
      </c>
      <c r="K976" s="1">
        <v>0</v>
      </c>
      <c r="L976" s="1">
        <v>37500</v>
      </c>
      <c r="M976" s="1" t="s">
        <v>2007</v>
      </c>
      <c r="N976" s="1" t="s">
        <v>1085</v>
      </c>
      <c r="O976" s="1">
        <v>0</v>
      </c>
      <c r="P976" s="1" t="s">
        <v>2084</v>
      </c>
      <c r="Q976" s="7" t="s">
        <v>2053</v>
      </c>
    </row>
    <row r="977" spans="1:17" ht="14.25" thickBot="1">
      <c r="A977" s="1" t="s">
        <v>1039</v>
      </c>
      <c r="B977" s="2">
        <v>0</v>
      </c>
      <c r="C977" s="1" t="s">
        <v>2131</v>
      </c>
      <c r="D977" s="1" t="str">
        <f t="shared" si="64"/>
        <v>鞋子</v>
      </c>
      <c r="E977" s="1">
        <f>INDEX([1]游戏类型定义!$C$20:$C$29,MATCH(D977,[1]!装备部位,0))</f>
        <v>8</v>
      </c>
      <c r="F977" s="1">
        <v>3</v>
      </c>
      <c r="G977" s="1">
        <f t="shared" si="65"/>
        <v>70</v>
      </c>
      <c r="H977" s="10">
        <v>0</v>
      </c>
      <c r="I977" s="1">
        <v>35000</v>
      </c>
      <c r="J977" s="1">
        <v>20</v>
      </c>
      <c r="K977" s="1">
        <v>0</v>
      </c>
      <c r="L977" s="1">
        <v>37500</v>
      </c>
      <c r="M977" s="1" t="s">
        <v>2008</v>
      </c>
      <c r="N977" s="1" t="s">
        <v>1085</v>
      </c>
      <c r="O977" s="1">
        <v>0</v>
      </c>
      <c r="P977" s="1" t="s">
        <v>2084</v>
      </c>
      <c r="Q977" s="7" t="s">
        <v>2054</v>
      </c>
    </row>
    <row r="978" spans="1:17" ht="14.25" thickBot="1">
      <c r="A978" s="1" t="s">
        <v>1040</v>
      </c>
      <c r="B978" s="2">
        <v>0</v>
      </c>
      <c r="C978" s="1" t="s">
        <v>2145</v>
      </c>
      <c r="D978" s="1" t="str">
        <f t="shared" si="64"/>
        <v>手套</v>
      </c>
      <c r="E978" s="1">
        <f>INDEX([1]游戏类型定义!$C$20:$C$29,MATCH(D978,[1]!装备部位,0))</f>
        <v>9</v>
      </c>
      <c r="F978" s="1">
        <v>3</v>
      </c>
      <c r="G978" s="1">
        <f t="shared" si="65"/>
        <v>70</v>
      </c>
      <c r="H978" s="10">
        <v>0</v>
      </c>
      <c r="I978" s="1">
        <v>35000</v>
      </c>
      <c r="J978" s="1">
        <v>20</v>
      </c>
      <c r="K978" s="1">
        <v>0</v>
      </c>
      <c r="L978" s="1">
        <v>37500</v>
      </c>
      <c r="M978" s="1" t="s">
        <v>2009</v>
      </c>
      <c r="N978" s="1" t="s">
        <v>1085</v>
      </c>
      <c r="O978" s="1">
        <v>0</v>
      </c>
      <c r="P978" s="1" t="s">
        <v>2084</v>
      </c>
      <c r="Q978" s="7" t="s">
        <v>2055</v>
      </c>
    </row>
    <row r="979" spans="1:17" ht="14.25" thickBot="1">
      <c r="A979" s="1" t="s">
        <v>1041</v>
      </c>
      <c r="B979" s="2">
        <v>0</v>
      </c>
      <c r="C979" s="1" t="s">
        <v>2156</v>
      </c>
      <c r="D979" s="1" t="str">
        <f t="shared" si="64"/>
        <v>项链</v>
      </c>
      <c r="E979" s="1">
        <f>INDEX([1]游戏类型定义!$C$20:$C$29,MATCH(D979,[1]!装备部位,0))</f>
        <v>10</v>
      </c>
      <c r="F979" s="1">
        <v>3</v>
      </c>
      <c r="G979" s="1">
        <f t="shared" si="65"/>
        <v>70</v>
      </c>
      <c r="H979" s="10">
        <v>0</v>
      </c>
      <c r="I979" s="1">
        <v>35000</v>
      </c>
      <c r="J979" s="1">
        <v>20</v>
      </c>
      <c r="K979" s="1">
        <v>0</v>
      </c>
      <c r="L979" s="1">
        <v>37500</v>
      </c>
      <c r="M979" s="1" t="s">
        <v>1803</v>
      </c>
      <c r="N979" s="1" t="s">
        <v>1085</v>
      </c>
      <c r="O979" s="1">
        <v>0</v>
      </c>
      <c r="P979" s="1" t="s">
        <v>2084</v>
      </c>
      <c r="Q979" s="7" t="s">
        <v>2056</v>
      </c>
    </row>
    <row r="980" spans="1:17" ht="14.25" thickBot="1">
      <c r="A980" s="1" t="s">
        <v>1042</v>
      </c>
      <c r="B980" s="3">
        <v>1</v>
      </c>
      <c r="C980" s="9" t="s">
        <v>2298</v>
      </c>
      <c r="D980" s="1" t="str">
        <f t="shared" si="64"/>
        <v>主手武器</v>
      </c>
      <c r="E980" s="1">
        <f>INDEX([1]游戏类型定义!$C$20:$C$29,MATCH(D980,[1]!装备部位,0))</f>
        <v>5</v>
      </c>
      <c r="F980" s="1">
        <v>3</v>
      </c>
      <c r="G980" s="1">
        <f t="shared" si="65"/>
        <v>70</v>
      </c>
      <c r="H980" s="10" t="s">
        <v>2320</v>
      </c>
      <c r="I980" s="1">
        <v>35000</v>
      </c>
      <c r="J980" s="1">
        <v>20</v>
      </c>
      <c r="K980" s="1">
        <v>0</v>
      </c>
      <c r="L980" s="1">
        <v>37500</v>
      </c>
      <c r="M980" s="1" t="s">
        <v>2029</v>
      </c>
      <c r="N980" s="1" t="s">
        <v>1086</v>
      </c>
      <c r="O980" s="1">
        <v>0</v>
      </c>
      <c r="P980" s="1" t="s">
        <v>2084</v>
      </c>
      <c r="Q980" s="7" t="s">
        <v>2524</v>
      </c>
    </row>
    <row r="981" spans="1:17" ht="14.25" thickBot="1">
      <c r="A981" s="1" t="s">
        <v>1043</v>
      </c>
      <c r="B981" s="2">
        <v>0</v>
      </c>
      <c r="C981" s="9" t="s">
        <v>2309</v>
      </c>
      <c r="D981" s="1" t="str">
        <f t="shared" si="64"/>
        <v>主手武器</v>
      </c>
      <c r="E981" s="1">
        <f>INDEX([1]游戏类型定义!$C$20:$C$29,MATCH(D981,[1]!装备部位,0))</f>
        <v>5</v>
      </c>
      <c r="F981" s="1">
        <v>3</v>
      </c>
      <c r="G981" s="1">
        <f t="shared" si="65"/>
        <v>70</v>
      </c>
      <c r="H981" s="10" t="s">
        <v>2320</v>
      </c>
      <c r="I981" s="1">
        <v>36500</v>
      </c>
      <c r="J981" s="1">
        <v>20</v>
      </c>
      <c r="K981" s="1">
        <v>0</v>
      </c>
      <c r="L981" s="1">
        <v>40000</v>
      </c>
      <c r="M981" s="1" t="s">
        <v>2029</v>
      </c>
      <c r="N981" s="1" t="s">
        <v>1086</v>
      </c>
      <c r="O981" s="1">
        <v>0</v>
      </c>
      <c r="P981" s="1" t="s">
        <v>2084</v>
      </c>
      <c r="Q981" s="7" t="s">
        <v>2057</v>
      </c>
    </row>
    <row r="982" spans="1:17" ht="14.25" thickBot="1">
      <c r="A982" s="1" t="s">
        <v>1044</v>
      </c>
      <c r="B982" s="3">
        <v>1</v>
      </c>
      <c r="C982" s="9" t="s">
        <v>2310</v>
      </c>
      <c r="D982" s="1" t="str">
        <f t="shared" si="64"/>
        <v>副手武器</v>
      </c>
      <c r="E982" s="1">
        <f>INDEX([1]游戏类型定义!$C$20:$C$29,MATCH(D982,[1]!装备部位,0))</f>
        <v>6</v>
      </c>
      <c r="F982" s="1">
        <v>3</v>
      </c>
      <c r="G982" s="1">
        <f t="shared" si="65"/>
        <v>70</v>
      </c>
      <c r="H982" s="10" t="s">
        <v>2320</v>
      </c>
      <c r="I982" s="1">
        <v>35000</v>
      </c>
      <c r="J982" s="1">
        <v>20</v>
      </c>
      <c r="K982" s="1">
        <v>0</v>
      </c>
      <c r="L982" s="1">
        <v>37500</v>
      </c>
      <c r="M982" s="1" t="s">
        <v>2010</v>
      </c>
      <c r="N982" s="1" t="s">
        <v>1086</v>
      </c>
      <c r="O982" s="1">
        <v>0</v>
      </c>
      <c r="P982" s="1" t="s">
        <v>2084</v>
      </c>
      <c r="Q982" s="7" t="s">
        <v>2525</v>
      </c>
    </row>
    <row r="983" spans="1:17" ht="14.25" thickBot="1">
      <c r="A983" s="1" t="s">
        <v>1045</v>
      </c>
      <c r="B983" s="2">
        <v>0</v>
      </c>
      <c r="C983" s="9" t="s">
        <v>2308</v>
      </c>
      <c r="D983" s="1" t="str">
        <f t="shared" si="64"/>
        <v>副手武器</v>
      </c>
      <c r="E983" s="1">
        <f>INDEX([1]游戏类型定义!$C$20:$C$29,MATCH(D983,[1]!装备部位,0))</f>
        <v>6</v>
      </c>
      <c r="F983" s="1">
        <v>3</v>
      </c>
      <c r="G983" s="1">
        <f t="shared" si="65"/>
        <v>70</v>
      </c>
      <c r="H983" s="10" t="s">
        <v>2320</v>
      </c>
      <c r="I983" s="1">
        <v>36500</v>
      </c>
      <c r="J983" s="1">
        <v>20</v>
      </c>
      <c r="K983" s="1">
        <v>0</v>
      </c>
      <c r="L983" s="1">
        <v>40000</v>
      </c>
      <c r="M983" s="1" t="s">
        <v>2010</v>
      </c>
      <c r="N983" s="1" t="s">
        <v>1086</v>
      </c>
      <c r="O983" s="1">
        <v>0</v>
      </c>
      <c r="P983" s="1" t="s">
        <v>2084</v>
      </c>
      <c r="Q983" s="7" t="s">
        <v>2058</v>
      </c>
    </row>
    <row r="984" spans="1:17" ht="14.25" thickBot="1">
      <c r="A984" s="1" t="s">
        <v>1046</v>
      </c>
      <c r="B984" s="3">
        <v>1</v>
      </c>
      <c r="C984" s="1" t="s">
        <v>2303</v>
      </c>
      <c r="D984" s="1" t="str">
        <f t="shared" si="64"/>
        <v>主手武器</v>
      </c>
      <c r="E984" s="1">
        <f>INDEX([1]游戏类型定义!$C$20:$C$29,MATCH(D984,[1]!装备部位,0))</f>
        <v>5</v>
      </c>
      <c r="F984" s="1">
        <v>3</v>
      </c>
      <c r="G984" s="1">
        <f t="shared" si="65"/>
        <v>70</v>
      </c>
      <c r="H984" s="10" t="s">
        <v>2321</v>
      </c>
      <c r="I984" s="1">
        <v>35000</v>
      </c>
      <c r="J984" s="1">
        <v>20</v>
      </c>
      <c r="K984" s="1">
        <v>0</v>
      </c>
      <c r="L984" s="1">
        <v>37500</v>
      </c>
      <c r="M984" s="1" t="s">
        <v>2029</v>
      </c>
      <c r="N984" s="1" t="s">
        <v>1086</v>
      </c>
      <c r="O984" s="1">
        <v>0</v>
      </c>
      <c r="P984" s="1" t="s">
        <v>2084</v>
      </c>
      <c r="Q984" s="7" t="s">
        <v>2526</v>
      </c>
    </row>
    <row r="985" spans="1:17" ht="14.25" thickBot="1">
      <c r="A985" s="1" t="s">
        <v>1047</v>
      </c>
      <c r="B985" s="2">
        <v>0</v>
      </c>
      <c r="C985" s="1" t="s">
        <v>2302</v>
      </c>
      <c r="D985" s="1" t="str">
        <f t="shared" si="64"/>
        <v>主手武器</v>
      </c>
      <c r="E985" s="1">
        <f>INDEX([1]游戏类型定义!$C$20:$C$29,MATCH(D985,[1]!装备部位,0))</f>
        <v>5</v>
      </c>
      <c r="F985" s="1">
        <v>3</v>
      </c>
      <c r="G985" s="1">
        <f t="shared" si="65"/>
        <v>70</v>
      </c>
      <c r="H985" s="10" t="s">
        <v>2321</v>
      </c>
      <c r="I985" s="1">
        <v>36500</v>
      </c>
      <c r="J985" s="1">
        <v>20</v>
      </c>
      <c r="K985" s="1">
        <v>0</v>
      </c>
      <c r="L985" s="1">
        <v>40000</v>
      </c>
      <c r="M985" s="1" t="s">
        <v>2029</v>
      </c>
      <c r="N985" s="1" t="s">
        <v>1086</v>
      </c>
      <c r="O985" s="1">
        <v>0</v>
      </c>
      <c r="P985" s="1" t="s">
        <v>2084</v>
      </c>
      <c r="Q985" s="7" t="s">
        <v>2059</v>
      </c>
    </row>
    <row r="986" spans="1:17" ht="14.25" thickBot="1">
      <c r="A986" s="1" t="s">
        <v>1048</v>
      </c>
      <c r="B986" s="3">
        <v>1</v>
      </c>
      <c r="C986" s="9" t="s">
        <v>2293</v>
      </c>
      <c r="D986" s="1" t="str">
        <f t="shared" si="64"/>
        <v>副手武器</v>
      </c>
      <c r="E986" s="1">
        <f>INDEX([1]游戏类型定义!$C$20:$C$29,MATCH(D986,[1]!装备部位,0))</f>
        <v>6</v>
      </c>
      <c r="F986" s="1">
        <v>3</v>
      </c>
      <c r="G986" s="1">
        <f t="shared" si="65"/>
        <v>70</v>
      </c>
      <c r="H986" s="10" t="s">
        <v>2321</v>
      </c>
      <c r="I986" s="1">
        <v>35000</v>
      </c>
      <c r="J986" s="1">
        <v>20</v>
      </c>
      <c r="K986" s="1">
        <v>0</v>
      </c>
      <c r="L986" s="1">
        <v>37500</v>
      </c>
      <c r="M986" s="1" t="s">
        <v>2011</v>
      </c>
      <c r="N986" s="1" t="s">
        <v>1086</v>
      </c>
      <c r="O986" s="1">
        <v>0</v>
      </c>
      <c r="P986" s="1" t="s">
        <v>2084</v>
      </c>
      <c r="Q986" s="7" t="s">
        <v>2527</v>
      </c>
    </row>
    <row r="987" spans="1:17" ht="14.25" thickBot="1">
      <c r="A987" s="1" t="s">
        <v>1049</v>
      </c>
      <c r="B987" s="2">
        <v>0</v>
      </c>
      <c r="C987" s="9" t="s">
        <v>2042</v>
      </c>
      <c r="D987" s="1" t="str">
        <f t="shared" si="64"/>
        <v>副手武器</v>
      </c>
      <c r="E987" s="1">
        <f>INDEX([1]游戏类型定义!$C$20:$C$29,MATCH(D987,[1]!装备部位,0))</f>
        <v>6</v>
      </c>
      <c r="F987" s="1">
        <v>3</v>
      </c>
      <c r="G987" s="1">
        <f t="shared" si="65"/>
        <v>70</v>
      </c>
      <c r="H987" s="10" t="s">
        <v>2321</v>
      </c>
      <c r="I987" s="1">
        <v>36500</v>
      </c>
      <c r="J987" s="1">
        <v>20</v>
      </c>
      <c r="K987" s="1">
        <v>0</v>
      </c>
      <c r="L987" s="1">
        <v>40000</v>
      </c>
      <c r="M987" s="1" t="s">
        <v>2011</v>
      </c>
      <c r="N987" s="1" t="s">
        <v>1086</v>
      </c>
      <c r="O987" s="1">
        <v>0</v>
      </c>
      <c r="P987" s="1" t="s">
        <v>2084</v>
      </c>
      <c r="Q987" s="7" t="s">
        <v>2060</v>
      </c>
    </row>
    <row r="988" spans="1:17" ht="14.25" thickBot="1">
      <c r="A988" s="1" t="s">
        <v>1050</v>
      </c>
      <c r="B988" s="3">
        <v>1</v>
      </c>
      <c r="C988" s="9" t="s">
        <v>2300</v>
      </c>
      <c r="D988" s="1" t="str">
        <f t="shared" si="64"/>
        <v>主手武器</v>
      </c>
      <c r="E988" s="1">
        <f>INDEX([1]游戏类型定义!$C$20:$C$29,MATCH(D988,[1]!装备部位,0))</f>
        <v>5</v>
      </c>
      <c r="F988" s="1">
        <v>3</v>
      </c>
      <c r="G988" s="1">
        <f t="shared" si="65"/>
        <v>70</v>
      </c>
      <c r="H988" s="10" t="s">
        <v>2322</v>
      </c>
      <c r="I988" s="1">
        <v>35000</v>
      </c>
      <c r="J988" s="1">
        <v>20</v>
      </c>
      <c r="K988" s="1">
        <v>0</v>
      </c>
      <c r="L988" s="1">
        <v>37500</v>
      </c>
      <c r="M988" s="1" t="s">
        <v>2029</v>
      </c>
      <c r="N988" s="1" t="s">
        <v>1086</v>
      </c>
      <c r="O988" s="1">
        <v>0</v>
      </c>
      <c r="P988" s="1" t="s">
        <v>2084</v>
      </c>
      <c r="Q988" s="7" t="s">
        <v>2528</v>
      </c>
    </row>
    <row r="989" spans="1:17" ht="14.25" thickBot="1">
      <c r="A989" s="1" t="s">
        <v>1051</v>
      </c>
      <c r="B989" s="2">
        <v>0</v>
      </c>
      <c r="C989" s="9" t="s">
        <v>2301</v>
      </c>
      <c r="D989" s="1" t="str">
        <f t="shared" si="64"/>
        <v>主手武器</v>
      </c>
      <c r="E989" s="1">
        <f>INDEX([1]游戏类型定义!$C$20:$C$29,MATCH(D989,[1]!装备部位,0))</f>
        <v>5</v>
      </c>
      <c r="F989" s="1">
        <v>3</v>
      </c>
      <c r="G989" s="1">
        <f t="shared" si="65"/>
        <v>70</v>
      </c>
      <c r="H989" s="10" t="s">
        <v>2322</v>
      </c>
      <c r="I989" s="1">
        <v>36500</v>
      </c>
      <c r="J989" s="1">
        <v>20</v>
      </c>
      <c r="K989" s="1">
        <v>0</v>
      </c>
      <c r="L989" s="1">
        <v>40000</v>
      </c>
      <c r="M989" s="1" t="s">
        <v>2029</v>
      </c>
      <c r="N989" s="1" t="s">
        <v>1086</v>
      </c>
      <c r="O989" s="1">
        <v>0</v>
      </c>
      <c r="P989" s="1" t="s">
        <v>2084</v>
      </c>
      <c r="Q989" s="7" t="s">
        <v>2061</v>
      </c>
    </row>
    <row r="990" spans="1:17" ht="14.25" thickBot="1">
      <c r="A990" s="1" t="s">
        <v>1052</v>
      </c>
      <c r="B990" s="3">
        <v>1</v>
      </c>
      <c r="C990" s="9" t="s">
        <v>2304</v>
      </c>
      <c r="D990" s="1" t="str">
        <f t="shared" si="64"/>
        <v>副手武器</v>
      </c>
      <c r="E990" s="1">
        <f>INDEX([1]游戏类型定义!$C$20:$C$29,MATCH(D990,[1]!装备部位,0))</f>
        <v>6</v>
      </c>
      <c r="F990" s="1">
        <v>3</v>
      </c>
      <c r="G990" s="1">
        <f t="shared" si="65"/>
        <v>70</v>
      </c>
      <c r="H990" s="10" t="s">
        <v>2322</v>
      </c>
      <c r="I990" s="1">
        <v>35000</v>
      </c>
      <c r="J990" s="1">
        <v>20</v>
      </c>
      <c r="K990" s="1">
        <v>0</v>
      </c>
      <c r="L990" s="1">
        <v>37500</v>
      </c>
      <c r="M990" s="1" t="s">
        <v>2012</v>
      </c>
      <c r="N990" s="1" t="s">
        <v>1086</v>
      </c>
      <c r="O990" s="1">
        <v>0</v>
      </c>
      <c r="P990" s="1" t="s">
        <v>2084</v>
      </c>
      <c r="Q990" s="7" t="s">
        <v>2529</v>
      </c>
    </row>
    <row r="991" spans="1:17" ht="14.25" thickBot="1">
      <c r="A991" s="1" t="s">
        <v>1053</v>
      </c>
      <c r="B991" s="2">
        <v>0</v>
      </c>
      <c r="C991" s="9" t="s">
        <v>2305</v>
      </c>
      <c r="D991" s="1" t="str">
        <f t="shared" si="64"/>
        <v>副手武器</v>
      </c>
      <c r="E991" s="1">
        <f>INDEX([1]游戏类型定义!$C$20:$C$29,MATCH(D991,[1]!装备部位,0))</f>
        <v>6</v>
      </c>
      <c r="F991" s="1">
        <v>3</v>
      </c>
      <c r="G991" s="1">
        <f t="shared" si="65"/>
        <v>70</v>
      </c>
      <c r="H991" s="10" t="s">
        <v>2322</v>
      </c>
      <c r="I991" s="1">
        <v>36500</v>
      </c>
      <c r="J991" s="1">
        <v>20</v>
      </c>
      <c r="K991" s="1">
        <v>0</v>
      </c>
      <c r="L991" s="1">
        <v>40000</v>
      </c>
      <c r="M991" s="1" t="s">
        <v>2013</v>
      </c>
      <c r="N991" s="1" t="s">
        <v>1086</v>
      </c>
      <c r="O991" s="1">
        <v>0</v>
      </c>
      <c r="P991" s="1" t="s">
        <v>2084</v>
      </c>
      <c r="Q991" s="7" t="s">
        <v>2062</v>
      </c>
    </row>
    <row r="992" spans="1:17" ht="14.25" thickBot="1">
      <c r="A992" s="1" t="s">
        <v>1054</v>
      </c>
      <c r="B992" s="2">
        <v>0</v>
      </c>
      <c r="C992" s="1" t="s">
        <v>2176</v>
      </c>
      <c r="D992" s="1" t="str">
        <f t="shared" si="64"/>
        <v>胸甲</v>
      </c>
      <c r="E992" s="1">
        <f>INDEX([1]游戏类型定义!$C$20:$C$29,MATCH(D992,[1]!装备部位,0))</f>
        <v>4</v>
      </c>
      <c r="F992" s="1">
        <v>3</v>
      </c>
      <c r="G992" s="1">
        <f t="shared" si="65"/>
        <v>70</v>
      </c>
      <c r="H992" s="10">
        <v>0</v>
      </c>
      <c r="I992" s="1">
        <v>35000</v>
      </c>
      <c r="J992" s="1">
        <v>20</v>
      </c>
      <c r="K992" s="1">
        <v>0</v>
      </c>
      <c r="L992" s="1">
        <v>37500</v>
      </c>
      <c r="M992" s="1" t="s">
        <v>1812</v>
      </c>
      <c r="N992" s="1" t="s">
        <v>1085</v>
      </c>
      <c r="O992" s="1">
        <v>0</v>
      </c>
      <c r="P992" s="1" t="s">
        <v>2084</v>
      </c>
      <c r="Q992" s="7" t="s">
        <v>2063</v>
      </c>
    </row>
    <row r="993" spans="1:17" ht="14.25" thickBot="1">
      <c r="A993" s="1" t="s">
        <v>1055</v>
      </c>
      <c r="B993" s="2">
        <v>0</v>
      </c>
      <c r="C993" s="1" t="s">
        <v>2173</v>
      </c>
      <c r="D993" s="1" t="str">
        <f t="shared" si="64"/>
        <v>胸甲</v>
      </c>
      <c r="E993" s="1">
        <f>INDEX([1]游戏类型定义!$C$20:$C$29,MATCH(D993,[1]!装备部位,0))</f>
        <v>4</v>
      </c>
      <c r="F993" s="1">
        <v>3</v>
      </c>
      <c r="G993" s="1">
        <f t="shared" si="65"/>
        <v>70</v>
      </c>
      <c r="H993" s="10">
        <v>0</v>
      </c>
      <c r="I993" s="1">
        <v>36500</v>
      </c>
      <c r="J993" s="1">
        <v>20</v>
      </c>
      <c r="K993" s="1">
        <v>0</v>
      </c>
      <c r="L993" s="1">
        <v>40000</v>
      </c>
      <c r="M993" s="1" t="s">
        <v>1812</v>
      </c>
      <c r="N993" s="1" t="s">
        <v>1085</v>
      </c>
      <c r="O993" s="1">
        <v>0</v>
      </c>
      <c r="P993" s="1" t="s">
        <v>2084</v>
      </c>
      <c r="Q993" s="7" t="s">
        <v>2063</v>
      </c>
    </row>
    <row r="994" spans="1:17" ht="14.25" thickBot="1">
      <c r="A994" s="1" t="s">
        <v>1056</v>
      </c>
      <c r="B994" s="2">
        <v>0</v>
      </c>
      <c r="C994" s="1" t="s">
        <v>2193</v>
      </c>
      <c r="D994" s="1" t="str">
        <f t="shared" si="64"/>
        <v>护腿</v>
      </c>
      <c r="E994" s="1">
        <f>INDEX([1]游戏类型定义!$C$20:$C$29,MATCH(D994,[1]!装备部位,0))</f>
        <v>7</v>
      </c>
      <c r="F994" s="1">
        <v>3</v>
      </c>
      <c r="G994" s="1">
        <f t="shared" si="65"/>
        <v>70</v>
      </c>
      <c r="H994" s="10">
        <v>0</v>
      </c>
      <c r="I994" s="1">
        <v>35000</v>
      </c>
      <c r="J994" s="1">
        <v>20</v>
      </c>
      <c r="K994" s="1">
        <v>0</v>
      </c>
      <c r="L994" s="1">
        <v>37500</v>
      </c>
      <c r="M994" s="1" t="s">
        <v>1812</v>
      </c>
      <c r="N994" s="1" t="s">
        <v>1085</v>
      </c>
      <c r="O994" s="1">
        <v>0</v>
      </c>
      <c r="P994" s="1" t="s">
        <v>2084</v>
      </c>
      <c r="Q994" s="7" t="s">
        <v>2064</v>
      </c>
    </row>
    <row r="995" spans="1:17" ht="14.25" thickBot="1">
      <c r="A995" s="1" t="s">
        <v>1057</v>
      </c>
      <c r="B995" s="2">
        <v>0</v>
      </c>
      <c r="C995" s="1" t="s">
        <v>2194</v>
      </c>
      <c r="D995" s="1" t="str">
        <f t="shared" si="64"/>
        <v>护腿</v>
      </c>
      <c r="E995" s="1">
        <f>INDEX([1]游戏类型定义!$C$20:$C$29,MATCH(D995,[1]!装备部位,0))</f>
        <v>7</v>
      </c>
      <c r="F995" s="1">
        <v>3</v>
      </c>
      <c r="G995" s="1">
        <f t="shared" si="65"/>
        <v>70</v>
      </c>
      <c r="H995" s="10">
        <v>0</v>
      </c>
      <c r="I995" s="1">
        <v>36500</v>
      </c>
      <c r="J995" s="1">
        <v>20</v>
      </c>
      <c r="K995" s="1">
        <v>0</v>
      </c>
      <c r="L995" s="1">
        <v>40000</v>
      </c>
      <c r="M995" s="1" t="s">
        <v>1812</v>
      </c>
      <c r="N995" s="1" t="s">
        <v>1085</v>
      </c>
      <c r="O995" s="1">
        <v>0</v>
      </c>
      <c r="P995" s="1" t="s">
        <v>2084</v>
      </c>
      <c r="Q995" s="7" t="s">
        <v>2064</v>
      </c>
    </row>
    <row r="996" spans="1:17" ht="14.25" thickBot="1">
      <c r="A996" s="1" t="s">
        <v>1087</v>
      </c>
      <c r="B996" s="2">
        <v>0</v>
      </c>
      <c r="C996" s="1" t="s">
        <v>2031</v>
      </c>
      <c r="D996" s="1" t="str">
        <f t="shared" ref="D996:D1015" si="66">D666</f>
        <v>头盔</v>
      </c>
      <c r="E996" s="1">
        <f>INDEX([1]游戏类型定义!$C$20:$C$29,MATCH(D996,[1]!装备部位,0))</f>
        <v>1</v>
      </c>
      <c r="F996" s="1">
        <v>4</v>
      </c>
      <c r="G996" s="1">
        <f t="shared" ref="G996:G1015" si="67">G666</f>
        <v>1</v>
      </c>
      <c r="H996" s="10">
        <v>0</v>
      </c>
      <c r="I996" s="1">
        <v>1000</v>
      </c>
      <c r="J996" s="1">
        <v>50</v>
      </c>
      <c r="K996" s="1">
        <v>500</v>
      </c>
      <c r="L996" s="1">
        <v>0</v>
      </c>
      <c r="M996" s="1" t="s">
        <v>1798</v>
      </c>
      <c r="N996" s="1" t="s">
        <v>1059</v>
      </c>
      <c r="O996" s="1">
        <v>0</v>
      </c>
      <c r="P996" s="1" t="s">
        <v>2070</v>
      </c>
      <c r="Q996" s="7" t="s">
        <v>2051</v>
      </c>
    </row>
    <row r="997" spans="1:17" ht="14.25" thickBot="1">
      <c r="A997" s="1" t="s">
        <v>1088</v>
      </c>
      <c r="B997" s="2">
        <v>0</v>
      </c>
      <c r="C997" s="1" t="s">
        <v>2032</v>
      </c>
      <c r="D997" s="1" t="str">
        <f t="shared" si="66"/>
        <v>戒指</v>
      </c>
      <c r="E997" s="1">
        <f>INDEX([1]游戏类型定义!$C$20:$C$29,MATCH(D997,[1]!装备部位,0))</f>
        <v>2</v>
      </c>
      <c r="F997" s="1">
        <v>4</v>
      </c>
      <c r="G997" s="1">
        <f t="shared" si="67"/>
        <v>1</v>
      </c>
      <c r="H997" s="10">
        <v>0</v>
      </c>
      <c r="I997" s="1">
        <v>1000</v>
      </c>
      <c r="J997" s="1">
        <v>50</v>
      </c>
      <c r="K997" s="1">
        <v>500</v>
      </c>
      <c r="L997" s="1">
        <v>0</v>
      </c>
      <c r="M997" s="1" t="s">
        <v>1799</v>
      </c>
      <c r="N997" s="1" t="s">
        <v>1059</v>
      </c>
      <c r="O997" s="1">
        <v>0</v>
      </c>
      <c r="P997" s="1" t="s">
        <v>2070</v>
      </c>
      <c r="Q997" s="7" t="s">
        <v>2052</v>
      </c>
    </row>
    <row r="998" spans="1:17" ht="14.25" thickBot="1">
      <c r="A998" s="1" t="s">
        <v>1089</v>
      </c>
      <c r="B998" s="2">
        <v>0</v>
      </c>
      <c r="C998" s="1" t="s">
        <v>2033</v>
      </c>
      <c r="D998" s="1" t="str">
        <f t="shared" si="66"/>
        <v>腰带</v>
      </c>
      <c r="E998" s="1">
        <f>INDEX([1]游戏类型定义!$C$20:$C$29,MATCH(D998,[1]!装备部位,0))</f>
        <v>3</v>
      </c>
      <c r="F998" s="1">
        <v>4</v>
      </c>
      <c r="G998" s="1">
        <f t="shared" si="67"/>
        <v>1</v>
      </c>
      <c r="H998" s="10">
        <v>0</v>
      </c>
      <c r="I998" s="1">
        <v>1000</v>
      </c>
      <c r="J998" s="1">
        <v>50</v>
      </c>
      <c r="K998" s="1">
        <v>500</v>
      </c>
      <c r="L998" s="1">
        <v>0</v>
      </c>
      <c r="M998" s="1" t="s">
        <v>1800</v>
      </c>
      <c r="N998" s="1" t="s">
        <v>1059</v>
      </c>
      <c r="O998" s="1">
        <v>0</v>
      </c>
      <c r="P998" s="1" t="s">
        <v>2070</v>
      </c>
      <c r="Q998" s="7" t="s">
        <v>2053</v>
      </c>
    </row>
    <row r="999" spans="1:17" ht="14.25" thickBot="1">
      <c r="A999" s="1" t="s">
        <v>1090</v>
      </c>
      <c r="B999" s="3">
        <v>1</v>
      </c>
      <c r="C999" s="1" t="s">
        <v>2036</v>
      </c>
      <c r="D999" s="1" t="str">
        <f t="shared" si="66"/>
        <v>鞋子</v>
      </c>
      <c r="E999" s="1">
        <f>INDEX([1]游戏类型定义!$C$20:$C$29,MATCH(D999,[1]!装备部位,0))</f>
        <v>8</v>
      </c>
      <c r="F999" s="1">
        <v>4</v>
      </c>
      <c r="G999" s="1">
        <f t="shared" si="67"/>
        <v>1</v>
      </c>
      <c r="H999" s="10">
        <v>0</v>
      </c>
      <c r="I999" s="1">
        <v>1000</v>
      </c>
      <c r="J999" s="1">
        <v>50</v>
      </c>
      <c r="K999" s="1">
        <v>500</v>
      </c>
      <c r="L999" s="1">
        <v>0</v>
      </c>
      <c r="M999" s="1" t="s">
        <v>1801</v>
      </c>
      <c r="N999" s="1" t="s">
        <v>1059</v>
      </c>
      <c r="O999" s="1">
        <v>0</v>
      </c>
      <c r="P999" s="1" t="s">
        <v>2070</v>
      </c>
      <c r="Q999" s="7" t="s">
        <v>2054</v>
      </c>
    </row>
    <row r="1000" spans="1:17" ht="14.25" thickBot="1">
      <c r="A1000" s="1" t="s">
        <v>1091</v>
      </c>
      <c r="B1000" s="3">
        <v>1</v>
      </c>
      <c r="C1000" s="1" t="s">
        <v>2035</v>
      </c>
      <c r="D1000" s="1" t="str">
        <f t="shared" si="66"/>
        <v>手套</v>
      </c>
      <c r="E1000" s="1">
        <f>INDEX([1]游戏类型定义!$C$20:$C$29,MATCH(D1000,[1]!装备部位,0))</f>
        <v>9</v>
      </c>
      <c r="F1000" s="1">
        <v>4</v>
      </c>
      <c r="G1000" s="1">
        <f t="shared" si="67"/>
        <v>1</v>
      </c>
      <c r="H1000" s="10">
        <v>0</v>
      </c>
      <c r="I1000" s="1">
        <v>1000</v>
      </c>
      <c r="J1000" s="1">
        <v>50</v>
      </c>
      <c r="K1000" s="1">
        <v>500</v>
      </c>
      <c r="L1000" s="1">
        <v>0</v>
      </c>
      <c r="M1000" s="1" t="s">
        <v>1802</v>
      </c>
      <c r="N1000" s="1" t="s">
        <v>1059</v>
      </c>
      <c r="O1000" s="1">
        <v>0</v>
      </c>
      <c r="P1000" s="1" t="s">
        <v>2070</v>
      </c>
      <c r="Q1000" s="7" t="s">
        <v>2055</v>
      </c>
    </row>
    <row r="1001" spans="1:17" ht="14.25" thickBot="1">
      <c r="A1001" s="1" t="s">
        <v>1092</v>
      </c>
      <c r="B1001" s="2">
        <v>0</v>
      </c>
      <c r="C1001" s="1" t="s">
        <v>2034</v>
      </c>
      <c r="D1001" s="1" t="str">
        <f t="shared" si="66"/>
        <v>项链</v>
      </c>
      <c r="E1001" s="1">
        <f>INDEX([1]游戏类型定义!$C$20:$C$29,MATCH(D1001,[1]!装备部位,0))</f>
        <v>10</v>
      </c>
      <c r="F1001" s="1">
        <v>4</v>
      </c>
      <c r="G1001" s="1">
        <f t="shared" si="67"/>
        <v>1</v>
      </c>
      <c r="H1001" s="10">
        <v>0</v>
      </c>
      <c r="I1001" s="1">
        <v>1000</v>
      </c>
      <c r="J1001" s="1">
        <v>50</v>
      </c>
      <c r="K1001" s="1">
        <v>500</v>
      </c>
      <c r="L1001" s="1">
        <v>0</v>
      </c>
      <c r="M1001" s="1" t="s">
        <v>1803</v>
      </c>
      <c r="N1001" s="1" t="s">
        <v>1059</v>
      </c>
      <c r="O1001" s="1">
        <v>0</v>
      </c>
      <c r="P1001" s="1" t="s">
        <v>2070</v>
      </c>
      <c r="Q1001" s="7" t="s">
        <v>2056</v>
      </c>
    </row>
    <row r="1002" spans="1:17" ht="14.25" thickBot="1">
      <c r="A1002" s="1" t="s">
        <v>1093</v>
      </c>
      <c r="B1002" s="3">
        <v>1</v>
      </c>
      <c r="C1002" s="9" t="s">
        <v>2045</v>
      </c>
      <c r="D1002" s="1" t="str">
        <f t="shared" si="66"/>
        <v>主手武器</v>
      </c>
      <c r="E1002" s="1">
        <f>INDEX([1]游戏类型定义!$C$20:$C$29,MATCH(D1002,[1]!装备部位,0))</f>
        <v>5</v>
      </c>
      <c r="F1002" s="1">
        <v>4</v>
      </c>
      <c r="G1002" s="1">
        <f t="shared" si="67"/>
        <v>1</v>
      </c>
      <c r="H1002" s="10" t="s">
        <v>2320</v>
      </c>
      <c r="I1002" s="1">
        <v>1000</v>
      </c>
      <c r="J1002" s="1">
        <v>50</v>
      </c>
      <c r="K1002" s="1">
        <v>500</v>
      </c>
      <c r="L1002" s="1">
        <v>0</v>
      </c>
      <c r="M1002" s="1" t="s">
        <v>2014</v>
      </c>
      <c r="N1002" s="1" t="s">
        <v>1414</v>
      </c>
      <c r="O1002" s="1">
        <v>0</v>
      </c>
      <c r="P1002" s="1" t="s">
        <v>2070</v>
      </c>
      <c r="Q1002" s="7" t="s">
        <v>2057</v>
      </c>
    </row>
    <row r="1003" spans="1:17" ht="14.25" thickBot="1">
      <c r="A1003" s="1" t="s">
        <v>1094</v>
      </c>
      <c r="B1003" s="3">
        <v>1</v>
      </c>
      <c r="C1003" s="9" t="s">
        <v>2046</v>
      </c>
      <c r="D1003" s="1" t="str">
        <f t="shared" si="66"/>
        <v>主手武器</v>
      </c>
      <c r="E1003" s="1">
        <f>INDEX([1]游戏类型定义!$C$20:$C$29,MATCH(D1003,[1]!装备部位,0))</f>
        <v>5</v>
      </c>
      <c r="F1003" s="1">
        <v>4</v>
      </c>
      <c r="G1003" s="1">
        <f t="shared" si="67"/>
        <v>1</v>
      </c>
      <c r="H1003" s="10" t="s">
        <v>2320</v>
      </c>
      <c r="I1003" s="1">
        <v>4000</v>
      </c>
      <c r="J1003" s="1">
        <v>50</v>
      </c>
      <c r="K1003" s="1">
        <v>500</v>
      </c>
      <c r="L1003" s="1">
        <v>0</v>
      </c>
      <c r="M1003" s="1" t="s">
        <v>2015</v>
      </c>
      <c r="N1003" s="1" t="s">
        <v>1414</v>
      </c>
      <c r="O1003" s="1">
        <v>0</v>
      </c>
      <c r="P1003" s="1" t="s">
        <v>2070</v>
      </c>
      <c r="Q1003" s="7" t="s">
        <v>2325</v>
      </c>
    </row>
    <row r="1004" spans="1:17" ht="14.25" thickBot="1">
      <c r="A1004" s="1" t="s">
        <v>1095</v>
      </c>
      <c r="B1004" s="3">
        <v>1</v>
      </c>
      <c r="C1004" s="9" t="s">
        <v>2043</v>
      </c>
      <c r="D1004" s="1" t="str">
        <f t="shared" si="66"/>
        <v>副手武器</v>
      </c>
      <c r="E1004" s="1">
        <f>INDEX([1]游戏类型定义!$C$20:$C$29,MATCH(D1004,[1]!装备部位,0))</f>
        <v>6</v>
      </c>
      <c r="F1004" s="1">
        <v>4</v>
      </c>
      <c r="G1004" s="1">
        <f t="shared" si="67"/>
        <v>1</v>
      </c>
      <c r="H1004" s="10" t="s">
        <v>2320</v>
      </c>
      <c r="I1004" s="1">
        <v>1000</v>
      </c>
      <c r="J1004" s="1">
        <v>50</v>
      </c>
      <c r="K1004" s="1">
        <v>500</v>
      </c>
      <c r="L1004" s="1">
        <v>0</v>
      </c>
      <c r="M1004" s="1" t="s">
        <v>1804</v>
      </c>
      <c r="N1004" s="1" t="s">
        <v>1414</v>
      </c>
      <c r="O1004" s="1">
        <v>0</v>
      </c>
      <c r="P1004" s="1" t="s">
        <v>2070</v>
      </c>
      <c r="Q1004" s="7" t="s">
        <v>2058</v>
      </c>
    </row>
    <row r="1005" spans="1:17" ht="14.25" thickBot="1">
      <c r="A1005" s="1" t="s">
        <v>1096</v>
      </c>
      <c r="B1005" s="2">
        <v>0</v>
      </c>
      <c r="C1005" s="9" t="s">
        <v>2044</v>
      </c>
      <c r="D1005" s="1" t="str">
        <f t="shared" si="66"/>
        <v>副手武器</v>
      </c>
      <c r="E1005" s="1">
        <f>INDEX([1]游戏类型定义!$C$20:$C$29,MATCH(D1005,[1]!装备部位,0))</f>
        <v>6</v>
      </c>
      <c r="F1005" s="1">
        <v>4</v>
      </c>
      <c r="G1005" s="1">
        <f t="shared" si="67"/>
        <v>1</v>
      </c>
      <c r="H1005" s="10" t="s">
        <v>2320</v>
      </c>
      <c r="I1005" s="1">
        <v>4000</v>
      </c>
      <c r="J1005" s="1">
        <v>50</v>
      </c>
      <c r="K1005" s="1">
        <v>500</v>
      </c>
      <c r="L1005" s="1">
        <v>0</v>
      </c>
      <c r="M1005" s="1" t="s">
        <v>1805</v>
      </c>
      <c r="N1005" s="1" t="s">
        <v>1414</v>
      </c>
      <c r="O1005" s="1">
        <v>0</v>
      </c>
      <c r="P1005" s="1" t="s">
        <v>2070</v>
      </c>
      <c r="Q1005" s="7" t="s">
        <v>2058</v>
      </c>
    </row>
    <row r="1006" spans="1:17" ht="14.25" thickBot="1">
      <c r="A1006" s="1" t="s">
        <v>1097</v>
      </c>
      <c r="B1006" s="3">
        <v>1</v>
      </c>
      <c r="C1006" s="1" t="s">
        <v>2039</v>
      </c>
      <c r="D1006" s="1" t="str">
        <f t="shared" si="66"/>
        <v>主手武器</v>
      </c>
      <c r="E1006" s="1">
        <f>INDEX([1]游戏类型定义!$C$20:$C$29,MATCH(D1006,[1]!装备部位,0))</f>
        <v>5</v>
      </c>
      <c r="F1006" s="1">
        <v>4</v>
      </c>
      <c r="G1006" s="1">
        <f t="shared" si="67"/>
        <v>1</v>
      </c>
      <c r="H1006" s="10" t="s">
        <v>2321</v>
      </c>
      <c r="I1006" s="1">
        <v>1000</v>
      </c>
      <c r="J1006" s="1">
        <v>50</v>
      </c>
      <c r="K1006" s="1">
        <v>500</v>
      </c>
      <c r="L1006" s="1">
        <v>0</v>
      </c>
      <c r="M1006" s="1" t="s">
        <v>2014</v>
      </c>
      <c r="N1006" s="1" t="s">
        <v>1414</v>
      </c>
      <c r="O1006" s="1">
        <v>0</v>
      </c>
      <c r="P1006" s="1" t="s">
        <v>2070</v>
      </c>
      <c r="Q1006" s="7" t="s">
        <v>2059</v>
      </c>
    </row>
    <row r="1007" spans="1:17" ht="14.25" thickBot="1">
      <c r="A1007" s="1" t="s">
        <v>1098</v>
      </c>
      <c r="B1007" s="3">
        <v>1</v>
      </c>
      <c r="C1007" s="1" t="s">
        <v>2040</v>
      </c>
      <c r="D1007" s="1" t="str">
        <f t="shared" si="66"/>
        <v>主手武器</v>
      </c>
      <c r="E1007" s="1">
        <f>INDEX([1]游戏类型定义!$C$20:$C$29,MATCH(D1007,[1]!装备部位,0))</f>
        <v>5</v>
      </c>
      <c r="F1007" s="1">
        <v>4</v>
      </c>
      <c r="G1007" s="1">
        <f t="shared" si="67"/>
        <v>1</v>
      </c>
      <c r="H1007" s="10" t="s">
        <v>2321</v>
      </c>
      <c r="I1007" s="1">
        <v>4000</v>
      </c>
      <c r="J1007" s="1">
        <v>50</v>
      </c>
      <c r="K1007" s="1">
        <v>500</v>
      </c>
      <c r="L1007" s="1">
        <v>0</v>
      </c>
      <c r="M1007" s="1" t="s">
        <v>2015</v>
      </c>
      <c r="N1007" s="1" t="s">
        <v>1414</v>
      </c>
      <c r="O1007" s="1">
        <v>0</v>
      </c>
      <c r="P1007" s="1" t="s">
        <v>2070</v>
      </c>
      <c r="Q1007" s="7" t="s">
        <v>2326</v>
      </c>
    </row>
    <row r="1008" spans="1:17" ht="14.25" thickBot="1">
      <c r="A1008" s="1" t="s">
        <v>1099</v>
      </c>
      <c r="B1008" s="3">
        <v>1</v>
      </c>
      <c r="C1008" s="9" t="s">
        <v>2041</v>
      </c>
      <c r="D1008" s="1" t="str">
        <f t="shared" si="66"/>
        <v>副手武器</v>
      </c>
      <c r="E1008" s="1">
        <f>INDEX([1]游戏类型定义!$C$20:$C$29,MATCH(D1008,[1]!装备部位,0))</f>
        <v>6</v>
      </c>
      <c r="F1008" s="1">
        <v>4</v>
      </c>
      <c r="G1008" s="1">
        <f t="shared" si="67"/>
        <v>1</v>
      </c>
      <c r="H1008" s="10" t="s">
        <v>2321</v>
      </c>
      <c r="I1008" s="1">
        <v>1000</v>
      </c>
      <c r="J1008" s="1">
        <v>50</v>
      </c>
      <c r="K1008" s="1">
        <v>500</v>
      </c>
      <c r="L1008" s="1">
        <v>0</v>
      </c>
      <c r="M1008" s="1" t="s">
        <v>1806</v>
      </c>
      <c r="N1008" s="1" t="s">
        <v>1414</v>
      </c>
      <c r="O1008" s="1">
        <v>0</v>
      </c>
      <c r="P1008" s="1" t="s">
        <v>2070</v>
      </c>
      <c r="Q1008" s="7" t="s">
        <v>2060</v>
      </c>
    </row>
    <row r="1009" spans="1:17" ht="14.25" thickBot="1">
      <c r="A1009" s="1" t="s">
        <v>1100</v>
      </c>
      <c r="B1009" s="2">
        <v>0</v>
      </c>
      <c r="C1009" s="9" t="s">
        <v>2042</v>
      </c>
      <c r="D1009" s="1" t="str">
        <f t="shared" si="66"/>
        <v>副手武器</v>
      </c>
      <c r="E1009" s="1">
        <f>INDEX([1]游戏类型定义!$C$20:$C$29,MATCH(D1009,[1]!装备部位,0))</f>
        <v>6</v>
      </c>
      <c r="F1009" s="1">
        <v>4</v>
      </c>
      <c r="G1009" s="1">
        <f t="shared" si="67"/>
        <v>1</v>
      </c>
      <c r="H1009" s="10" t="s">
        <v>2321</v>
      </c>
      <c r="I1009" s="1">
        <v>4000</v>
      </c>
      <c r="J1009" s="1">
        <v>50</v>
      </c>
      <c r="K1009" s="1">
        <v>500</v>
      </c>
      <c r="L1009" s="1">
        <v>0</v>
      </c>
      <c r="M1009" s="1" t="s">
        <v>1807</v>
      </c>
      <c r="N1009" s="1" t="s">
        <v>1414</v>
      </c>
      <c r="O1009" s="1">
        <v>0</v>
      </c>
      <c r="P1009" s="1" t="s">
        <v>2070</v>
      </c>
      <c r="Q1009" s="7" t="s">
        <v>2060</v>
      </c>
    </row>
    <row r="1010" spans="1:17" ht="14.25" thickBot="1">
      <c r="A1010" s="1" t="s">
        <v>1101</v>
      </c>
      <c r="B1010" s="3">
        <v>1</v>
      </c>
      <c r="C1010" s="9" t="s">
        <v>2047</v>
      </c>
      <c r="D1010" s="1" t="str">
        <f t="shared" si="66"/>
        <v>主手武器</v>
      </c>
      <c r="E1010" s="1">
        <f>INDEX([1]游戏类型定义!$C$20:$C$29,MATCH(D1010,[1]!装备部位,0))</f>
        <v>5</v>
      </c>
      <c r="F1010" s="1">
        <v>4</v>
      </c>
      <c r="G1010" s="1">
        <f t="shared" si="67"/>
        <v>1</v>
      </c>
      <c r="H1010" s="10" t="s">
        <v>2322</v>
      </c>
      <c r="I1010" s="1">
        <v>1000</v>
      </c>
      <c r="J1010" s="1">
        <v>50</v>
      </c>
      <c r="K1010" s="1">
        <v>500</v>
      </c>
      <c r="L1010" s="1">
        <v>0</v>
      </c>
      <c r="M1010" s="1" t="s">
        <v>2014</v>
      </c>
      <c r="N1010" s="1" t="s">
        <v>1414</v>
      </c>
      <c r="O1010" s="1">
        <v>0</v>
      </c>
      <c r="P1010" s="1" t="s">
        <v>2070</v>
      </c>
      <c r="Q1010" s="7" t="s">
        <v>2061</v>
      </c>
    </row>
    <row r="1011" spans="1:17" ht="14.25" thickBot="1">
      <c r="A1011" s="1" t="s">
        <v>1102</v>
      </c>
      <c r="B1011" s="3">
        <v>1</v>
      </c>
      <c r="C1011" s="9" t="s">
        <v>2048</v>
      </c>
      <c r="D1011" s="1" t="str">
        <f t="shared" si="66"/>
        <v>主手武器</v>
      </c>
      <c r="E1011" s="1">
        <f>INDEX([1]游戏类型定义!$C$20:$C$29,MATCH(D1011,[1]!装备部位,0))</f>
        <v>5</v>
      </c>
      <c r="F1011" s="1">
        <v>4</v>
      </c>
      <c r="G1011" s="1">
        <f t="shared" si="67"/>
        <v>1</v>
      </c>
      <c r="H1011" s="10" t="s">
        <v>2322</v>
      </c>
      <c r="I1011" s="1">
        <v>4000</v>
      </c>
      <c r="J1011" s="1">
        <v>50</v>
      </c>
      <c r="K1011" s="1">
        <v>500</v>
      </c>
      <c r="L1011" s="1">
        <v>0</v>
      </c>
      <c r="M1011" s="1" t="s">
        <v>2015</v>
      </c>
      <c r="N1011" s="1" t="s">
        <v>1414</v>
      </c>
      <c r="O1011" s="1">
        <v>0</v>
      </c>
      <c r="P1011" s="1" t="s">
        <v>2070</v>
      </c>
      <c r="Q1011" s="7" t="s">
        <v>2327</v>
      </c>
    </row>
    <row r="1012" spans="1:17" ht="14.25" thickBot="1">
      <c r="A1012" s="1" t="s">
        <v>1103</v>
      </c>
      <c r="B1012" s="3">
        <v>1</v>
      </c>
      <c r="C1012" s="9" t="s">
        <v>2049</v>
      </c>
      <c r="D1012" s="1" t="str">
        <f t="shared" si="66"/>
        <v>副手武器</v>
      </c>
      <c r="E1012" s="1">
        <f>INDEX([1]游戏类型定义!$C$20:$C$29,MATCH(D1012,[1]!装备部位,0))</f>
        <v>6</v>
      </c>
      <c r="F1012" s="1">
        <v>4</v>
      </c>
      <c r="G1012" s="1">
        <f t="shared" si="67"/>
        <v>1</v>
      </c>
      <c r="H1012" s="10" t="s">
        <v>2322</v>
      </c>
      <c r="I1012" s="1">
        <v>1000</v>
      </c>
      <c r="J1012" s="1">
        <v>50</v>
      </c>
      <c r="K1012" s="1">
        <v>500</v>
      </c>
      <c r="L1012" s="1">
        <v>0</v>
      </c>
      <c r="M1012" s="1" t="s">
        <v>1808</v>
      </c>
      <c r="N1012" s="1" t="s">
        <v>1414</v>
      </c>
      <c r="O1012" s="1">
        <v>0</v>
      </c>
      <c r="P1012" s="1" t="s">
        <v>2070</v>
      </c>
      <c r="Q1012" s="7" t="s">
        <v>2062</v>
      </c>
    </row>
    <row r="1013" spans="1:17" ht="14.25" thickBot="1">
      <c r="A1013" s="1" t="s">
        <v>1104</v>
      </c>
      <c r="B1013" s="2">
        <v>0</v>
      </c>
      <c r="C1013" s="9" t="s">
        <v>2050</v>
      </c>
      <c r="D1013" s="1" t="str">
        <f t="shared" si="66"/>
        <v>副手武器</v>
      </c>
      <c r="E1013" s="1">
        <f>INDEX([1]游戏类型定义!$C$20:$C$29,MATCH(D1013,[1]!装备部位,0))</f>
        <v>6</v>
      </c>
      <c r="F1013" s="1">
        <v>4</v>
      </c>
      <c r="G1013" s="1">
        <f t="shared" si="67"/>
        <v>1</v>
      </c>
      <c r="H1013" s="10" t="s">
        <v>2322</v>
      </c>
      <c r="I1013" s="1">
        <v>4000</v>
      </c>
      <c r="J1013" s="1">
        <v>50</v>
      </c>
      <c r="K1013" s="1">
        <v>500</v>
      </c>
      <c r="L1013" s="1">
        <v>0</v>
      </c>
      <c r="M1013" s="1" t="s">
        <v>1809</v>
      </c>
      <c r="N1013" s="1" t="s">
        <v>1414</v>
      </c>
      <c r="O1013" s="1">
        <v>0</v>
      </c>
      <c r="P1013" s="1" t="s">
        <v>2070</v>
      </c>
      <c r="Q1013" s="7" t="s">
        <v>2062</v>
      </c>
    </row>
    <row r="1014" spans="1:17" ht="14.25" thickBot="1">
      <c r="A1014" s="1" t="s">
        <v>1105</v>
      </c>
      <c r="B1014" s="3">
        <v>1</v>
      </c>
      <c r="C1014" s="1" t="s">
        <v>2030</v>
      </c>
      <c r="D1014" s="1" t="str">
        <f t="shared" si="66"/>
        <v>胸甲</v>
      </c>
      <c r="E1014" s="1">
        <f>INDEX([1]游戏类型定义!$C$20:$C$29,MATCH(D1014,[1]!装备部位,0))</f>
        <v>4</v>
      </c>
      <c r="F1014" s="1">
        <v>4</v>
      </c>
      <c r="G1014" s="1">
        <f t="shared" si="67"/>
        <v>1</v>
      </c>
      <c r="H1014" s="10">
        <v>0</v>
      </c>
      <c r="I1014" s="1">
        <v>1000</v>
      </c>
      <c r="J1014" s="1">
        <v>50</v>
      </c>
      <c r="K1014" s="1">
        <v>500</v>
      </c>
      <c r="L1014" s="1">
        <v>0</v>
      </c>
      <c r="M1014" s="1" t="s">
        <v>1810</v>
      </c>
      <c r="N1014" s="1" t="s">
        <v>1059</v>
      </c>
      <c r="O1014" s="1">
        <v>0</v>
      </c>
      <c r="P1014" s="1" t="s">
        <v>2070</v>
      </c>
      <c r="Q1014" s="7" t="s">
        <v>2063</v>
      </c>
    </row>
    <row r="1015" spans="1:17" ht="14.25" thickBot="1">
      <c r="A1015" s="1" t="s">
        <v>1106</v>
      </c>
      <c r="B1015" s="2">
        <v>0</v>
      </c>
      <c r="C1015" s="1" t="s">
        <v>2030</v>
      </c>
      <c r="D1015" s="1" t="str">
        <f t="shared" si="66"/>
        <v>胸甲</v>
      </c>
      <c r="E1015" s="1">
        <f>INDEX([1]游戏类型定义!$C$20:$C$29,MATCH(D1015,[1]!装备部位,0))</f>
        <v>4</v>
      </c>
      <c r="F1015" s="1">
        <v>4</v>
      </c>
      <c r="G1015" s="1">
        <f t="shared" si="67"/>
        <v>1</v>
      </c>
      <c r="H1015" s="10">
        <v>0</v>
      </c>
      <c r="I1015" s="1">
        <v>4000</v>
      </c>
      <c r="J1015" s="1">
        <v>50</v>
      </c>
      <c r="K1015" s="1">
        <v>500</v>
      </c>
      <c r="L1015" s="1">
        <v>0</v>
      </c>
      <c r="M1015" s="1" t="s">
        <v>1811</v>
      </c>
      <c r="N1015" s="1" t="s">
        <v>1059</v>
      </c>
      <c r="O1015" s="1">
        <v>0</v>
      </c>
      <c r="P1015" s="1" t="s">
        <v>2070</v>
      </c>
      <c r="Q1015" s="7" t="s">
        <v>2063</v>
      </c>
    </row>
    <row r="1016" spans="1:17" ht="14.25" thickBot="1">
      <c r="A1016" s="1" t="s">
        <v>1107</v>
      </c>
      <c r="B1016" s="2">
        <v>0</v>
      </c>
      <c r="C1016" s="1" t="s">
        <v>2037</v>
      </c>
      <c r="D1016" s="1" t="str">
        <f t="shared" ref="D1016:D1035" si="68">D686</f>
        <v>护腿</v>
      </c>
      <c r="E1016" s="1">
        <f>INDEX([1]游戏类型定义!$C$20:$C$29,MATCH(D1016,[1]!装备部位,0))</f>
        <v>7</v>
      </c>
      <c r="F1016" s="1">
        <v>4</v>
      </c>
      <c r="G1016" s="1">
        <f t="shared" ref="G1016:G1035" si="69">G686</f>
        <v>1</v>
      </c>
      <c r="H1016" s="10">
        <v>0</v>
      </c>
      <c r="I1016" s="1">
        <v>1000</v>
      </c>
      <c r="J1016" s="1">
        <v>50</v>
      </c>
      <c r="K1016" s="1">
        <v>500</v>
      </c>
      <c r="L1016" s="1">
        <v>0</v>
      </c>
      <c r="M1016" s="1" t="s">
        <v>1812</v>
      </c>
      <c r="N1016" s="1" t="s">
        <v>1059</v>
      </c>
      <c r="O1016" s="1">
        <v>0</v>
      </c>
      <c r="P1016" s="1" t="s">
        <v>2070</v>
      </c>
      <c r="Q1016" s="7" t="s">
        <v>2064</v>
      </c>
    </row>
    <row r="1017" spans="1:17" ht="14.25" thickBot="1">
      <c r="A1017" s="1" t="s">
        <v>1108</v>
      </c>
      <c r="B1017" s="2">
        <v>0</v>
      </c>
      <c r="C1017" s="1" t="s">
        <v>2038</v>
      </c>
      <c r="D1017" s="1" t="str">
        <f t="shared" si="68"/>
        <v>护腿</v>
      </c>
      <c r="E1017" s="1">
        <f>INDEX([1]游戏类型定义!$C$20:$C$29,MATCH(D1017,[1]!装备部位,0))</f>
        <v>7</v>
      </c>
      <c r="F1017" s="1">
        <v>4</v>
      </c>
      <c r="G1017" s="1">
        <f t="shared" si="69"/>
        <v>1</v>
      </c>
      <c r="H1017" s="10">
        <v>0</v>
      </c>
      <c r="I1017" s="1">
        <v>4000</v>
      </c>
      <c r="J1017" s="1">
        <v>50</v>
      </c>
      <c r="K1017" s="1">
        <v>500</v>
      </c>
      <c r="L1017" s="1">
        <v>0</v>
      </c>
      <c r="M1017" s="1" t="s">
        <v>1813</v>
      </c>
      <c r="N1017" s="1" t="s">
        <v>1059</v>
      </c>
      <c r="O1017" s="1">
        <v>0</v>
      </c>
      <c r="P1017" s="1" t="s">
        <v>2070</v>
      </c>
      <c r="Q1017" s="7" t="s">
        <v>2064</v>
      </c>
    </row>
    <row r="1018" spans="1:17" ht="14.25" thickBot="1">
      <c r="A1018" s="1" t="s">
        <v>1109</v>
      </c>
      <c r="B1018" s="3">
        <v>1</v>
      </c>
      <c r="C1018" s="1" t="s">
        <v>2031</v>
      </c>
      <c r="D1018" s="1" t="str">
        <f t="shared" si="68"/>
        <v>头盔</v>
      </c>
      <c r="E1018" s="1">
        <f>INDEX([1]游戏类型定义!$C$20:$C$29,MATCH(D1018,[1]!装备部位,0))</f>
        <v>1</v>
      </c>
      <c r="F1018" s="1">
        <v>4</v>
      </c>
      <c r="G1018" s="1">
        <f t="shared" si="69"/>
        <v>5</v>
      </c>
      <c r="H1018" s="10">
        <v>0</v>
      </c>
      <c r="I1018" s="1">
        <v>5000</v>
      </c>
      <c r="J1018" s="1">
        <v>50</v>
      </c>
      <c r="K1018" s="1">
        <v>500</v>
      </c>
      <c r="L1018" s="1">
        <v>0</v>
      </c>
      <c r="M1018" s="1" t="s">
        <v>1814</v>
      </c>
      <c r="N1018" s="1" t="s">
        <v>1415</v>
      </c>
      <c r="O1018" s="1">
        <v>0</v>
      </c>
      <c r="P1018" s="1" t="s">
        <v>2071</v>
      </c>
      <c r="Q1018" s="7" t="s">
        <v>2051</v>
      </c>
    </row>
    <row r="1019" spans="1:17" ht="14.25" thickBot="1">
      <c r="A1019" s="1" t="s">
        <v>1110</v>
      </c>
      <c r="B1019" s="3">
        <v>1</v>
      </c>
      <c r="C1019" s="1" t="s">
        <v>2032</v>
      </c>
      <c r="D1019" s="1" t="str">
        <f t="shared" si="68"/>
        <v>戒指</v>
      </c>
      <c r="E1019" s="1">
        <f>INDEX([1]游戏类型定义!$C$20:$C$29,MATCH(D1019,[1]!装备部位,0))</f>
        <v>2</v>
      </c>
      <c r="F1019" s="1">
        <v>4</v>
      </c>
      <c r="G1019" s="1">
        <f t="shared" si="69"/>
        <v>5</v>
      </c>
      <c r="H1019" s="10">
        <v>0</v>
      </c>
      <c r="I1019" s="1">
        <v>5000</v>
      </c>
      <c r="J1019" s="1">
        <v>50</v>
      </c>
      <c r="K1019" s="1">
        <v>500</v>
      </c>
      <c r="L1019" s="1">
        <v>0</v>
      </c>
      <c r="M1019" s="1" t="s">
        <v>1815</v>
      </c>
      <c r="N1019" s="1" t="s">
        <v>1415</v>
      </c>
      <c r="O1019" s="1">
        <v>0</v>
      </c>
      <c r="P1019" s="1" t="s">
        <v>2071</v>
      </c>
      <c r="Q1019" s="7" t="s">
        <v>2052</v>
      </c>
    </row>
    <row r="1020" spans="1:17" ht="14.25" thickBot="1">
      <c r="A1020" s="1" t="s">
        <v>1111</v>
      </c>
      <c r="B1020" s="3">
        <v>1</v>
      </c>
      <c r="C1020" s="1" t="s">
        <v>2033</v>
      </c>
      <c r="D1020" s="1" t="str">
        <f t="shared" si="68"/>
        <v>腰带</v>
      </c>
      <c r="E1020" s="1">
        <f>INDEX([1]游戏类型定义!$C$20:$C$29,MATCH(D1020,[1]!装备部位,0))</f>
        <v>3</v>
      </c>
      <c r="F1020" s="1">
        <v>4</v>
      </c>
      <c r="G1020" s="1">
        <f t="shared" si="69"/>
        <v>5</v>
      </c>
      <c r="H1020" s="10">
        <v>0</v>
      </c>
      <c r="I1020" s="1">
        <v>5000</v>
      </c>
      <c r="J1020" s="1">
        <v>50</v>
      </c>
      <c r="K1020" s="1">
        <v>500</v>
      </c>
      <c r="L1020" s="1">
        <v>0</v>
      </c>
      <c r="M1020" s="1" t="s">
        <v>2324</v>
      </c>
      <c r="N1020" s="1" t="s">
        <v>1415</v>
      </c>
      <c r="O1020" s="1">
        <v>0</v>
      </c>
      <c r="P1020" s="1" t="s">
        <v>2071</v>
      </c>
      <c r="Q1020" s="7" t="s">
        <v>2053</v>
      </c>
    </row>
    <row r="1021" spans="1:17" ht="14.25" thickBot="1">
      <c r="A1021" s="1" t="s">
        <v>1112</v>
      </c>
      <c r="B1021" s="2">
        <v>0</v>
      </c>
      <c r="C1021" s="1" t="s">
        <v>2036</v>
      </c>
      <c r="D1021" s="1" t="str">
        <f t="shared" si="68"/>
        <v>鞋子</v>
      </c>
      <c r="E1021" s="1">
        <f>INDEX([1]游戏类型定义!$C$20:$C$29,MATCH(D1021,[1]!装备部位,0))</f>
        <v>8</v>
      </c>
      <c r="F1021" s="1">
        <v>4</v>
      </c>
      <c r="G1021" s="1">
        <f t="shared" si="69"/>
        <v>5</v>
      </c>
      <c r="H1021" s="10">
        <v>0</v>
      </c>
      <c r="I1021" s="1">
        <v>5000</v>
      </c>
      <c r="J1021" s="1">
        <v>50</v>
      </c>
      <c r="K1021" s="1">
        <v>500</v>
      </c>
      <c r="L1021" s="1">
        <v>0</v>
      </c>
      <c r="M1021" s="1" t="s">
        <v>1816</v>
      </c>
      <c r="N1021" s="1" t="s">
        <v>1415</v>
      </c>
      <c r="O1021" s="1">
        <v>0</v>
      </c>
      <c r="P1021" s="1" t="s">
        <v>2071</v>
      </c>
      <c r="Q1021" s="7" t="s">
        <v>2054</v>
      </c>
    </row>
    <row r="1022" spans="1:17" ht="14.25" thickBot="1">
      <c r="A1022" s="1" t="s">
        <v>1113</v>
      </c>
      <c r="B1022" s="2">
        <v>0</v>
      </c>
      <c r="C1022" s="1" t="s">
        <v>2035</v>
      </c>
      <c r="D1022" s="1" t="str">
        <f t="shared" si="68"/>
        <v>手套</v>
      </c>
      <c r="E1022" s="1">
        <f>INDEX([1]游戏类型定义!$C$20:$C$29,MATCH(D1022,[1]!装备部位,0))</f>
        <v>9</v>
      </c>
      <c r="F1022" s="1">
        <v>4</v>
      </c>
      <c r="G1022" s="1">
        <f t="shared" si="69"/>
        <v>5</v>
      </c>
      <c r="H1022" s="10">
        <v>0</v>
      </c>
      <c r="I1022" s="1">
        <v>5000</v>
      </c>
      <c r="J1022" s="1">
        <v>50</v>
      </c>
      <c r="K1022" s="1">
        <v>500</v>
      </c>
      <c r="L1022" s="1">
        <v>0</v>
      </c>
      <c r="M1022" s="1" t="s">
        <v>1817</v>
      </c>
      <c r="N1022" s="1" t="s">
        <v>1415</v>
      </c>
      <c r="O1022" s="1">
        <v>0</v>
      </c>
      <c r="P1022" s="1" t="s">
        <v>2071</v>
      </c>
      <c r="Q1022" s="7" t="s">
        <v>2055</v>
      </c>
    </row>
    <row r="1023" spans="1:17" ht="14.25" thickBot="1">
      <c r="A1023" s="1" t="s">
        <v>1114</v>
      </c>
      <c r="B1023" s="3">
        <v>1</v>
      </c>
      <c r="C1023" s="1" t="s">
        <v>2034</v>
      </c>
      <c r="D1023" s="1" t="str">
        <f t="shared" si="68"/>
        <v>项链</v>
      </c>
      <c r="E1023" s="1">
        <f>INDEX([1]游戏类型定义!$C$20:$C$29,MATCH(D1023,[1]!装备部位,0))</f>
        <v>10</v>
      </c>
      <c r="F1023" s="1">
        <v>4</v>
      </c>
      <c r="G1023" s="1">
        <f t="shared" si="69"/>
        <v>5</v>
      </c>
      <c r="H1023" s="10">
        <v>0</v>
      </c>
      <c r="I1023" s="1">
        <v>5000</v>
      </c>
      <c r="J1023" s="1">
        <v>50</v>
      </c>
      <c r="K1023" s="1">
        <v>500</v>
      </c>
      <c r="L1023" s="1">
        <v>0</v>
      </c>
      <c r="M1023" s="1" t="s">
        <v>1818</v>
      </c>
      <c r="N1023" s="1" t="s">
        <v>1415</v>
      </c>
      <c r="O1023" s="1">
        <v>0</v>
      </c>
      <c r="P1023" s="1" t="s">
        <v>2071</v>
      </c>
      <c r="Q1023" s="7" t="s">
        <v>2056</v>
      </c>
    </row>
    <row r="1024" spans="1:17" ht="14.25" thickBot="1">
      <c r="A1024" s="1" t="s">
        <v>1115</v>
      </c>
      <c r="B1024" s="3">
        <v>1</v>
      </c>
      <c r="C1024" s="9" t="s">
        <v>2195</v>
      </c>
      <c r="D1024" s="1" t="str">
        <f t="shared" si="68"/>
        <v>主手武器</v>
      </c>
      <c r="E1024" s="1">
        <f>INDEX([1]游戏类型定义!$C$20:$C$29,MATCH(D1024,[1]!装备部位,0))</f>
        <v>5</v>
      </c>
      <c r="F1024" s="1">
        <v>4</v>
      </c>
      <c r="G1024" s="1">
        <f t="shared" si="69"/>
        <v>5</v>
      </c>
      <c r="H1024" s="10" t="s">
        <v>2320</v>
      </c>
      <c r="I1024" s="1">
        <v>5000</v>
      </c>
      <c r="J1024" s="1">
        <v>50</v>
      </c>
      <c r="K1024" s="1">
        <v>500</v>
      </c>
      <c r="L1024" s="1">
        <v>0</v>
      </c>
      <c r="M1024" s="1" t="s">
        <v>1819</v>
      </c>
      <c r="N1024" s="1" t="s">
        <v>1416</v>
      </c>
      <c r="O1024" s="1">
        <v>0</v>
      </c>
      <c r="P1024" s="1" t="s">
        <v>2071</v>
      </c>
      <c r="Q1024" s="7" t="s">
        <v>2328</v>
      </c>
    </row>
    <row r="1025" spans="1:17" ht="14.25" thickBot="1">
      <c r="A1025" s="1" t="s">
        <v>1116</v>
      </c>
      <c r="B1025" s="3">
        <v>1</v>
      </c>
      <c r="C1025" s="9" t="s">
        <v>2197</v>
      </c>
      <c r="D1025" s="1" t="str">
        <f t="shared" si="68"/>
        <v>主手武器</v>
      </c>
      <c r="E1025" s="1">
        <f>INDEX([1]游戏类型定义!$C$20:$C$29,MATCH(D1025,[1]!装备部位,0))</f>
        <v>5</v>
      </c>
      <c r="F1025" s="1">
        <v>4</v>
      </c>
      <c r="G1025" s="1">
        <f t="shared" si="69"/>
        <v>5</v>
      </c>
      <c r="H1025" s="10" t="s">
        <v>2320</v>
      </c>
      <c r="I1025" s="1">
        <v>8000</v>
      </c>
      <c r="J1025" s="1">
        <v>50</v>
      </c>
      <c r="K1025" s="1">
        <v>500</v>
      </c>
      <c r="L1025" s="1">
        <v>0</v>
      </c>
      <c r="M1025" s="1" t="s">
        <v>2016</v>
      </c>
      <c r="N1025" s="1" t="s">
        <v>1416</v>
      </c>
      <c r="O1025" s="1">
        <v>0</v>
      </c>
      <c r="P1025" s="1" t="s">
        <v>2071</v>
      </c>
      <c r="Q1025" s="7" t="s">
        <v>2329</v>
      </c>
    </row>
    <row r="1026" spans="1:17" ht="14.25" thickBot="1">
      <c r="A1026" s="1" t="s">
        <v>1117</v>
      </c>
      <c r="B1026" s="3">
        <v>1</v>
      </c>
      <c r="C1026" s="9" t="s">
        <v>2086</v>
      </c>
      <c r="D1026" s="1" t="str">
        <f t="shared" si="68"/>
        <v>副手武器</v>
      </c>
      <c r="E1026" s="1">
        <f>INDEX([1]游戏类型定义!$C$20:$C$29,MATCH(D1026,[1]!装备部位,0))</f>
        <v>6</v>
      </c>
      <c r="F1026" s="1">
        <v>4</v>
      </c>
      <c r="G1026" s="1">
        <f t="shared" si="69"/>
        <v>5</v>
      </c>
      <c r="H1026" s="10" t="s">
        <v>2320</v>
      </c>
      <c r="I1026" s="1">
        <v>5000</v>
      </c>
      <c r="J1026" s="1">
        <v>50</v>
      </c>
      <c r="K1026" s="1">
        <v>500</v>
      </c>
      <c r="L1026" s="1">
        <v>0</v>
      </c>
      <c r="M1026" s="1" t="s">
        <v>1820</v>
      </c>
      <c r="N1026" s="1" t="s">
        <v>1416</v>
      </c>
      <c r="O1026" s="1">
        <v>0</v>
      </c>
      <c r="P1026" s="1" t="s">
        <v>2071</v>
      </c>
      <c r="Q1026" s="7" t="s">
        <v>2330</v>
      </c>
    </row>
    <row r="1027" spans="1:17" ht="14.25" thickBot="1">
      <c r="A1027" s="1" t="s">
        <v>1118</v>
      </c>
      <c r="B1027" s="2">
        <v>0</v>
      </c>
      <c r="C1027" s="9" t="s">
        <v>2044</v>
      </c>
      <c r="D1027" s="1" t="str">
        <f t="shared" si="68"/>
        <v>副手武器</v>
      </c>
      <c r="E1027" s="1">
        <f>INDEX([1]游戏类型定义!$C$20:$C$29,MATCH(D1027,[1]!装备部位,0))</f>
        <v>6</v>
      </c>
      <c r="F1027" s="1">
        <v>4</v>
      </c>
      <c r="G1027" s="1">
        <f t="shared" si="69"/>
        <v>5</v>
      </c>
      <c r="H1027" s="10" t="s">
        <v>2320</v>
      </c>
      <c r="I1027" s="1">
        <v>8000</v>
      </c>
      <c r="J1027" s="1">
        <v>50</v>
      </c>
      <c r="K1027" s="1">
        <v>500</v>
      </c>
      <c r="L1027" s="1">
        <v>0</v>
      </c>
      <c r="M1027" s="1" t="s">
        <v>1821</v>
      </c>
      <c r="N1027" s="1" t="s">
        <v>1416</v>
      </c>
      <c r="O1027" s="1">
        <v>0</v>
      </c>
      <c r="P1027" s="1" t="s">
        <v>2071</v>
      </c>
      <c r="Q1027" s="7" t="s">
        <v>2058</v>
      </c>
    </row>
    <row r="1028" spans="1:17" ht="14.25" thickBot="1">
      <c r="A1028" s="1" t="s">
        <v>1119</v>
      </c>
      <c r="B1028" s="3">
        <v>1</v>
      </c>
      <c r="C1028" s="1" t="s">
        <v>2201</v>
      </c>
      <c r="D1028" s="1" t="str">
        <f t="shared" si="68"/>
        <v>主手武器</v>
      </c>
      <c r="E1028" s="1">
        <f>INDEX([1]游戏类型定义!$C$20:$C$29,MATCH(D1028,[1]!装备部位,0))</f>
        <v>5</v>
      </c>
      <c r="F1028" s="1">
        <v>4</v>
      </c>
      <c r="G1028" s="1">
        <f t="shared" si="69"/>
        <v>5</v>
      </c>
      <c r="H1028" s="10" t="s">
        <v>2321</v>
      </c>
      <c r="I1028" s="1">
        <v>5000</v>
      </c>
      <c r="J1028" s="1">
        <v>50</v>
      </c>
      <c r="K1028" s="1">
        <v>500</v>
      </c>
      <c r="L1028" s="1">
        <v>0</v>
      </c>
      <c r="M1028" s="1" t="s">
        <v>1819</v>
      </c>
      <c r="N1028" s="1" t="s">
        <v>1416</v>
      </c>
      <c r="O1028" s="1">
        <v>0</v>
      </c>
      <c r="P1028" s="1" t="s">
        <v>2071</v>
      </c>
      <c r="Q1028" s="7" t="s">
        <v>2530</v>
      </c>
    </row>
    <row r="1029" spans="1:17" ht="14.25" thickBot="1">
      <c r="A1029" s="1" t="s">
        <v>1120</v>
      </c>
      <c r="B1029" s="3">
        <v>1</v>
      </c>
      <c r="C1029" s="1" t="s">
        <v>2202</v>
      </c>
      <c r="D1029" s="1" t="str">
        <f t="shared" si="68"/>
        <v>主手武器</v>
      </c>
      <c r="E1029" s="1">
        <f>INDEX([1]游戏类型定义!$C$20:$C$29,MATCH(D1029,[1]!装备部位,0))</f>
        <v>5</v>
      </c>
      <c r="F1029" s="1">
        <v>4</v>
      </c>
      <c r="G1029" s="1">
        <f t="shared" si="69"/>
        <v>5</v>
      </c>
      <c r="H1029" s="10" t="s">
        <v>2321</v>
      </c>
      <c r="I1029" s="1">
        <v>8000</v>
      </c>
      <c r="J1029" s="1">
        <v>50</v>
      </c>
      <c r="K1029" s="1">
        <v>500</v>
      </c>
      <c r="L1029" s="1">
        <v>0</v>
      </c>
      <c r="M1029" s="1" t="s">
        <v>2016</v>
      </c>
      <c r="N1029" s="1" t="s">
        <v>1416</v>
      </c>
      <c r="O1029" s="1">
        <v>0</v>
      </c>
      <c r="P1029" s="1" t="s">
        <v>2071</v>
      </c>
      <c r="Q1029" s="7" t="s">
        <v>2531</v>
      </c>
    </row>
    <row r="1030" spans="1:17" ht="14.25" thickBot="1">
      <c r="A1030" s="1" t="s">
        <v>1121</v>
      </c>
      <c r="B1030" s="3">
        <v>1</v>
      </c>
      <c r="C1030" s="9" t="s">
        <v>2203</v>
      </c>
      <c r="D1030" s="1" t="str">
        <f t="shared" si="68"/>
        <v>副手武器</v>
      </c>
      <c r="E1030" s="1">
        <f>INDEX([1]游戏类型定义!$C$20:$C$29,MATCH(D1030,[1]!装备部位,0))</f>
        <v>6</v>
      </c>
      <c r="F1030" s="1">
        <v>4</v>
      </c>
      <c r="G1030" s="1">
        <f t="shared" si="69"/>
        <v>5</v>
      </c>
      <c r="H1030" s="10" t="s">
        <v>2321</v>
      </c>
      <c r="I1030" s="1">
        <v>5000</v>
      </c>
      <c r="J1030" s="1">
        <v>50</v>
      </c>
      <c r="K1030" s="1">
        <v>500</v>
      </c>
      <c r="L1030" s="1">
        <v>0</v>
      </c>
      <c r="M1030" s="1" t="s">
        <v>1822</v>
      </c>
      <c r="N1030" s="1" t="s">
        <v>1416</v>
      </c>
      <c r="O1030" s="1">
        <v>0</v>
      </c>
      <c r="P1030" s="1" t="s">
        <v>2071</v>
      </c>
      <c r="Q1030" s="7" t="s">
        <v>2331</v>
      </c>
    </row>
    <row r="1031" spans="1:17" ht="14.25" thickBot="1">
      <c r="A1031" s="1" t="s">
        <v>1122</v>
      </c>
      <c r="B1031" s="2">
        <v>0</v>
      </c>
      <c r="C1031" s="9" t="s">
        <v>2042</v>
      </c>
      <c r="D1031" s="1" t="str">
        <f t="shared" si="68"/>
        <v>副手武器</v>
      </c>
      <c r="E1031" s="1">
        <f>INDEX([1]游戏类型定义!$C$20:$C$29,MATCH(D1031,[1]!装备部位,0))</f>
        <v>6</v>
      </c>
      <c r="F1031" s="1">
        <v>4</v>
      </c>
      <c r="G1031" s="1">
        <f t="shared" si="69"/>
        <v>5</v>
      </c>
      <c r="H1031" s="10" t="s">
        <v>2321</v>
      </c>
      <c r="I1031" s="1">
        <v>8000</v>
      </c>
      <c r="J1031" s="1">
        <v>50</v>
      </c>
      <c r="K1031" s="1">
        <v>500</v>
      </c>
      <c r="L1031" s="1">
        <v>0</v>
      </c>
      <c r="M1031" s="1" t="s">
        <v>1823</v>
      </c>
      <c r="N1031" s="1" t="s">
        <v>1416</v>
      </c>
      <c r="O1031" s="1">
        <v>0</v>
      </c>
      <c r="P1031" s="1" t="s">
        <v>2071</v>
      </c>
      <c r="Q1031" s="7" t="s">
        <v>2060</v>
      </c>
    </row>
    <row r="1032" spans="1:17" ht="14.25" thickBot="1">
      <c r="A1032" s="1" t="s">
        <v>1123</v>
      </c>
      <c r="B1032" s="3">
        <v>1</v>
      </c>
      <c r="C1032" s="9" t="s">
        <v>2204</v>
      </c>
      <c r="D1032" s="1" t="str">
        <f t="shared" si="68"/>
        <v>主手武器</v>
      </c>
      <c r="E1032" s="1">
        <f>INDEX([1]游戏类型定义!$C$20:$C$29,MATCH(D1032,[1]!装备部位,0))</f>
        <v>5</v>
      </c>
      <c r="F1032" s="1">
        <v>4</v>
      </c>
      <c r="G1032" s="1">
        <f t="shared" si="69"/>
        <v>5</v>
      </c>
      <c r="H1032" s="10" t="s">
        <v>2322</v>
      </c>
      <c r="I1032" s="1">
        <v>5000</v>
      </c>
      <c r="J1032" s="1">
        <v>50</v>
      </c>
      <c r="K1032" s="1">
        <v>500</v>
      </c>
      <c r="L1032" s="1">
        <v>0</v>
      </c>
      <c r="M1032" s="1" t="s">
        <v>1819</v>
      </c>
      <c r="N1032" s="1" t="s">
        <v>1416</v>
      </c>
      <c r="O1032" s="1">
        <v>0</v>
      </c>
      <c r="P1032" s="1" t="s">
        <v>2071</v>
      </c>
      <c r="Q1032" s="7" t="s">
        <v>2332</v>
      </c>
    </row>
    <row r="1033" spans="1:17" ht="14.25" thickBot="1">
      <c r="A1033" s="1" t="s">
        <v>1124</v>
      </c>
      <c r="B1033" s="3">
        <v>1</v>
      </c>
      <c r="C1033" s="9" t="s">
        <v>2205</v>
      </c>
      <c r="D1033" s="1" t="str">
        <f t="shared" si="68"/>
        <v>主手武器</v>
      </c>
      <c r="E1033" s="1">
        <f>INDEX([1]游戏类型定义!$C$20:$C$29,MATCH(D1033,[1]!装备部位,0))</f>
        <v>5</v>
      </c>
      <c r="F1033" s="1">
        <v>4</v>
      </c>
      <c r="G1033" s="1">
        <f t="shared" si="69"/>
        <v>5</v>
      </c>
      <c r="H1033" s="10" t="s">
        <v>2322</v>
      </c>
      <c r="I1033" s="1">
        <v>8000</v>
      </c>
      <c r="J1033" s="1">
        <v>50</v>
      </c>
      <c r="K1033" s="1">
        <v>500</v>
      </c>
      <c r="L1033" s="1">
        <v>0</v>
      </c>
      <c r="M1033" s="1" t="s">
        <v>2016</v>
      </c>
      <c r="N1033" s="1" t="s">
        <v>1416</v>
      </c>
      <c r="O1033" s="1">
        <v>0</v>
      </c>
      <c r="P1033" s="1" t="s">
        <v>2071</v>
      </c>
      <c r="Q1033" s="7" t="s">
        <v>2333</v>
      </c>
    </row>
    <row r="1034" spans="1:17" ht="14.25" thickBot="1">
      <c r="A1034" s="1" t="s">
        <v>1125</v>
      </c>
      <c r="B1034" s="3">
        <v>1</v>
      </c>
      <c r="C1034" s="9" t="s">
        <v>2206</v>
      </c>
      <c r="D1034" s="1" t="str">
        <f t="shared" si="68"/>
        <v>副手武器</v>
      </c>
      <c r="E1034" s="1">
        <f>INDEX([1]游戏类型定义!$C$20:$C$29,MATCH(D1034,[1]!装备部位,0))</f>
        <v>6</v>
      </c>
      <c r="F1034" s="1">
        <v>4</v>
      </c>
      <c r="G1034" s="1">
        <f t="shared" si="69"/>
        <v>5</v>
      </c>
      <c r="H1034" s="10" t="s">
        <v>2322</v>
      </c>
      <c r="I1034" s="1">
        <v>5000</v>
      </c>
      <c r="J1034" s="1">
        <v>50</v>
      </c>
      <c r="K1034" s="1">
        <v>500</v>
      </c>
      <c r="L1034" s="1">
        <v>0</v>
      </c>
      <c r="M1034" s="1" t="s">
        <v>1824</v>
      </c>
      <c r="N1034" s="1" t="s">
        <v>1416</v>
      </c>
      <c r="O1034" s="1">
        <v>0</v>
      </c>
      <c r="P1034" s="1" t="s">
        <v>2071</v>
      </c>
      <c r="Q1034" s="7" t="s">
        <v>2334</v>
      </c>
    </row>
    <row r="1035" spans="1:17" ht="14.25" thickBot="1">
      <c r="A1035" s="1" t="s">
        <v>1126</v>
      </c>
      <c r="B1035" s="2">
        <v>0</v>
      </c>
      <c r="C1035" s="9" t="s">
        <v>2050</v>
      </c>
      <c r="D1035" s="1" t="str">
        <f t="shared" si="68"/>
        <v>副手武器</v>
      </c>
      <c r="E1035" s="1">
        <f>INDEX([1]游戏类型定义!$C$20:$C$29,MATCH(D1035,[1]!装备部位,0))</f>
        <v>6</v>
      </c>
      <c r="F1035" s="1">
        <v>4</v>
      </c>
      <c r="G1035" s="1">
        <f t="shared" si="69"/>
        <v>5</v>
      </c>
      <c r="H1035" s="10" t="s">
        <v>2322</v>
      </c>
      <c r="I1035" s="1">
        <v>8000</v>
      </c>
      <c r="J1035" s="1">
        <v>50</v>
      </c>
      <c r="K1035" s="1">
        <v>500</v>
      </c>
      <c r="L1035" s="1">
        <v>0</v>
      </c>
      <c r="M1035" s="1" t="s">
        <v>1825</v>
      </c>
      <c r="N1035" s="1" t="s">
        <v>1416</v>
      </c>
      <c r="O1035" s="1">
        <v>0</v>
      </c>
      <c r="P1035" s="1" t="s">
        <v>2071</v>
      </c>
      <c r="Q1035" s="7" t="s">
        <v>2062</v>
      </c>
    </row>
    <row r="1036" spans="1:17" ht="14.25" thickBot="1">
      <c r="A1036" s="1" t="s">
        <v>1127</v>
      </c>
      <c r="B1036" s="3">
        <v>1</v>
      </c>
      <c r="C1036" s="1" t="s">
        <v>2157</v>
      </c>
      <c r="D1036" s="1" t="str">
        <f t="shared" ref="D1036:D1055" si="70">D706</f>
        <v>胸甲</v>
      </c>
      <c r="E1036" s="1">
        <f>INDEX([1]游戏类型定义!$C$20:$C$29,MATCH(D1036,[1]!装备部位,0))</f>
        <v>4</v>
      </c>
      <c r="F1036" s="1">
        <v>4</v>
      </c>
      <c r="G1036" s="1">
        <f t="shared" ref="G1036:G1055" si="71">G706</f>
        <v>5</v>
      </c>
      <c r="H1036" s="10">
        <v>0</v>
      </c>
      <c r="I1036" s="1">
        <v>5000</v>
      </c>
      <c r="J1036" s="1">
        <v>50</v>
      </c>
      <c r="K1036" s="1">
        <v>500</v>
      </c>
      <c r="L1036" s="1">
        <v>0</v>
      </c>
      <c r="M1036" s="1" t="s">
        <v>1826</v>
      </c>
      <c r="N1036" s="1" t="s">
        <v>1415</v>
      </c>
      <c r="O1036" s="1">
        <v>0</v>
      </c>
      <c r="P1036" s="1" t="s">
        <v>2071</v>
      </c>
      <c r="Q1036" s="7" t="s">
        <v>2335</v>
      </c>
    </row>
    <row r="1037" spans="1:17" ht="14.25" thickBot="1">
      <c r="A1037" s="1" t="s">
        <v>1128</v>
      </c>
      <c r="B1037" s="3">
        <v>1</v>
      </c>
      <c r="C1037" s="1" t="s">
        <v>2158</v>
      </c>
      <c r="D1037" s="1" t="str">
        <f t="shared" si="70"/>
        <v>胸甲</v>
      </c>
      <c r="E1037" s="1">
        <f>INDEX([1]游戏类型定义!$C$20:$C$29,MATCH(D1037,[1]!装备部位,0))</f>
        <v>4</v>
      </c>
      <c r="F1037" s="1">
        <v>4</v>
      </c>
      <c r="G1037" s="1">
        <f t="shared" si="71"/>
        <v>5</v>
      </c>
      <c r="H1037" s="10">
        <v>0</v>
      </c>
      <c r="I1037" s="1">
        <v>8000</v>
      </c>
      <c r="J1037" s="1">
        <v>50</v>
      </c>
      <c r="K1037" s="1">
        <v>500</v>
      </c>
      <c r="L1037" s="1">
        <v>0</v>
      </c>
      <c r="M1037" s="1" t="s">
        <v>1827</v>
      </c>
      <c r="N1037" s="1" t="s">
        <v>1415</v>
      </c>
      <c r="O1037" s="1">
        <v>0</v>
      </c>
      <c r="P1037" s="1" t="s">
        <v>2071</v>
      </c>
      <c r="Q1037" s="7" t="s">
        <v>2336</v>
      </c>
    </row>
    <row r="1038" spans="1:17" ht="14.25" thickBot="1">
      <c r="A1038" s="1" t="s">
        <v>1129</v>
      </c>
      <c r="B1038" s="3">
        <v>1</v>
      </c>
      <c r="C1038" s="1" t="s">
        <v>2037</v>
      </c>
      <c r="D1038" s="1" t="str">
        <f t="shared" si="70"/>
        <v>护腿</v>
      </c>
      <c r="E1038" s="1">
        <f>INDEX([1]游戏类型定义!$C$20:$C$29,MATCH(D1038,[1]!装备部位,0))</f>
        <v>7</v>
      </c>
      <c r="F1038" s="1">
        <v>4</v>
      </c>
      <c r="G1038" s="1">
        <f t="shared" si="71"/>
        <v>5</v>
      </c>
      <c r="H1038" s="10">
        <v>0</v>
      </c>
      <c r="I1038" s="1">
        <v>5000</v>
      </c>
      <c r="J1038" s="1">
        <v>50</v>
      </c>
      <c r="K1038" s="1">
        <v>500</v>
      </c>
      <c r="L1038" s="1">
        <v>0</v>
      </c>
      <c r="M1038" s="1" t="s">
        <v>1810</v>
      </c>
      <c r="N1038" s="1" t="s">
        <v>1415</v>
      </c>
      <c r="O1038" s="1">
        <v>0</v>
      </c>
      <c r="P1038" s="1" t="s">
        <v>2071</v>
      </c>
      <c r="Q1038" s="7" t="s">
        <v>2064</v>
      </c>
    </row>
    <row r="1039" spans="1:17" ht="14.25" thickBot="1">
      <c r="A1039" s="1" t="s">
        <v>1130</v>
      </c>
      <c r="B1039" s="3">
        <v>1</v>
      </c>
      <c r="C1039" s="1" t="s">
        <v>2174</v>
      </c>
      <c r="D1039" s="1" t="str">
        <f t="shared" si="70"/>
        <v>护腿</v>
      </c>
      <c r="E1039" s="1">
        <f>INDEX([1]游戏类型定义!$C$20:$C$29,MATCH(D1039,[1]!装备部位,0))</f>
        <v>7</v>
      </c>
      <c r="F1039" s="1">
        <v>4</v>
      </c>
      <c r="G1039" s="1">
        <f t="shared" si="71"/>
        <v>5</v>
      </c>
      <c r="H1039" s="10">
        <v>0</v>
      </c>
      <c r="I1039" s="1">
        <v>8000</v>
      </c>
      <c r="J1039" s="1">
        <v>50</v>
      </c>
      <c r="K1039" s="1">
        <v>500</v>
      </c>
      <c r="L1039" s="1">
        <v>0</v>
      </c>
      <c r="M1039" s="1" t="s">
        <v>1828</v>
      </c>
      <c r="N1039" s="1" t="s">
        <v>1415</v>
      </c>
      <c r="O1039" s="1">
        <v>0</v>
      </c>
      <c r="P1039" s="1" t="s">
        <v>2071</v>
      </c>
      <c r="Q1039" s="7" t="s">
        <v>2337</v>
      </c>
    </row>
    <row r="1040" spans="1:17" ht="14.25" thickBot="1">
      <c r="A1040" s="1" t="s">
        <v>1131</v>
      </c>
      <c r="B1040" s="3">
        <v>1</v>
      </c>
      <c r="C1040" s="1" t="s">
        <v>2102</v>
      </c>
      <c r="D1040" s="1" t="str">
        <f t="shared" si="70"/>
        <v>头盔</v>
      </c>
      <c r="E1040" s="1">
        <f>INDEX([1]游戏类型定义!$C$20:$C$29,MATCH(D1040,[1]!装备部位,0))</f>
        <v>1</v>
      </c>
      <c r="F1040" s="1">
        <v>4</v>
      </c>
      <c r="G1040" s="1">
        <f t="shared" si="71"/>
        <v>10</v>
      </c>
      <c r="H1040" s="10">
        <v>0</v>
      </c>
      <c r="I1040" s="1">
        <v>10000</v>
      </c>
      <c r="J1040" s="1">
        <v>50</v>
      </c>
      <c r="K1040" s="1">
        <v>500</v>
      </c>
      <c r="L1040" s="1">
        <v>7500</v>
      </c>
      <c r="M1040" s="1" t="s">
        <v>1829</v>
      </c>
      <c r="N1040" s="1" t="s">
        <v>1417</v>
      </c>
      <c r="O1040" s="1">
        <v>0</v>
      </c>
      <c r="P1040" s="1" t="s">
        <v>2072</v>
      </c>
      <c r="Q1040" s="7" t="s">
        <v>2338</v>
      </c>
    </row>
    <row r="1041" spans="1:17" ht="14.25" thickBot="1">
      <c r="A1041" s="1" t="s">
        <v>1132</v>
      </c>
      <c r="B1041" s="3">
        <v>1</v>
      </c>
      <c r="C1041" s="1" t="s">
        <v>2108</v>
      </c>
      <c r="D1041" s="1" t="str">
        <f t="shared" si="70"/>
        <v>戒指</v>
      </c>
      <c r="E1041" s="1">
        <f>INDEX([1]游戏类型定义!$C$20:$C$29,MATCH(D1041,[1]!装备部位,0))</f>
        <v>2</v>
      </c>
      <c r="F1041" s="1">
        <v>4</v>
      </c>
      <c r="G1041" s="1">
        <f t="shared" si="71"/>
        <v>10</v>
      </c>
      <c r="H1041" s="10">
        <v>0</v>
      </c>
      <c r="I1041" s="1">
        <v>10000</v>
      </c>
      <c r="J1041" s="1">
        <v>50</v>
      </c>
      <c r="K1041" s="1">
        <v>500</v>
      </c>
      <c r="L1041" s="1">
        <v>7500</v>
      </c>
      <c r="M1041" s="1" t="s">
        <v>1830</v>
      </c>
      <c r="N1041" s="1" t="s">
        <v>1417</v>
      </c>
      <c r="O1041" s="1">
        <v>0</v>
      </c>
      <c r="P1041" s="1" t="s">
        <v>2072</v>
      </c>
      <c r="Q1041" s="7" t="s">
        <v>2339</v>
      </c>
    </row>
    <row r="1042" spans="1:17" ht="14.25" thickBot="1">
      <c r="A1042" s="1" t="s">
        <v>1133</v>
      </c>
      <c r="B1042" s="3">
        <v>1</v>
      </c>
      <c r="C1042" s="1" t="s">
        <v>2087</v>
      </c>
      <c r="D1042" s="1" t="str">
        <f t="shared" si="70"/>
        <v>腰带</v>
      </c>
      <c r="E1042" s="1">
        <f>INDEX([1]游戏类型定义!$C$20:$C$29,MATCH(D1042,[1]!装备部位,0))</f>
        <v>3</v>
      </c>
      <c r="F1042" s="1">
        <v>4</v>
      </c>
      <c r="G1042" s="1">
        <f t="shared" si="71"/>
        <v>10</v>
      </c>
      <c r="H1042" s="10">
        <v>0</v>
      </c>
      <c r="I1042" s="1">
        <v>10000</v>
      </c>
      <c r="J1042" s="1">
        <v>50</v>
      </c>
      <c r="K1042" s="1">
        <v>500</v>
      </c>
      <c r="L1042" s="1">
        <v>7500</v>
      </c>
      <c r="M1042" s="1" t="s">
        <v>1831</v>
      </c>
      <c r="N1042" s="1" t="s">
        <v>1417</v>
      </c>
      <c r="O1042" s="1">
        <v>0</v>
      </c>
      <c r="P1042" s="1" t="s">
        <v>2072</v>
      </c>
      <c r="Q1042" s="7" t="s">
        <v>2340</v>
      </c>
    </row>
    <row r="1043" spans="1:17" ht="14.25" thickBot="1">
      <c r="A1043" s="1" t="s">
        <v>1134</v>
      </c>
      <c r="B1043" s="3">
        <v>1</v>
      </c>
      <c r="C1043" s="1" t="s">
        <v>2120</v>
      </c>
      <c r="D1043" s="1" t="str">
        <f t="shared" si="70"/>
        <v>鞋子</v>
      </c>
      <c r="E1043" s="1">
        <f>INDEX([1]游戏类型定义!$C$20:$C$29,MATCH(D1043,[1]!装备部位,0))</f>
        <v>8</v>
      </c>
      <c r="F1043" s="1">
        <v>4</v>
      </c>
      <c r="G1043" s="1">
        <f t="shared" si="71"/>
        <v>10</v>
      </c>
      <c r="H1043" s="10">
        <v>0</v>
      </c>
      <c r="I1043" s="1">
        <v>10000</v>
      </c>
      <c r="J1043" s="1">
        <v>50</v>
      </c>
      <c r="K1043" s="1">
        <v>500</v>
      </c>
      <c r="L1043" s="1">
        <v>7500</v>
      </c>
      <c r="M1043" s="1" t="s">
        <v>1832</v>
      </c>
      <c r="N1043" s="1" t="s">
        <v>1417</v>
      </c>
      <c r="O1043" s="1">
        <v>0</v>
      </c>
      <c r="P1043" s="1" t="s">
        <v>2072</v>
      </c>
      <c r="Q1043" s="7" t="s">
        <v>2341</v>
      </c>
    </row>
    <row r="1044" spans="1:17" ht="14.25" thickBot="1">
      <c r="A1044" s="1" t="s">
        <v>1135</v>
      </c>
      <c r="B1044" s="3">
        <v>1</v>
      </c>
      <c r="C1044" s="1" t="s">
        <v>2132</v>
      </c>
      <c r="D1044" s="1" t="str">
        <f t="shared" si="70"/>
        <v>手套</v>
      </c>
      <c r="E1044" s="1">
        <f>INDEX([1]游戏类型定义!$C$20:$C$29,MATCH(D1044,[1]!装备部位,0))</f>
        <v>9</v>
      </c>
      <c r="F1044" s="1">
        <v>4</v>
      </c>
      <c r="G1044" s="1">
        <f t="shared" si="71"/>
        <v>10</v>
      </c>
      <c r="H1044" s="10">
        <v>0</v>
      </c>
      <c r="I1044" s="1">
        <v>10000</v>
      </c>
      <c r="J1044" s="1">
        <v>50</v>
      </c>
      <c r="K1044" s="1">
        <v>500</v>
      </c>
      <c r="L1044" s="1">
        <v>7500</v>
      </c>
      <c r="M1044" s="1" t="s">
        <v>1833</v>
      </c>
      <c r="N1044" s="1" t="s">
        <v>1417</v>
      </c>
      <c r="O1044" s="1">
        <v>0</v>
      </c>
      <c r="P1044" s="1" t="s">
        <v>2072</v>
      </c>
      <c r="Q1044" s="7" t="s">
        <v>2342</v>
      </c>
    </row>
    <row r="1045" spans="1:17" ht="14.25" thickBot="1">
      <c r="A1045" s="1" t="s">
        <v>1136</v>
      </c>
      <c r="B1045" s="2">
        <v>0</v>
      </c>
      <c r="C1045" s="1" t="s">
        <v>2034</v>
      </c>
      <c r="D1045" s="1" t="str">
        <f t="shared" si="70"/>
        <v>项链</v>
      </c>
      <c r="E1045" s="1">
        <f>INDEX([1]游戏类型定义!$C$20:$C$29,MATCH(D1045,[1]!装备部位,0))</f>
        <v>10</v>
      </c>
      <c r="F1045" s="1">
        <v>4</v>
      </c>
      <c r="G1045" s="1">
        <f t="shared" si="71"/>
        <v>10</v>
      </c>
      <c r="H1045" s="10">
        <v>0</v>
      </c>
      <c r="I1045" s="1">
        <v>10000</v>
      </c>
      <c r="J1045" s="1">
        <v>50</v>
      </c>
      <c r="K1045" s="1">
        <v>500</v>
      </c>
      <c r="L1045" s="1">
        <v>7500</v>
      </c>
      <c r="M1045" s="1" t="s">
        <v>1818</v>
      </c>
      <c r="N1045" s="1" t="s">
        <v>1417</v>
      </c>
      <c r="O1045" s="1">
        <v>0</v>
      </c>
      <c r="P1045" s="1" t="s">
        <v>2072</v>
      </c>
      <c r="Q1045" s="7" t="s">
        <v>2056</v>
      </c>
    </row>
    <row r="1046" spans="1:17" ht="14.25" thickBot="1">
      <c r="A1046" s="1" t="s">
        <v>1137</v>
      </c>
      <c r="B1046" s="3">
        <v>1</v>
      </c>
      <c r="C1046" s="9" t="s">
        <v>2207</v>
      </c>
      <c r="D1046" s="1" t="str">
        <f t="shared" si="70"/>
        <v>主手武器</v>
      </c>
      <c r="E1046" s="1">
        <f>INDEX([1]游戏类型定义!$C$20:$C$29,MATCH(D1046,[1]!装备部位,0))</f>
        <v>5</v>
      </c>
      <c r="F1046" s="1">
        <v>4</v>
      </c>
      <c r="G1046" s="1">
        <f t="shared" si="71"/>
        <v>10</v>
      </c>
      <c r="H1046" s="10" t="s">
        <v>2320</v>
      </c>
      <c r="I1046" s="1">
        <v>10000</v>
      </c>
      <c r="J1046" s="1">
        <v>50</v>
      </c>
      <c r="K1046" s="1">
        <v>500</v>
      </c>
      <c r="L1046" s="1">
        <v>7500</v>
      </c>
      <c r="M1046" s="1" t="s">
        <v>1834</v>
      </c>
      <c r="N1046" s="1" t="s">
        <v>1418</v>
      </c>
      <c r="O1046" s="1">
        <v>0</v>
      </c>
      <c r="P1046" s="1" t="s">
        <v>2072</v>
      </c>
      <c r="Q1046" s="7" t="s">
        <v>2343</v>
      </c>
    </row>
    <row r="1047" spans="1:17" ht="14.25" thickBot="1">
      <c r="A1047" s="1" t="s">
        <v>1138</v>
      </c>
      <c r="B1047" s="3">
        <v>1</v>
      </c>
      <c r="C1047" s="9" t="s">
        <v>2208</v>
      </c>
      <c r="D1047" s="1" t="str">
        <f t="shared" si="70"/>
        <v>主手武器</v>
      </c>
      <c r="E1047" s="1">
        <f>INDEX([1]游戏类型定义!$C$20:$C$29,MATCH(D1047,[1]!装备部位,0))</f>
        <v>5</v>
      </c>
      <c r="F1047" s="1">
        <v>4</v>
      </c>
      <c r="G1047" s="1">
        <f t="shared" si="71"/>
        <v>10</v>
      </c>
      <c r="H1047" s="10" t="s">
        <v>2320</v>
      </c>
      <c r="I1047" s="1">
        <v>13000</v>
      </c>
      <c r="J1047" s="1">
        <v>50</v>
      </c>
      <c r="K1047" s="1">
        <v>500</v>
      </c>
      <c r="L1047" s="1">
        <v>10000</v>
      </c>
      <c r="M1047" s="1" t="s">
        <v>1835</v>
      </c>
      <c r="N1047" s="1" t="s">
        <v>1418</v>
      </c>
      <c r="O1047" s="1">
        <v>0</v>
      </c>
      <c r="P1047" s="1" t="s">
        <v>2072</v>
      </c>
      <c r="Q1047" s="7" t="s">
        <v>2344</v>
      </c>
    </row>
    <row r="1048" spans="1:17" ht="14.25" thickBot="1">
      <c r="A1048" s="1" t="s">
        <v>1139</v>
      </c>
      <c r="B1048" s="3">
        <v>1</v>
      </c>
      <c r="C1048" s="9" t="s">
        <v>2199</v>
      </c>
      <c r="D1048" s="1" t="str">
        <f t="shared" si="70"/>
        <v>副手武器</v>
      </c>
      <c r="E1048" s="1">
        <f>INDEX([1]游戏类型定义!$C$20:$C$29,MATCH(D1048,[1]!装备部位,0))</f>
        <v>6</v>
      </c>
      <c r="F1048" s="1">
        <v>4</v>
      </c>
      <c r="G1048" s="1">
        <f t="shared" si="71"/>
        <v>10</v>
      </c>
      <c r="H1048" s="10" t="s">
        <v>2320</v>
      </c>
      <c r="I1048" s="1">
        <v>10000</v>
      </c>
      <c r="J1048" s="1">
        <v>50</v>
      </c>
      <c r="K1048" s="1">
        <v>500</v>
      </c>
      <c r="L1048" s="1">
        <v>7500</v>
      </c>
      <c r="M1048" s="1" t="s">
        <v>1836</v>
      </c>
      <c r="N1048" s="1" t="s">
        <v>1418</v>
      </c>
      <c r="O1048" s="1">
        <v>0</v>
      </c>
      <c r="P1048" s="1" t="s">
        <v>2072</v>
      </c>
      <c r="Q1048" s="7" t="s">
        <v>2345</v>
      </c>
    </row>
    <row r="1049" spans="1:17" ht="14.25" thickBot="1">
      <c r="A1049" s="1" t="s">
        <v>1140</v>
      </c>
      <c r="B1049" s="2">
        <v>0</v>
      </c>
      <c r="C1049" s="9" t="s">
        <v>2044</v>
      </c>
      <c r="D1049" s="1" t="str">
        <f t="shared" si="70"/>
        <v>副手武器</v>
      </c>
      <c r="E1049" s="1">
        <f>INDEX([1]游戏类型定义!$C$20:$C$29,MATCH(D1049,[1]!装备部位,0))</f>
        <v>6</v>
      </c>
      <c r="F1049" s="1">
        <v>4</v>
      </c>
      <c r="G1049" s="1">
        <f t="shared" si="71"/>
        <v>10</v>
      </c>
      <c r="H1049" s="10" t="s">
        <v>2320</v>
      </c>
      <c r="I1049" s="1">
        <v>13000</v>
      </c>
      <c r="J1049" s="1">
        <v>50</v>
      </c>
      <c r="K1049" s="1">
        <v>500</v>
      </c>
      <c r="L1049" s="1">
        <v>10000</v>
      </c>
      <c r="M1049" s="1" t="s">
        <v>1837</v>
      </c>
      <c r="N1049" s="1" t="s">
        <v>1418</v>
      </c>
      <c r="O1049" s="1">
        <v>0</v>
      </c>
      <c r="P1049" s="1" t="s">
        <v>2072</v>
      </c>
      <c r="Q1049" s="7" t="s">
        <v>2058</v>
      </c>
    </row>
    <row r="1050" spans="1:17" ht="14.25" thickBot="1">
      <c r="A1050" s="1" t="s">
        <v>1141</v>
      </c>
      <c r="B1050" s="3">
        <v>1</v>
      </c>
      <c r="C1050" s="1" t="s">
        <v>2209</v>
      </c>
      <c r="D1050" s="1" t="str">
        <f t="shared" si="70"/>
        <v>主手武器</v>
      </c>
      <c r="E1050" s="1">
        <f>INDEX([1]游戏类型定义!$C$20:$C$29,MATCH(D1050,[1]!装备部位,0))</f>
        <v>5</v>
      </c>
      <c r="F1050" s="1">
        <v>4</v>
      </c>
      <c r="G1050" s="1">
        <f t="shared" si="71"/>
        <v>10</v>
      </c>
      <c r="H1050" s="10" t="s">
        <v>2321</v>
      </c>
      <c r="I1050" s="1">
        <v>10000</v>
      </c>
      <c r="J1050" s="1">
        <v>50</v>
      </c>
      <c r="K1050" s="1">
        <v>500</v>
      </c>
      <c r="L1050" s="1">
        <v>7500</v>
      </c>
      <c r="M1050" s="1" t="s">
        <v>1834</v>
      </c>
      <c r="N1050" s="1" t="s">
        <v>1418</v>
      </c>
      <c r="O1050" s="1">
        <v>0</v>
      </c>
      <c r="P1050" s="1" t="s">
        <v>2072</v>
      </c>
      <c r="Q1050" s="7" t="s">
        <v>2346</v>
      </c>
    </row>
    <row r="1051" spans="1:17" ht="14.25" thickBot="1">
      <c r="A1051" s="1" t="s">
        <v>1142</v>
      </c>
      <c r="B1051" s="3">
        <v>1</v>
      </c>
      <c r="C1051" s="1" t="s">
        <v>2210</v>
      </c>
      <c r="D1051" s="1" t="str">
        <f t="shared" si="70"/>
        <v>主手武器</v>
      </c>
      <c r="E1051" s="1">
        <f>INDEX([1]游戏类型定义!$C$20:$C$29,MATCH(D1051,[1]!装备部位,0))</f>
        <v>5</v>
      </c>
      <c r="F1051" s="1">
        <v>4</v>
      </c>
      <c r="G1051" s="1">
        <f t="shared" si="71"/>
        <v>10</v>
      </c>
      <c r="H1051" s="10" t="s">
        <v>2321</v>
      </c>
      <c r="I1051" s="1">
        <v>13000</v>
      </c>
      <c r="J1051" s="1">
        <v>50</v>
      </c>
      <c r="K1051" s="1">
        <v>500</v>
      </c>
      <c r="L1051" s="1">
        <v>10000</v>
      </c>
      <c r="M1051" s="1" t="s">
        <v>1835</v>
      </c>
      <c r="N1051" s="1" t="s">
        <v>1418</v>
      </c>
      <c r="O1051" s="1">
        <v>0</v>
      </c>
      <c r="P1051" s="1" t="s">
        <v>2072</v>
      </c>
      <c r="Q1051" s="7" t="s">
        <v>2347</v>
      </c>
    </row>
    <row r="1052" spans="1:17" ht="14.25" thickBot="1">
      <c r="A1052" s="1" t="s">
        <v>1143</v>
      </c>
      <c r="B1052" s="3">
        <v>1</v>
      </c>
      <c r="C1052" s="9" t="s">
        <v>2211</v>
      </c>
      <c r="D1052" s="1" t="str">
        <f t="shared" si="70"/>
        <v>副手武器</v>
      </c>
      <c r="E1052" s="1">
        <f>INDEX([1]游戏类型定义!$C$20:$C$29,MATCH(D1052,[1]!装备部位,0))</f>
        <v>6</v>
      </c>
      <c r="F1052" s="1">
        <v>4</v>
      </c>
      <c r="G1052" s="1">
        <f t="shared" si="71"/>
        <v>10</v>
      </c>
      <c r="H1052" s="10" t="s">
        <v>2321</v>
      </c>
      <c r="I1052" s="1">
        <v>10000</v>
      </c>
      <c r="J1052" s="1">
        <v>50</v>
      </c>
      <c r="K1052" s="1">
        <v>500</v>
      </c>
      <c r="L1052" s="1">
        <v>7500</v>
      </c>
      <c r="M1052" s="1" t="s">
        <v>1838</v>
      </c>
      <c r="N1052" s="1" t="s">
        <v>1418</v>
      </c>
      <c r="O1052" s="1">
        <v>0</v>
      </c>
      <c r="P1052" s="1" t="s">
        <v>2072</v>
      </c>
      <c r="Q1052" s="7" t="s">
        <v>2348</v>
      </c>
    </row>
    <row r="1053" spans="1:17" ht="14.25" thickBot="1">
      <c r="A1053" s="1" t="s">
        <v>1144</v>
      </c>
      <c r="B1053" s="2">
        <v>0</v>
      </c>
      <c r="C1053" s="9" t="s">
        <v>2042</v>
      </c>
      <c r="D1053" s="1" t="str">
        <f t="shared" si="70"/>
        <v>副手武器</v>
      </c>
      <c r="E1053" s="1">
        <f>INDEX([1]游戏类型定义!$C$20:$C$29,MATCH(D1053,[1]!装备部位,0))</f>
        <v>6</v>
      </c>
      <c r="F1053" s="1">
        <v>4</v>
      </c>
      <c r="G1053" s="1">
        <f t="shared" si="71"/>
        <v>10</v>
      </c>
      <c r="H1053" s="10" t="s">
        <v>2321</v>
      </c>
      <c r="I1053" s="1">
        <v>13000</v>
      </c>
      <c r="J1053" s="1">
        <v>50</v>
      </c>
      <c r="K1053" s="1">
        <v>500</v>
      </c>
      <c r="L1053" s="1">
        <v>10000</v>
      </c>
      <c r="M1053" s="1" t="s">
        <v>1839</v>
      </c>
      <c r="N1053" s="1" t="s">
        <v>1418</v>
      </c>
      <c r="O1053" s="1">
        <v>0</v>
      </c>
      <c r="P1053" s="1" t="s">
        <v>2072</v>
      </c>
      <c r="Q1053" s="7" t="s">
        <v>2060</v>
      </c>
    </row>
    <row r="1054" spans="1:17" ht="14.25" thickBot="1">
      <c r="A1054" s="1" t="s">
        <v>1145</v>
      </c>
      <c r="B1054" s="3">
        <v>1</v>
      </c>
      <c r="C1054" s="9" t="s">
        <v>2213</v>
      </c>
      <c r="D1054" s="1" t="str">
        <f t="shared" si="70"/>
        <v>主手武器</v>
      </c>
      <c r="E1054" s="1">
        <f>INDEX([1]游戏类型定义!$C$20:$C$29,MATCH(D1054,[1]!装备部位,0))</f>
        <v>5</v>
      </c>
      <c r="F1054" s="1">
        <v>4</v>
      </c>
      <c r="G1054" s="1">
        <f t="shared" si="71"/>
        <v>10</v>
      </c>
      <c r="H1054" s="10" t="s">
        <v>2322</v>
      </c>
      <c r="I1054" s="1">
        <v>10000</v>
      </c>
      <c r="J1054" s="1">
        <v>50</v>
      </c>
      <c r="K1054" s="1">
        <v>500</v>
      </c>
      <c r="L1054" s="1">
        <v>7500</v>
      </c>
      <c r="M1054" s="1" t="s">
        <v>1834</v>
      </c>
      <c r="N1054" s="1" t="s">
        <v>1418</v>
      </c>
      <c r="O1054" s="1">
        <v>0</v>
      </c>
      <c r="P1054" s="1" t="s">
        <v>2072</v>
      </c>
      <c r="Q1054" s="7" t="s">
        <v>2349</v>
      </c>
    </row>
    <row r="1055" spans="1:17" ht="14.25" thickBot="1">
      <c r="A1055" s="1" t="s">
        <v>1146</v>
      </c>
      <c r="B1055" s="3">
        <v>1</v>
      </c>
      <c r="C1055" s="9" t="s">
        <v>2212</v>
      </c>
      <c r="D1055" s="1" t="str">
        <f t="shared" si="70"/>
        <v>主手武器</v>
      </c>
      <c r="E1055" s="1">
        <f>INDEX([1]游戏类型定义!$C$20:$C$29,MATCH(D1055,[1]!装备部位,0))</f>
        <v>5</v>
      </c>
      <c r="F1055" s="1">
        <v>4</v>
      </c>
      <c r="G1055" s="1">
        <f t="shared" si="71"/>
        <v>10</v>
      </c>
      <c r="H1055" s="10" t="s">
        <v>2322</v>
      </c>
      <c r="I1055" s="1">
        <v>13000</v>
      </c>
      <c r="J1055" s="1">
        <v>50</v>
      </c>
      <c r="K1055" s="1">
        <v>500</v>
      </c>
      <c r="L1055" s="1">
        <v>10000</v>
      </c>
      <c r="M1055" s="1" t="s">
        <v>1835</v>
      </c>
      <c r="N1055" s="1" t="s">
        <v>1418</v>
      </c>
      <c r="O1055" s="1">
        <v>0</v>
      </c>
      <c r="P1055" s="1" t="s">
        <v>2072</v>
      </c>
      <c r="Q1055" s="7" t="s">
        <v>2350</v>
      </c>
    </row>
    <row r="1056" spans="1:17" ht="14.25" thickBot="1">
      <c r="A1056" s="1" t="s">
        <v>1147</v>
      </c>
      <c r="B1056" s="3">
        <v>1</v>
      </c>
      <c r="C1056" s="9" t="s">
        <v>2214</v>
      </c>
      <c r="D1056" s="1" t="str">
        <f t="shared" ref="D1056:D1075" si="72">D726</f>
        <v>副手武器</v>
      </c>
      <c r="E1056" s="1">
        <f>INDEX([1]游戏类型定义!$C$20:$C$29,MATCH(D1056,[1]!装备部位,0))</f>
        <v>6</v>
      </c>
      <c r="F1056" s="1">
        <v>4</v>
      </c>
      <c r="G1056" s="1">
        <f t="shared" ref="G1056:G1075" si="73">G726</f>
        <v>10</v>
      </c>
      <c r="H1056" s="10" t="s">
        <v>2322</v>
      </c>
      <c r="I1056" s="1">
        <v>10000</v>
      </c>
      <c r="J1056" s="1">
        <v>50</v>
      </c>
      <c r="K1056" s="1">
        <v>500</v>
      </c>
      <c r="L1056" s="1">
        <v>7500</v>
      </c>
      <c r="M1056" s="1" t="s">
        <v>1840</v>
      </c>
      <c r="N1056" s="1" t="s">
        <v>1418</v>
      </c>
      <c r="O1056" s="1">
        <v>0</v>
      </c>
      <c r="P1056" s="1" t="s">
        <v>2072</v>
      </c>
      <c r="Q1056" s="7" t="s">
        <v>2351</v>
      </c>
    </row>
    <row r="1057" spans="1:17" ht="14.25" thickBot="1">
      <c r="A1057" s="1" t="s">
        <v>1148</v>
      </c>
      <c r="B1057" s="2">
        <v>0</v>
      </c>
      <c r="C1057" s="9" t="s">
        <v>2050</v>
      </c>
      <c r="D1057" s="1" t="str">
        <f t="shared" si="72"/>
        <v>副手武器</v>
      </c>
      <c r="E1057" s="1">
        <f>INDEX([1]游戏类型定义!$C$20:$C$29,MATCH(D1057,[1]!装备部位,0))</f>
        <v>6</v>
      </c>
      <c r="F1057" s="1">
        <v>4</v>
      </c>
      <c r="G1057" s="1">
        <f t="shared" si="73"/>
        <v>10</v>
      </c>
      <c r="H1057" s="10" t="s">
        <v>2322</v>
      </c>
      <c r="I1057" s="1">
        <v>13000</v>
      </c>
      <c r="J1057" s="1">
        <v>50</v>
      </c>
      <c r="K1057" s="1">
        <v>500</v>
      </c>
      <c r="L1057" s="1">
        <v>10000</v>
      </c>
      <c r="M1057" s="1" t="s">
        <v>1841</v>
      </c>
      <c r="N1057" s="1" t="s">
        <v>1418</v>
      </c>
      <c r="O1057" s="1">
        <v>0</v>
      </c>
      <c r="P1057" s="1" t="s">
        <v>2072</v>
      </c>
      <c r="Q1057" s="7" t="s">
        <v>2062</v>
      </c>
    </row>
    <row r="1058" spans="1:17" ht="14.25" thickBot="1">
      <c r="A1058" s="1" t="s">
        <v>1149</v>
      </c>
      <c r="B1058" s="3">
        <v>1</v>
      </c>
      <c r="C1058" s="1" t="s">
        <v>2159</v>
      </c>
      <c r="D1058" s="1" t="str">
        <f t="shared" si="72"/>
        <v>胸甲</v>
      </c>
      <c r="E1058" s="1">
        <f>INDEX([1]游戏类型定义!$C$20:$C$29,MATCH(D1058,[1]!装备部位,0))</f>
        <v>4</v>
      </c>
      <c r="F1058" s="1">
        <v>4</v>
      </c>
      <c r="G1058" s="1">
        <f t="shared" si="73"/>
        <v>10</v>
      </c>
      <c r="H1058" s="10">
        <v>0</v>
      </c>
      <c r="I1058" s="1">
        <v>10000</v>
      </c>
      <c r="J1058" s="1">
        <v>50</v>
      </c>
      <c r="K1058" s="1">
        <v>500</v>
      </c>
      <c r="L1058" s="1">
        <v>7500</v>
      </c>
      <c r="M1058" s="1" t="s">
        <v>1842</v>
      </c>
      <c r="N1058" s="1" t="s">
        <v>1417</v>
      </c>
      <c r="O1058" s="1">
        <v>0</v>
      </c>
      <c r="P1058" s="1" t="s">
        <v>2072</v>
      </c>
      <c r="Q1058" s="7" t="s">
        <v>2336</v>
      </c>
    </row>
    <row r="1059" spans="1:17" ht="14.25" thickBot="1">
      <c r="A1059" s="1" t="s">
        <v>1150</v>
      </c>
      <c r="B1059" s="2">
        <v>0</v>
      </c>
      <c r="C1059" s="1" t="s">
        <v>2030</v>
      </c>
      <c r="D1059" s="1" t="str">
        <f t="shared" si="72"/>
        <v>胸甲</v>
      </c>
      <c r="E1059" s="1">
        <f>INDEX([1]游戏类型定义!$C$20:$C$29,MATCH(D1059,[1]!装备部位,0))</f>
        <v>4</v>
      </c>
      <c r="F1059" s="1">
        <v>4</v>
      </c>
      <c r="G1059" s="1">
        <f t="shared" si="73"/>
        <v>10</v>
      </c>
      <c r="H1059" s="10">
        <v>0</v>
      </c>
      <c r="I1059" s="1">
        <v>13000</v>
      </c>
      <c r="J1059" s="1">
        <v>50</v>
      </c>
      <c r="K1059" s="1">
        <v>500</v>
      </c>
      <c r="L1059" s="1">
        <v>10000</v>
      </c>
      <c r="M1059" s="1" t="s">
        <v>1843</v>
      </c>
      <c r="N1059" s="1" t="s">
        <v>1417</v>
      </c>
      <c r="O1059" s="1">
        <v>0</v>
      </c>
      <c r="P1059" s="1" t="s">
        <v>2072</v>
      </c>
      <c r="Q1059" s="7" t="s">
        <v>2063</v>
      </c>
    </row>
    <row r="1060" spans="1:17" ht="14.25" thickBot="1">
      <c r="A1060" s="1" t="s">
        <v>1151</v>
      </c>
      <c r="B1060" s="3">
        <v>1</v>
      </c>
      <c r="C1060" s="1" t="s">
        <v>2177</v>
      </c>
      <c r="D1060" s="1" t="str">
        <f t="shared" si="72"/>
        <v>护腿</v>
      </c>
      <c r="E1060" s="1">
        <f>INDEX([1]游戏类型定义!$C$20:$C$29,MATCH(D1060,[1]!装备部位,0))</f>
        <v>7</v>
      </c>
      <c r="F1060" s="1">
        <v>4</v>
      </c>
      <c r="G1060" s="1">
        <f t="shared" si="73"/>
        <v>10</v>
      </c>
      <c r="H1060" s="10">
        <v>0</v>
      </c>
      <c r="I1060" s="1">
        <v>10000</v>
      </c>
      <c r="J1060" s="1">
        <v>50</v>
      </c>
      <c r="K1060" s="1">
        <v>500</v>
      </c>
      <c r="L1060" s="1">
        <v>7500</v>
      </c>
      <c r="M1060" s="1" t="s">
        <v>1842</v>
      </c>
      <c r="N1060" s="1" t="s">
        <v>1417</v>
      </c>
      <c r="O1060" s="1">
        <v>0</v>
      </c>
      <c r="P1060" s="1" t="s">
        <v>2072</v>
      </c>
      <c r="Q1060" s="7" t="s">
        <v>2352</v>
      </c>
    </row>
    <row r="1061" spans="1:17" ht="14.25" thickBot="1">
      <c r="A1061" s="1" t="s">
        <v>1152</v>
      </c>
      <c r="B1061" s="2">
        <v>0</v>
      </c>
      <c r="C1061" s="1" t="s">
        <v>2038</v>
      </c>
      <c r="D1061" s="1" t="str">
        <f t="shared" si="72"/>
        <v>护腿</v>
      </c>
      <c r="E1061" s="1">
        <f>INDEX([1]游戏类型定义!$C$20:$C$29,MATCH(D1061,[1]!装备部位,0))</f>
        <v>7</v>
      </c>
      <c r="F1061" s="1">
        <v>4</v>
      </c>
      <c r="G1061" s="1">
        <f t="shared" si="73"/>
        <v>10</v>
      </c>
      <c r="H1061" s="10">
        <v>0</v>
      </c>
      <c r="I1061" s="1">
        <v>13000</v>
      </c>
      <c r="J1061" s="1">
        <v>50</v>
      </c>
      <c r="K1061" s="1">
        <v>500</v>
      </c>
      <c r="L1061" s="1">
        <v>10000</v>
      </c>
      <c r="M1061" s="1" t="s">
        <v>1843</v>
      </c>
      <c r="N1061" s="1" t="s">
        <v>1417</v>
      </c>
      <c r="O1061" s="1">
        <v>0</v>
      </c>
      <c r="P1061" s="1" t="s">
        <v>2072</v>
      </c>
      <c r="Q1061" s="7" t="s">
        <v>2064</v>
      </c>
    </row>
    <row r="1062" spans="1:17" ht="14.25" thickBot="1">
      <c r="A1062" s="1" t="s">
        <v>1153</v>
      </c>
      <c r="B1062" s="2">
        <v>0</v>
      </c>
      <c r="C1062" s="1" t="s">
        <v>2031</v>
      </c>
      <c r="D1062" s="1" t="str">
        <f t="shared" si="72"/>
        <v>头盔</v>
      </c>
      <c r="E1062" s="1">
        <f>INDEX([1]游戏类型定义!$C$20:$C$29,MATCH(D1062,[1]!装备部位,0))</f>
        <v>1</v>
      </c>
      <c r="F1062" s="1">
        <v>4</v>
      </c>
      <c r="G1062" s="1">
        <f t="shared" si="73"/>
        <v>15</v>
      </c>
      <c r="H1062" s="10">
        <v>0</v>
      </c>
      <c r="I1062" s="1">
        <v>15000</v>
      </c>
      <c r="J1062" s="1">
        <v>50</v>
      </c>
      <c r="K1062" s="1">
        <v>500</v>
      </c>
      <c r="L1062" s="1">
        <v>10000</v>
      </c>
      <c r="M1062" s="1" t="s">
        <v>1829</v>
      </c>
      <c r="N1062" s="1" t="s">
        <v>1419</v>
      </c>
      <c r="O1062" s="1">
        <v>0</v>
      </c>
      <c r="P1062" s="1" t="s">
        <v>2073</v>
      </c>
      <c r="Q1062" s="7" t="s">
        <v>2051</v>
      </c>
    </row>
    <row r="1063" spans="1:17" ht="14.25" thickBot="1">
      <c r="A1063" s="1" t="s">
        <v>1154</v>
      </c>
      <c r="B1063" s="2">
        <v>0</v>
      </c>
      <c r="C1063" s="1" t="s">
        <v>2032</v>
      </c>
      <c r="D1063" s="1" t="str">
        <f t="shared" si="72"/>
        <v>戒指</v>
      </c>
      <c r="E1063" s="1">
        <f>INDEX([1]游戏类型定义!$C$20:$C$29,MATCH(D1063,[1]!装备部位,0))</f>
        <v>2</v>
      </c>
      <c r="F1063" s="1">
        <v>4</v>
      </c>
      <c r="G1063" s="1">
        <f t="shared" si="73"/>
        <v>15</v>
      </c>
      <c r="H1063" s="10">
        <v>0</v>
      </c>
      <c r="I1063" s="1">
        <v>15000</v>
      </c>
      <c r="J1063" s="1">
        <v>50</v>
      </c>
      <c r="K1063" s="1">
        <v>500</v>
      </c>
      <c r="L1063" s="1">
        <v>10000</v>
      </c>
      <c r="M1063" s="1" t="s">
        <v>1844</v>
      </c>
      <c r="N1063" s="1" t="s">
        <v>1419</v>
      </c>
      <c r="O1063" s="1">
        <v>0</v>
      </c>
      <c r="P1063" s="1" t="s">
        <v>2073</v>
      </c>
      <c r="Q1063" s="7" t="s">
        <v>2052</v>
      </c>
    </row>
    <row r="1064" spans="1:17" ht="14.25" thickBot="1">
      <c r="A1064" s="1" t="s">
        <v>1155</v>
      </c>
      <c r="B1064" s="3">
        <v>1</v>
      </c>
      <c r="C1064" s="1" t="s">
        <v>2088</v>
      </c>
      <c r="D1064" s="1" t="str">
        <f t="shared" si="72"/>
        <v>腰带</v>
      </c>
      <c r="E1064" s="1">
        <f>INDEX([1]游戏类型定义!$C$20:$C$29,MATCH(D1064,[1]!装备部位,0))</f>
        <v>3</v>
      </c>
      <c r="F1064" s="1">
        <v>4</v>
      </c>
      <c r="G1064" s="1">
        <f t="shared" si="73"/>
        <v>15</v>
      </c>
      <c r="H1064" s="10">
        <v>0</v>
      </c>
      <c r="I1064" s="1">
        <v>15000</v>
      </c>
      <c r="J1064" s="1">
        <v>50</v>
      </c>
      <c r="K1064" s="1">
        <v>500</v>
      </c>
      <c r="L1064" s="1">
        <v>10000</v>
      </c>
      <c r="M1064" s="1" t="s">
        <v>1845</v>
      </c>
      <c r="N1064" s="1" t="s">
        <v>1419</v>
      </c>
      <c r="O1064" s="1">
        <v>0</v>
      </c>
      <c r="P1064" s="1" t="s">
        <v>2073</v>
      </c>
      <c r="Q1064" s="7" t="s">
        <v>2353</v>
      </c>
    </row>
    <row r="1065" spans="1:17" ht="14.25" thickBot="1">
      <c r="A1065" s="1" t="s">
        <v>1156</v>
      </c>
      <c r="B1065" s="3">
        <v>1</v>
      </c>
      <c r="C1065" s="1" t="s">
        <v>2121</v>
      </c>
      <c r="D1065" s="1" t="str">
        <f t="shared" si="72"/>
        <v>鞋子</v>
      </c>
      <c r="E1065" s="1">
        <f>INDEX([1]游戏类型定义!$C$20:$C$29,MATCH(D1065,[1]!装备部位,0))</f>
        <v>8</v>
      </c>
      <c r="F1065" s="1">
        <v>4</v>
      </c>
      <c r="G1065" s="1">
        <f t="shared" si="73"/>
        <v>15</v>
      </c>
      <c r="H1065" s="10">
        <v>0</v>
      </c>
      <c r="I1065" s="1">
        <v>15000</v>
      </c>
      <c r="J1065" s="1">
        <v>50</v>
      </c>
      <c r="K1065" s="1">
        <v>500</v>
      </c>
      <c r="L1065" s="1">
        <v>10000</v>
      </c>
      <c r="M1065" s="1" t="s">
        <v>1846</v>
      </c>
      <c r="N1065" s="1" t="s">
        <v>1419</v>
      </c>
      <c r="O1065" s="1">
        <v>0</v>
      </c>
      <c r="P1065" s="1" t="s">
        <v>2073</v>
      </c>
      <c r="Q1065" s="7" t="s">
        <v>2354</v>
      </c>
    </row>
    <row r="1066" spans="1:17" ht="14.25" thickBot="1">
      <c r="A1066" s="1" t="s">
        <v>1157</v>
      </c>
      <c r="B1066" s="3">
        <v>1</v>
      </c>
      <c r="C1066" s="1" t="s">
        <v>2133</v>
      </c>
      <c r="D1066" s="1" t="str">
        <f t="shared" si="72"/>
        <v>手套</v>
      </c>
      <c r="E1066" s="1">
        <f>INDEX([1]游戏类型定义!$C$20:$C$29,MATCH(D1066,[1]!装备部位,0))</f>
        <v>9</v>
      </c>
      <c r="F1066" s="1">
        <v>4</v>
      </c>
      <c r="G1066" s="1">
        <f t="shared" si="73"/>
        <v>15</v>
      </c>
      <c r="H1066" s="10">
        <v>0</v>
      </c>
      <c r="I1066" s="1">
        <v>15000</v>
      </c>
      <c r="J1066" s="1">
        <v>50</v>
      </c>
      <c r="K1066" s="1">
        <v>500</v>
      </c>
      <c r="L1066" s="1">
        <v>10000</v>
      </c>
      <c r="M1066" s="1" t="s">
        <v>1847</v>
      </c>
      <c r="N1066" s="1" t="s">
        <v>1419</v>
      </c>
      <c r="O1066" s="1">
        <v>0</v>
      </c>
      <c r="P1066" s="1" t="s">
        <v>2073</v>
      </c>
      <c r="Q1066" s="7" t="s">
        <v>2355</v>
      </c>
    </row>
    <row r="1067" spans="1:17" ht="14.25" thickBot="1">
      <c r="A1067" s="1" t="s">
        <v>1158</v>
      </c>
      <c r="B1067" s="3">
        <v>1</v>
      </c>
      <c r="C1067" s="1" t="s">
        <v>2146</v>
      </c>
      <c r="D1067" s="1" t="str">
        <f t="shared" si="72"/>
        <v>项链</v>
      </c>
      <c r="E1067" s="1">
        <f>INDEX([1]游戏类型定义!$C$20:$C$29,MATCH(D1067,[1]!装备部位,0))</f>
        <v>10</v>
      </c>
      <c r="F1067" s="1">
        <v>4</v>
      </c>
      <c r="G1067" s="1">
        <f t="shared" si="73"/>
        <v>15</v>
      </c>
      <c r="H1067" s="10">
        <v>0</v>
      </c>
      <c r="I1067" s="1">
        <v>15000</v>
      </c>
      <c r="J1067" s="1">
        <v>50</v>
      </c>
      <c r="K1067" s="1">
        <v>500</v>
      </c>
      <c r="L1067" s="1">
        <v>10000</v>
      </c>
      <c r="M1067" s="1" t="s">
        <v>1848</v>
      </c>
      <c r="N1067" s="1" t="s">
        <v>1419</v>
      </c>
      <c r="O1067" s="1">
        <v>0</v>
      </c>
      <c r="P1067" s="1" t="s">
        <v>2073</v>
      </c>
      <c r="Q1067" s="7" t="s">
        <v>2356</v>
      </c>
    </row>
    <row r="1068" spans="1:17" ht="14.25" thickBot="1">
      <c r="A1068" s="1" t="s">
        <v>1159</v>
      </c>
      <c r="B1068" s="3">
        <v>1</v>
      </c>
      <c r="C1068" s="9" t="s">
        <v>2196</v>
      </c>
      <c r="D1068" s="1" t="str">
        <f t="shared" si="72"/>
        <v>主手武器</v>
      </c>
      <c r="E1068" s="1">
        <f>INDEX([1]游戏类型定义!$C$20:$C$29,MATCH(D1068,[1]!装备部位,0))</f>
        <v>5</v>
      </c>
      <c r="F1068" s="1">
        <v>4</v>
      </c>
      <c r="G1068" s="1">
        <f t="shared" si="73"/>
        <v>15</v>
      </c>
      <c r="H1068" s="10" t="s">
        <v>2320</v>
      </c>
      <c r="I1068" s="1">
        <v>15000</v>
      </c>
      <c r="J1068" s="1">
        <v>50</v>
      </c>
      <c r="K1068" s="1">
        <v>500</v>
      </c>
      <c r="L1068" s="1">
        <v>10000</v>
      </c>
      <c r="M1068" s="1" t="s">
        <v>1849</v>
      </c>
      <c r="N1068" s="1" t="s">
        <v>1420</v>
      </c>
      <c r="O1068" s="1">
        <v>0</v>
      </c>
      <c r="P1068" s="1" t="s">
        <v>2073</v>
      </c>
      <c r="Q1068" s="7" t="s">
        <v>2357</v>
      </c>
    </row>
    <row r="1069" spans="1:17" ht="14.25" thickBot="1">
      <c r="A1069" s="1">
        <v>40151051</v>
      </c>
      <c r="B1069" s="3">
        <v>1</v>
      </c>
      <c r="C1069" s="9" t="s">
        <v>2215</v>
      </c>
      <c r="D1069" s="1" t="str">
        <f t="shared" si="72"/>
        <v>主手武器</v>
      </c>
      <c r="E1069" s="1">
        <f>INDEX([1]游戏类型定义!$C$20:$C$29,MATCH(D1069,[1]!装备部位,0))</f>
        <v>5</v>
      </c>
      <c r="F1069" s="1">
        <v>4</v>
      </c>
      <c r="G1069" s="1">
        <f t="shared" si="73"/>
        <v>15</v>
      </c>
      <c r="H1069" s="10" t="s">
        <v>2320</v>
      </c>
      <c r="I1069" s="1">
        <v>18000</v>
      </c>
      <c r="J1069" s="1">
        <v>50</v>
      </c>
      <c r="K1069" s="1">
        <v>500</v>
      </c>
      <c r="L1069" s="1">
        <v>12500</v>
      </c>
      <c r="M1069" s="1" t="s">
        <v>2017</v>
      </c>
      <c r="N1069" s="1" t="s">
        <v>1420</v>
      </c>
      <c r="O1069" s="1">
        <v>0</v>
      </c>
      <c r="P1069" s="1" t="s">
        <v>2073</v>
      </c>
      <c r="Q1069" s="7" t="s">
        <v>2358</v>
      </c>
    </row>
    <row r="1070" spans="1:17" ht="14.25" thickBot="1">
      <c r="A1070" s="1" t="s">
        <v>1160</v>
      </c>
      <c r="B1070" s="3">
        <v>1</v>
      </c>
      <c r="C1070" s="9" t="s">
        <v>2198</v>
      </c>
      <c r="D1070" s="1" t="str">
        <f t="shared" si="72"/>
        <v>副手武器</v>
      </c>
      <c r="E1070" s="1">
        <f>INDEX([1]游戏类型定义!$C$20:$C$29,MATCH(D1070,[1]!装备部位,0))</f>
        <v>6</v>
      </c>
      <c r="F1070" s="1">
        <v>4</v>
      </c>
      <c r="G1070" s="1">
        <f t="shared" si="73"/>
        <v>15</v>
      </c>
      <c r="H1070" s="10" t="s">
        <v>2320</v>
      </c>
      <c r="I1070" s="1">
        <v>15000</v>
      </c>
      <c r="J1070" s="1">
        <v>50</v>
      </c>
      <c r="K1070" s="1">
        <v>500</v>
      </c>
      <c r="L1070" s="1">
        <v>10000</v>
      </c>
      <c r="M1070" s="1" t="s">
        <v>1850</v>
      </c>
      <c r="N1070" s="1" t="s">
        <v>1420</v>
      </c>
      <c r="O1070" s="1">
        <v>0</v>
      </c>
      <c r="P1070" s="1" t="s">
        <v>2073</v>
      </c>
      <c r="Q1070" s="7" t="s">
        <v>2359</v>
      </c>
    </row>
    <row r="1071" spans="1:17" ht="14.25" thickBot="1">
      <c r="A1071" s="1" t="s">
        <v>1161</v>
      </c>
      <c r="B1071" s="2">
        <v>0</v>
      </c>
      <c r="C1071" s="9" t="s">
        <v>2044</v>
      </c>
      <c r="D1071" s="1" t="str">
        <f t="shared" si="72"/>
        <v>副手武器</v>
      </c>
      <c r="E1071" s="1">
        <f>INDEX([1]游戏类型定义!$C$20:$C$29,MATCH(D1071,[1]!装备部位,0))</f>
        <v>6</v>
      </c>
      <c r="F1071" s="1">
        <v>4</v>
      </c>
      <c r="G1071" s="1">
        <f t="shared" si="73"/>
        <v>15</v>
      </c>
      <c r="H1071" s="10" t="s">
        <v>2320</v>
      </c>
      <c r="I1071" s="1">
        <v>18000</v>
      </c>
      <c r="J1071" s="1">
        <v>50</v>
      </c>
      <c r="K1071" s="1">
        <v>500</v>
      </c>
      <c r="L1071" s="1">
        <v>12500</v>
      </c>
      <c r="M1071" s="1" t="s">
        <v>1851</v>
      </c>
      <c r="N1071" s="1" t="s">
        <v>1420</v>
      </c>
      <c r="O1071" s="1">
        <v>0</v>
      </c>
      <c r="P1071" s="1" t="s">
        <v>2073</v>
      </c>
      <c r="Q1071" s="7" t="s">
        <v>2058</v>
      </c>
    </row>
    <row r="1072" spans="1:17" ht="14.25" thickBot="1">
      <c r="A1072" s="1" t="s">
        <v>1162</v>
      </c>
      <c r="B1072" s="3">
        <v>1</v>
      </c>
      <c r="C1072" s="1" t="s">
        <v>2217</v>
      </c>
      <c r="D1072" s="1" t="str">
        <f t="shared" si="72"/>
        <v>主手武器</v>
      </c>
      <c r="E1072" s="1">
        <f>INDEX([1]游戏类型定义!$C$20:$C$29,MATCH(D1072,[1]!装备部位,0))</f>
        <v>5</v>
      </c>
      <c r="F1072" s="1">
        <v>4</v>
      </c>
      <c r="G1072" s="1">
        <f t="shared" si="73"/>
        <v>15</v>
      </c>
      <c r="H1072" s="10" t="s">
        <v>2321</v>
      </c>
      <c r="I1072" s="1">
        <v>15000</v>
      </c>
      <c r="J1072" s="1">
        <v>50</v>
      </c>
      <c r="K1072" s="1">
        <v>500</v>
      </c>
      <c r="L1072" s="1">
        <v>10000</v>
      </c>
      <c r="M1072" s="1" t="s">
        <v>1849</v>
      </c>
      <c r="N1072" s="1" t="s">
        <v>1420</v>
      </c>
      <c r="O1072" s="1">
        <v>0</v>
      </c>
      <c r="P1072" s="1" t="s">
        <v>2073</v>
      </c>
      <c r="Q1072" s="7" t="s">
        <v>2360</v>
      </c>
    </row>
    <row r="1073" spans="1:17" ht="14.25" thickBot="1">
      <c r="A1073" s="1">
        <v>40152051</v>
      </c>
      <c r="B1073" s="3">
        <v>1</v>
      </c>
      <c r="C1073" s="1" t="s">
        <v>2216</v>
      </c>
      <c r="D1073" s="1" t="str">
        <f t="shared" si="72"/>
        <v>主手武器</v>
      </c>
      <c r="E1073" s="1">
        <f>INDEX([1]游戏类型定义!$C$20:$C$29,MATCH(D1073,[1]!装备部位,0))</f>
        <v>5</v>
      </c>
      <c r="F1073" s="1">
        <v>4</v>
      </c>
      <c r="G1073" s="1">
        <f t="shared" si="73"/>
        <v>15</v>
      </c>
      <c r="H1073" s="10" t="s">
        <v>2321</v>
      </c>
      <c r="I1073" s="1">
        <v>18000</v>
      </c>
      <c r="J1073" s="1">
        <v>50</v>
      </c>
      <c r="K1073" s="1">
        <v>500</v>
      </c>
      <c r="L1073" s="1">
        <v>12500</v>
      </c>
      <c r="M1073" s="1" t="s">
        <v>2017</v>
      </c>
      <c r="N1073" s="1" t="s">
        <v>1420</v>
      </c>
      <c r="O1073" s="1">
        <v>0</v>
      </c>
      <c r="P1073" s="1" t="s">
        <v>2073</v>
      </c>
      <c r="Q1073" s="7" t="s">
        <v>2361</v>
      </c>
    </row>
    <row r="1074" spans="1:17" ht="14.25" thickBot="1">
      <c r="A1074" s="1" t="s">
        <v>1163</v>
      </c>
      <c r="B1074" s="3">
        <v>1</v>
      </c>
      <c r="C1074" s="9" t="s">
        <v>2218</v>
      </c>
      <c r="D1074" s="1" t="str">
        <f t="shared" si="72"/>
        <v>副手武器</v>
      </c>
      <c r="E1074" s="1">
        <f>INDEX([1]游戏类型定义!$C$20:$C$29,MATCH(D1074,[1]!装备部位,0))</f>
        <v>6</v>
      </c>
      <c r="F1074" s="1">
        <v>4</v>
      </c>
      <c r="G1074" s="1">
        <f t="shared" si="73"/>
        <v>15</v>
      </c>
      <c r="H1074" s="10" t="s">
        <v>2321</v>
      </c>
      <c r="I1074" s="1">
        <v>15000</v>
      </c>
      <c r="J1074" s="1">
        <v>50</v>
      </c>
      <c r="K1074" s="1">
        <v>500</v>
      </c>
      <c r="L1074" s="1">
        <v>10000</v>
      </c>
      <c r="M1074" s="1" t="s">
        <v>1852</v>
      </c>
      <c r="N1074" s="1" t="s">
        <v>1420</v>
      </c>
      <c r="O1074" s="1">
        <v>0</v>
      </c>
      <c r="P1074" s="1" t="s">
        <v>2073</v>
      </c>
      <c r="Q1074" s="7" t="s">
        <v>2362</v>
      </c>
    </row>
    <row r="1075" spans="1:17" ht="14.25" thickBot="1">
      <c r="A1075" s="1" t="s">
        <v>1164</v>
      </c>
      <c r="B1075" s="2">
        <v>0</v>
      </c>
      <c r="C1075" s="9" t="s">
        <v>2042</v>
      </c>
      <c r="D1075" s="1" t="str">
        <f t="shared" si="72"/>
        <v>副手武器</v>
      </c>
      <c r="E1075" s="1">
        <f>INDEX([1]游戏类型定义!$C$20:$C$29,MATCH(D1075,[1]!装备部位,0))</f>
        <v>6</v>
      </c>
      <c r="F1075" s="1">
        <v>4</v>
      </c>
      <c r="G1075" s="1">
        <f t="shared" si="73"/>
        <v>15</v>
      </c>
      <c r="H1075" s="10" t="s">
        <v>2321</v>
      </c>
      <c r="I1075" s="1">
        <v>18000</v>
      </c>
      <c r="J1075" s="1">
        <v>50</v>
      </c>
      <c r="K1075" s="1">
        <v>500</v>
      </c>
      <c r="L1075" s="1">
        <v>12500</v>
      </c>
      <c r="M1075" s="1" t="s">
        <v>1853</v>
      </c>
      <c r="N1075" s="1" t="s">
        <v>1420</v>
      </c>
      <c r="O1075" s="1">
        <v>0</v>
      </c>
      <c r="P1075" s="1" t="s">
        <v>2073</v>
      </c>
      <c r="Q1075" s="7" t="s">
        <v>2060</v>
      </c>
    </row>
    <row r="1076" spans="1:17" ht="14.25" thickBot="1">
      <c r="A1076" s="1" t="s">
        <v>1165</v>
      </c>
      <c r="B1076" s="3">
        <v>1</v>
      </c>
      <c r="C1076" s="9" t="s">
        <v>2219</v>
      </c>
      <c r="D1076" s="1" t="str">
        <f t="shared" ref="D1076:D1095" si="74">D746</f>
        <v>主手武器</v>
      </c>
      <c r="E1076" s="1">
        <f>INDEX([1]游戏类型定义!$C$20:$C$29,MATCH(D1076,[1]!装备部位,0))</f>
        <v>5</v>
      </c>
      <c r="F1076" s="1">
        <v>4</v>
      </c>
      <c r="G1076" s="1">
        <f t="shared" ref="G1076:G1095" si="75">G746</f>
        <v>15</v>
      </c>
      <c r="H1076" s="10" t="s">
        <v>2322</v>
      </c>
      <c r="I1076" s="1">
        <v>15000</v>
      </c>
      <c r="J1076" s="1">
        <v>50</v>
      </c>
      <c r="K1076" s="1">
        <v>500</v>
      </c>
      <c r="L1076" s="1">
        <v>10000</v>
      </c>
      <c r="M1076" s="1" t="s">
        <v>1849</v>
      </c>
      <c r="N1076" s="1" t="s">
        <v>1420</v>
      </c>
      <c r="O1076" s="1">
        <v>0</v>
      </c>
      <c r="P1076" s="1" t="s">
        <v>2073</v>
      </c>
      <c r="Q1076" s="7" t="s">
        <v>2363</v>
      </c>
    </row>
    <row r="1077" spans="1:17" ht="14.25" thickBot="1">
      <c r="A1077" s="1">
        <v>40153051</v>
      </c>
      <c r="B1077" s="3">
        <v>1</v>
      </c>
      <c r="C1077" s="9" t="s">
        <v>2220</v>
      </c>
      <c r="D1077" s="1" t="str">
        <f t="shared" si="74"/>
        <v>主手武器</v>
      </c>
      <c r="E1077" s="1">
        <f>INDEX([1]游戏类型定义!$C$20:$C$29,MATCH(D1077,[1]!装备部位,0))</f>
        <v>5</v>
      </c>
      <c r="F1077" s="1">
        <v>4</v>
      </c>
      <c r="G1077" s="1">
        <f t="shared" si="75"/>
        <v>15</v>
      </c>
      <c r="H1077" s="10" t="s">
        <v>2322</v>
      </c>
      <c r="I1077" s="1">
        <v>18000</v>
      </c>
      <c r="J1077" s="1">
        <v>50</v>
      </c>
      <c r="K1077" s="1">
        <v>500</v>
      </c>
      <c r="L1077" s="1">
        <v>12500</v>
      </c>
      <c r="M1077" s="1" t="s">
        <v>2017</v>
      </c>
      <c r="N1077" s="1" t="s">
        <v>1420</v>
      </c>
      <c r="O1077" s="1">
        <v>0</v>
      </c>
      <c r="P1077" s="1" t="s">
        <v>2073</v>
      </c>
      <c r="Q1077" s="7" t="s">
        <v>2364</v>
      </c>
    </row>
    <row r="1078" spans="1:17" ht="14.25" thickBot="1">
      <c r="A1078" s="1" t="s">
        <v>1166</v>
      </c>
      <c r="B1078" s="3">
        <v>1</v>
      </c>
      <c r="C1078" s="9" t="s">
        <v>2221</v>
      </c>
      <c r="D1078" s="1" t="str">
        <f t="shared" si="74"/>
        <v>副手武器</v>
      </c>
      <c r="E1078" s="1">
        <f>INDEX([1]游戏类型定义!$C$20:$C$29,MATCH(D1078,[1]!装备部位,0))</f>
        <v>6</v>
      </c>
      <c r="F1078" s="1">
        <v>4</v>
      </c>
      <c r="G1078" s="1">
        <f t="shared" si="75"/>
        <v>15</v>
      </c>
      <c r="H1078" s="10" t="s">
        <v>2322</v>
      </c>
      <c r="I1078" s="1">
        <v>15000</v>
      </c>
      <c r="J1078" s="1">
        <v>50</v>
      </c>
      <c r="K1078" s="1">
        <v>500</v>
      </c>
      <c r="L1078" s="1">
        <v>10000</v>
      </c>
      <c r="M1078" s="1" t="s">
        <v>1854</v>
      </c>
      <c r="N1078" s="1" t="s">
        <v>1420</v>
      </c>
      <c r="O1078" s="1">
        <v>0</v>
      </c>
      <c r="P1078" s="1" t="s">
        <v>2073</v>
      </c>
      <c r="Q1078" s="7" t="s">
        <v>2365</v>
      </c>
    </row>
    <row r="1079" spans="1:17" ht="14.25" thickBot="1">
      <c r="A1079" s="1" t="s">
        <v>1167</v>
      </c>
      <c r="B1079" s="2">
        <v>0</v>
      </c>
      <c r="C1079" s="9" t="s">
        <v>2050</v>
      </c>
      <c r="D1079" s="1" t="str">
        <f t="shared" si="74"/>
        <v>副手武器</v>
      </c>
      <c r="E1079" s="1">
        <f>INDEX([1]游戏类型定义!$C$20:$C$29,MATCH(D1079,[1]!装备部位,0))</f>
        <v>6</v>
      </c>
      <c r="F1079" s="1">
        <v>4</v>
      </c>
      <c r="G1079" s="1">
        <f t="shared" si="75"/>
        <v>15</v>
      </c>
      <c r="H1079" s="10" t="s">
        <v>2322</v>
      </c>
      <c r="I1079" s="1">
        <v>18000</v>
      </c>
      <c r="J1079" s="1">
        <v>50</v>
      </c>
      <c r="K1079" s="1">
        <v>500</v>
      </c>
      <c r="L1079" s="1">
        <v>12500</v>
      </c>
      <c r="M1079" s="1" t="s">
        <v>1855</v>
      </c>
      <c r="N1079" s="1" t="s">
        <v>1420</v>
      </c>
      <c r="O1079" s="1">
        <v>0</v>
      </c>
      <c r="P1079" s="1" t="s">
        <v>2073</v>
      </c>
      <c r="Q1079" s="7" t="s">
        <v>2062</v>
      </c>
    </row>
    <row r="1080" spans="1:17" ht="14.25" thickBot="1">
      <c r="A1080" s="1" t="s">
        <v>1168</v>
      </c>
      <c r="B1080" s="3">
        <v>1</v>
      </c>
      <c r="C1080" s="1" t="s">
        <v>2160</v>
      </c>
      <c r="D1080" s="1" t="str">
        <f t="shared" si="74"/>
        <v>胸甲</v>
      </c>
      <c r="E1080" s="1">
        <f>INDEX([1]游戏类型定义!$C$20:$C$29,MATCH(D1080,[1]!装备部位,0))</f>
        <v>4</v>
      </c>
      <c r="F1080" s="1">
        <v>4</v>
      </c>
      <c r="G1080" s="1">
        <f t="shared" si="75"/>
        <v>15</v>
      </c>
      <c r="H1080" s="10">
        <v>0</v>
      </c>
      <c r="I1080" s="1">
        <v>15000</v>
      </c>
      <c r="J1080" s="1">
        <v>50</v>
      </c>
      <c r="K1080" s="1">
        <v>500</v>
      </c>
      <c r="L1080" s="1">
        <v>10000</v>
      </c>
      <c r="M1080" s="1" t="s">
        <v>1856</v>
      </c>
      <c r="N1080" s="1" t="s">
        <v>1419</v>
      </c>
      <c r="O1080" s="1">
        <v>0</v>
      </c>
      <c r="P1080" s="1" t="s">
        <v>2073</v>
      </c>
      <c r="Q1080" s="7" t="s">
        <v>2366</v>
      </c>
    </row>
    <row r="1081" spans="1:17" ht="14.25" thickBot="1">
      <c r="A1081" s="1" t="s">
        <v>1169</v>
      </c>
      <c r="B1081" s="2">
        <v>0</v>
      </c>
      <c r="C1081" s="1" t="s">
        <v>2030</v>
      </c>
      <c r="D1081" s="1" t="str">
        <f t="shared" si="74"/>
        <v>胸甲</v>
      </c>
      <c r="E1081" s="1">
        <f>INDEX([1]游戏类型定义!$C$20:$C$29,MATCH(D1081,[1]!装备部位,0))</f>
        <v>4</v>
      </c>
      <c r="F1081" s="1">
        <v>4</v>
      </c>
      <c r="G1081" s="1">
        <f t="shared" si="75"/>
        <v>15</v>
      </c>
      <c r="H1081" s="10">
        <v>0</v>
      </c>
      <c r="I1081" s="1">
        <v>18000</v>
      </c>
      <c r="J1081" s="1">
        <v>50</v>
      </c>
      <c r="K1081" s="1">
        <v>500</v>
      </c>
      <c r="L1081" s="1">
        <v>12500</v>
      </c>
      <c r="M1081" s="1" t="s">
        <v>1857</v>
      </c>
      <c r="N1081" s="1" t="s">
        <v>1419</v>
      </c>
      <c r="O1081" s="1">
        <v>0</v>
      </c>
      <c r="P1081" s="1" t="s">
        <v>2073</v>
      </c>
      <c r="Q1081" s="7" t="s">
        <v>2063</v>
      </c>
    </row>
    <row r="1082" spans="1:17" ht="14.25" thickBot="1">
      <c r="A1082" s="1" t="s">
        <v>1170</v>
      </c>
      <c r="B1082" s="3">
        <v>1</v>
      </c>
      <c r="C1082" s="1" t="s">
        <v>2178</v>
      </c>
      <c r="D1082" s="1" t="str">
        <f t="shared" si="74"/>
        <v>护腿</v>
      </c>
      <c r="E1082" s="1">
        <f>INDEX([1]游戏类型定义!$C$20:$C$29,MATCH(D1082,[1]!装备部位,0))</f>
        <v>7</v>
      </c>
      <c r="F1082" s="1">
        <v>4</v>
      </c>
      <c r="G1082" s="1">
        <f t="shared" si="75"/>
        <v>15</v>
      </c>
      <c r="H1082" s="10">
        <v>0</v>
      </c>
      <c r="I1082" s="1">
        <v>15000</v>
      </c>
      <c r="J1082" s="1">
        <v>50</v>
      </c>
      <c r="K1082" s="1">
        <v>500</v>
      </c>
      <c r="L1082" s="1">
        <v>10000</v>
      </c>
      <c r="M1082" s="1" t="s">
        <v>1856</v>
      </c>
      <c r="N1082" s="1" t="s">
        <v>1419</v>
      </c>
      <c r="O1082" s="1">
        <v>0</v>
      </c>
      <c r="P1082" s="1" t="s">
        <v>2073</v>
      </c>
      <c r="Q1082" s="7" t="s">
        <v>2352</v>
      </c>
    </row>
    <row r="1083" spans="1:17" ht="14.25" thickBot="1">
      <c r="A1083" s="1" t="s">
        <v>1171</v>
      </c>
      <c r="B1083" s="2">
        <v>0</v>
      </c>
      <c r="C1083" s="1" t="s">
        <v>2038</v>
      </c>
      <c r="D1083" s="1" t="str">
        <f t="shared" si="74"/>
        <v>护腿</v>
      </c>
      <c r="E1083" s="1">
        <f>INDEX([1]游戏类型定义!$C$20:$C$29,MATCH(D1083,[1]!装备部位,0))</f>
        <v>7</v>
      </c>
      <c r="F1083" s="1">
        <v>4</v>
      </c>
      <c r="G1083" s="1">
        <f t="shared" si="75"/>
        <v>15</v>
      </c>
      <c r="H1083" s="10">
        <v>0</v>
      </c>
      <c r="I1083" s="1">
        <v>18000</v>
      </c>
      <c r="J1083" s="1">
        <v>50</v>
      </c>
      <c r="K1083" s="1">
        <v>500</v>
      </c>
      <c r="L1083" s="1">
        <v>12500</v>
      </c>
      <c r="M1083" s="1" t="s">
        <v>1858</v>
      </c>
      <c r="N1083" s="1" t="s">
        <v>1419</v>
      </c>
      <c r="O1083" s="1">
        <v>0</v>
      </c>
      <c r="P1083" s="1" t="s">
        <v>2073</v>
      </c>
      <c r="Q1083" s="7" t="s">
        <v>2064</v>
      </c>
    </row>
    <row r="1084" spans="1:17" ht="14.25" thickBot="1">
      <c r="A1084" s="1" t="s">
        <v>1172</v>
      </c>
      <c r="B1084" s="3">
        <v>1</v>
      </c>
      <c r="C1084" s="1" t="s">
        <v>2103</v>
      </c>
      <c r="D1084" s="1" t="str">
        <f t="shared" si="74"/>
        <v>头盔</v>
      </c>
      <c r="E1084" s="1">
        <f>INDEX([1]游戏类型定义!$C$20:$C$29,MATCH(D1084,[1]!装备部位,0))</f>
        <v>1</v>
      </c>
      <c r="F1084" s="1">
        <v>4</v>
      </c>
      <c r="G1084" s="1">
        <f t="shared" si="75"/>
        <v>20</v>
      </c>
      <c r="H1084" s="10">
        <v>0</v>
      </c>
      <c r="I1084" s="1">
        <v>20000</v>
      </c>
      <c r="J1084" s="1">
        <v>50</v>
      </c>
      <c r="K1084" s="1">
        <v>500</v>
      </c>
      <c r="L1084" s="1">
        <v>12500</v>
      </c>
      <c r="M1084" s="1" t="s">
        <v>1859</v>
      </c>
      <c r="N1084" s="1" t="s">
        <v>1420</v>
      </c>
      <c r="O1084" s="1">
        <v>0</v>
      </c>
      <c r="P1084" s="1" t="s">
        <v>2074</v>
      </c>
      <c r="Q1084" s="7" t="s">
        <v>2367</v>
      </c>
    </row>
    <row r="1085" spans="1:17" ht="14.25" thickBot="1">
      <c r="A1085" s="1" t="s">
        <v>1173</v>
      </c>
      <c r="B1085" s="3">
        <v>1</v>
      </c>
      <c r="C1085" s="1" t="s">
        <v>2109</v>
      </c>
      <c r="D1085" s="1" t="str">
        <f t="shared" si="74"/>
        <v>戒指</v>
      </c>
      <c r="E1085" s="1">
        <f>INDEX([1]游戏类型定义!$C$20:$C$29,MATCH(D1085,[1]!装备部位,0))</f>
        <v>2</v>
      </c>
      <c r="F1085" s="1">
        <v>4</v>
      </c>
      <c r="G1085" s="1">
        <f t="shared" si="75"/>
        <v>20</v>
      </c>
      <c r="H1085" s="10">
        <v>0</v>
      </c>
      <c r="I1085" s="1">
        <v>20000</v>
      </c>
      <c r="J1085" s="1">
        <v>50</v>
      </c>
      <c r="K1085" s="1">
        <v>500</v>
      </c>
      <c r="L1085" s="1">
        <v>12500</v>
      </c>
      <c r="M1085" s="1" t="s">
        <v>1840</v>
      </c>
      <c r="N1085" s="1" t="s">
        <v>1420</v>
      </c>
      <c r="O1085" s="1">
        <v>0</v>
      </c>
      <c r="P1085" s="1" t="s">
        <v>2074</v>
      </c>
      <c r="Q1085" s="7" t="s">
        <v>2368</v>
      </c>
    </row>
    <row r="1086" spans="1:17" ht="14.25" thickBot="1">
      <c r="A1086" s="1" t="s">
        <v>1174</v>
      </c>
      <c r="B1086" s="3">
        <v>1</v>
      </c>
      <c r="C1086" s="1" t="s">
        <v>2089</v>
      </c>
      <c r="D1086" s="1" t="str">
        <f t="shared" si="74"/>
        <v>腰带</v>
      </c>
      <c r="E1086" s="1">
        <f>INDEX([1]游戏类型定义!$C$20:$C$29,MATCH(D1086,[1]!装备部位,0))</f>
        <v>3</v>
      </c>
      <c r="F1086" s="1">
        <v>4</v>
      </c>
      <c r="G1086" s="1">
        <f t="shared" si="75"/>
        <v>20</v>
      </c>
      <c r="H1086" s="10">
        <v>0</v>
      </c>
      <c r="I1086" s="1">
        <v>20000</v>
      </c>
      <c r="J1086" s="1">
        <v>50</v>
      </c>
      <c r="K1086" s="1">
        <v>500</v>
      </c>
      <c r="L1086" s="1">
        <v>12500</v>
      </c>
      <c r="M1086" s="1" t="s">
        <v>1860</v>
      </c>
      <c r="N1086" s="1" t="s">
        <v>1420</v>
      </c>
      <c r="O1086" s="1">
        <v>0</v>
      </c>
      <c r="P1086" s="1" t="s">
        <v>2074</v>
      </c>
      <c r="Q1086" s="7" t="s">
        <v>2369</v>
      </c>
    </row>
    <row r="1087" spans="1:17" ht="14.25" thickBot="1">
      <c r="A1087" s="1" t="s">
        <v>1175</v>
      </c>
      <c r="B1087" s="2">
        <v>0</v>
      </c>
      <c r="C1087" s="1" t="s">
        <v>2036</v>
      </c>
      <c r="D1087" s="1" t="str">
        <f t="shared" si="74"/>
        <v>鞋子</v>
      </c>
      <c r="E1087" s="1">
        <f>INDEX([1]游戏类型定义!$C$20:$C$29,MATCH(D1087,[1]!装备部位,0))</f>
        <v>8</v>
      </c>
      <c r="F1087" s="1">
        <v>4</v>
      </c>
      <c r="G1087" s="1">
        <f t="shared" si="75"/>
        <v>20</v>
      </c>
      <c r="H1087" s="10">
        <v>0</v>
      </c>
      <c r="I1087" s="1">
        <v>20000</v>
      </c>
      <c r="J1087" s="1">
        <v>50</v>
      </c>
      <c r="K1087" s="1">
        <v>500</v>
      </c>
      <c r="L1087" s="1">
        <v>12500</v>
      </c>
      <c r="M1087" s="1" t="s">
        <v>1861</v>
      </c>
      <c r="N1087" s="1" t="s">
        <v>1420</v>
      </c>
      <c r="O1087" s="1">
        <v>0</v>
      </c>
      <c r="P1087" s="1" t="s">
        <v>2074</v>
      </c>
      <c r="Q1087" s="7" t="s">
        <v>2054</v>
      </c>
    </row>
    <row r="1088" spans="1:17" ht="14.25" thickBot="1">
      <c r="A1088" s="1" t="s">
        <v>1176</v>
      </c>
      <c r="B1088" s="3">
        <v>1</v>
      </c>
      <c r="C1088" s="1" t="s">
        <v>2134</v>
      </c>
      <c r="D1088" s="1" t="str">
        <f t="shared" si="74"/>
        <v>手套</v>
      </c>
      <c r="E1088" s="1">
        <f>INDEX([1]游戏类型定义!$C$20:$C$29,MATCH(D1088,[1]!装备部位,0))</f>
        <v>9</v>
      </c>
      <c r="F1088" s="1">
        <v>4</v>
      </c>
      <c r="G1088" s="1">
        <f t="shared" si="75"/>
        <v>20</v>
      </c>
      <c r="H1088" s="10">
        <v>0</v>
      </c>
      <c r="I1088" s="1">
        <v>20000</v>
      </c>
      <c r="J1088" s="1">
        <v>50</v>
      </c>
      <c r="K1088" s="1">
        <v>500</v>
      </c>
      <c r="L1088" s="1">
        <v>12500</v>
      </c>
      <c r="M1088" s="1" t="s">
        <v>1862</v>
      </c>
      <c r="N1088" s="1" t="s">
        <v>1420</v>
      </c>
      <c r="O1088" s="1">
        <v>0</v>
      </c>
      <c r="P1088" s="1" t="s">
        <v>2074</v>
      </c>
      <c r="Q1088" s="7" t="s">
        <v>2370</v>
      </c>
    </row>
    <row r="1089" spans="1:17" ht="14.25" thickBot="1">
      <c r="A1089" s="1" t="s">
        <v>1177</v>
      </c>
      <c r="B1089" s="3">
        <v>1</v>
      </c>
      <c r="C1089" s="1" t="s">
        <v>2147</v>
      </c>
      <c r="D1089" s="1" t="str">
        <f t="shared" si="74"/>
        <v>项链</v>
      </c>
      <c r="E1089" s="1">
        <f>INDEX([1]游戏类型定义!$C$20:$C$29,MATCH(D1089,[1]!装备部位,0))</f>
        <v>10</v>
      </c>
      <c r="F1089" s="1">
        <v>4</v>
      </c>
      <c r="G1089" s="1">
        <f t="shared" si="75"/>
        <v>20</v>
      </c>
      <c r="H1089" s="10">
        <v>0</v>
      </c>
      <c r="I1089" s="1">
        <v>20000</v>
      </c>
      <c r="J1089" s="1">
        <v>50</v>
      </c>
      <c r="K1089" s="1">
        <v>500</v>
      </c>
      <c r="L1089" s="1">
        <v>12500</v>
      </c>
      <c r="M1089" s="1" t="s">
        <v>1863</v>
      </c>
      <c r="N1089" s="1" t="s">
        <v>1420</v>
      </c>
      <c r="O1089" s="1">
        <v>0</v>
      </c>
      <c r="P1089" s="1" t="s">
        <v>2074</v>
      </c>
      <c r="Q1089" s="7" t="s">
        <v>2371</v>
      </c>
    </row>
    <row r="1090" spans="1:17" ht="14.25" thickBot="1">
      <c r="A1090" s="1" t="s">
        <v>1178</v>
      </c>
      <c r="B1090" s="3">
        <v>1</v>
      </c>
      <c r="C1090" s="9" t="s">
        <v>2222</v>
      </c>
      <c r="D1090" s="1" t="str">
        <f t="shared" si="74"/>
        <v>主手武器</v>
      </c>
      <c r="E1090" s="1">
        <f>INDEX([1]游戏类型定义!$C$20:$C$29,MATCH(D1090,[1]!装备部位,0))</f>
        <v>5</v>
      </c>
      <c r="F1090" s="1">
        <v>4</v>
      </c>
      <c r="G1090" s="1">
        <f t="shared" si="75"/>
        <v>20</v>
      </c>
      <c r="H1090" s="10" t="s">
        <v>2320</v>
      </c>
      <c r="I1090" s="1">
        <v>20000</v>
      </c>
      <c r="J1090" s="1">
        <v>50</v>
      </c>
      <c r="K1090" s="1">
        <v>500</v>
      </c>
      <c r="L1090" s="1">
        <v>12500</v>
      </c>
      <c r="M1090" s="1" t="s">
        <v>2018</v>
      </c>
      <c r="N1090" s="1" t="s">
        <v>1421</v>
      </c>
      <c r="O1090" s="1">
        <v>0</v>
      </c>
      <c r="P1090" s="1" t="s">
        <v>2074</v>
      </c>
      <c r="Q1090" s="7" t="s">
        <v>2372</v>
      </c>
    </row>
    <row r="1091" spans="1:17" ht="14.25" thickBot="1">
      <c r="A1091" s="1" t="s">
        <v>1179</v>
      </c>
      <c r="B1091" s="2">
        <v>0</v>
      </c>
      <c r="C1091" s="9" t="s">
        <v>2046</v>
      </c>
      <c r="D1091" s="1" t="str">
        <f t="shared" si="74"/>
        <v>主手武器</v>
      </c>
      <c r="E1091" s="1">
        <f>INDEX([1]游戏类型定义!$C$20:$C$29,MATCH(D1091,[1]!装备部位,0))</f>
        <v>5</v>
      </c>
      <c r="F1091" s="1">
        <v>4</v>
      </c>
      <c r="G1091" s="1">
        <f t="shared" si="75"/>
        <v>20</v>
      </c>
      <c r="H1091" s="10" t="s">
        <v>2320</v>
      </c>
      <c r="I1091" s="1">
        <v>23000</v>
      </c>
      <c r="J1091" s="1">
        <v>50</v>
      </c>
      <c r="K1091" s="1">
        <v>500</v>
      </c>
      <c r="L1091" s="1">
        <v>15000</v>
      </c>
      <c r="M1091" s="1" t="s">
        <v>2019</v>
      </c>
      <c r="N1091" s="1" t="s">
        <v>1421</v>
      </c>
      <c r="O1091" s="1">
        <v>0</v>
      </c>
      <c r="P1091" s="1" t="s">
        <v>2074</v>
      </c>
      <c r="Q1091" s="7" t="s">
        <v>2057</v>
      </c>
    </row>
    <row r="1092" spans="1:17" ht="14.25" thickBot="1">
      <c r="A1092" s="1" t="s">
        <v>1180</v>
      </c>
      <c r="B1092" s="3">
        <v>1</v>
      </c>
      <c r="C1092" s="9" t="s">
        <v>2200</v>
      </c>
      <c r="D1092" s="1" t="str">
        <f t="shared" si="74"/>
        <v>副手武器</v>
      </c>
      <c r="E1092" s="1">
        <f>INDEX([1]游戏类型定义!$C$20:$C$29,MATCH(D1092,[1]!装备部位,0))</f>
        <v>6</v>
      </c>
      <c r="F1092" s="1">
        <v>4</v>
      </c>
      <c r="G1092" s="1">
        <f t="shared" si="75"/>
        <v>20</v>
      </c>
      <c r="H1092" s="10" t="s">
        <v>2320</v>
      </c>
      <c r="I1092" s="1">
        <v>20000</v>
      </c>
      <c r="J1092" s="1">
        <v>50</v>
      </c>
      <c r="K1092" s="1">
        <v>500</v>
      </c>
      <c r="L1092" s="1">
        <v>12500</v>
      </c>
      <c r="M1092" s="1" t="s">
        <v>1864</v>
      </c>
      <c r="N1092" s="1" t="s">
        <v>1421</v>
      </c>
      <c r="O1092" s="1">
        <v>0</v>
      </c>
      <c r="P1092" s="1" t="s">
        <v>2074</v>
      </c>
      <c r="Q1092" s="7" t="s">
        <v>2373</v>
      </c>
    </row>
    <row r="1093" spans="1:17" ht="14.25" thickBot="1">
      <c r="A1093" s="1" t="s">
        <v>1181</v>
      </c>
      <c r="B1093" s="2">
        <v>0</v>
      </c>
      <c r="C1093" s="9" t="s">
        <v>2044</v>
      </c>
      <c r="D1093" s="1" t="str">
        <f t="shared" si="74"/>
        <v>副手武器</v>
      </c>
      <c r="E1093" s="1">
        <f>INDEX([1]游戏类型定义!$C$20:$C$29,MATCH(D1093,[1]!装备部位,0))</f>
        <v>6</v>
      </c>
      <c r="F1093" s="1">
        <v>4</v>
      </c>
      <c r="G1093" s="1">
        <f t="shared" si="75"/>
        <v>20</v>
      </c>
      <c r="H1093" s="10" t="s">
        <v>2320</v>
      </c>
      <c r="I1093" s="1">
        <v>23000</v>
      </c>
      <c r="J1093" s="1">
        <v>50</v>
      </c>
      <c r="K1093" s="1">
        <v>500</v>
      </c>
      <c r="L1093" s="1">
        <v>15000</v>
      </c>
      <c r="M1093" s="1" t="s">
        <v>1865</v>
      </c>
      <c r="N1093" s="1" t="s">
        <v>1421</v>
      </c>
      <c r="O1093" s="1">
        <v>0</v>
      </c>
      <c r="P1093" s="1" t="s">
        <v>2074</v>
      </c>
      <c r="Q1093" s="7" t="s">
        <v>2058</v>
      </c>
    </row>
    <row r="1094" spans="1:17" ht="14.25" thickBot="1">
      <c r="A1094" s="1" t="s">
        <v>1182</v>
      </c>
      <c r="B1094" s="3">
        <v>1</v>
      </c>
      <c r="C1094" s="1" t="s">
        <v>2223</v>
      </c>
      <c r="D1094" s="1" t="str">
        <f t="shared" si="74"/>
        <v>主手武器</v>
      </c>
      <c r="E1094" s="1">
        <f>INDEX([1]游戏类型定义!$C$20:$C$29,MATCH(D1094,[1]!装备部位,0))</f>
        <v>5</v>
      </c>
      <c r="F1094" s="1">
        <v>4</v>
      </c>
      <c r="G1094" s="1">
        <f t="shared" si="75"/>
        <v>20</v>
      </c>
      <c r="H1094" s="10" t="s">
        <v>2321</v>
      </c>
      <c r="I1094" s="1">
        <v>20000</v>
      </c>
      <c r="J1094" s="1">
        <v>50</v>
      </c>
      <c r="K1094" s="1">
        <v>500</v>
      </c>
      <c r="L1094" s="1">
        <v>12500</v>
      </c>
      <c r="M1094" s="1" t="s">
        <v>2018</v>
      </c>
      <c r="N1094" s="1" t="s">
        <v>1421</v>
      </c>
      <c r="O1094" s="1">
        <v>0</v>
      </c>
      <c r="P1094" s="1" t="s">
        <v>2074</v>
      </c>
      <c r="Q1094" s="7" t="s">
        <v>2374</v>
      </c>
    </row>
    <row r="1095" spans="1:17" ht="14.25" thickBot="1">
      <c r="A1095" s="1" t="s">
        <v>1183</v>
      </c>
      <c r="B1095" s="2">
        <v>0</v>
      </c>
      <c r="C1095" s="1" t="s">
        <v>2040</v>
      </c>
      <c r="D1095" s="1" t="str">
        <f t="shared" si="74"/>
        <v>主手武器</v>
      </c>
      <c r="E1095" s="1">
        <f>INDEX([1]游戏类型定义!$C$20:$C$29,MATCH(D1095,[1]!装备部位,0))</f>
        <v>5</v>
      </c>
      <c r="F1095" s="1">
        <v>4</v>
      </c>
      <c r="G1095" s="1">
        <f t="shared" si="75"/>
        <v>20</v>
      </c>
      <c r="H1095" s="10" t="s">
        <v>2321</v>
      </c>
      <c r="I1095" s="1">
        <v>23000</v>
      </c>
      <c r="J1095" s="1">
        <v>50</v>
      </c>
      <c r="K1095" s="1">
        <v>500</v>
      </c>
      <c r="L1095" s="1">
        <v>15000</v>
      </c>
      <c r="M1095" s="1" t="s">
        <v>2019</v>
      </c>
      <c r="N1095" s="1" t="s">
        <v>1421</v>
      </c>
      <c r="O1095" s="1">
        <v>0</v>
      </c>
      <c r="P1095" s="1" t="s">
        <v>2074</v>
      </c>
      <c r="Q1095" s="7" t="s">
        <v>2059</v>
      </c>
    </row>
    <row r="1096" spans="1:17" ht="14.25" thickBot="1">
      <c r="A1096" s="1" t="s">
        <v>1184</v>
      </c>
      <c r="B1096" s="3">
        <v>1</v>
      </c>
      <c r="C1096" s="9" t="s">
        <v>2224</v>
      </c>
      <c r="D1096" s="1" t="str">
        <f t="shared" ref="D1096:D1115" si="76">D766</f>
        <v>副手武器</v>
      </c>
      <c r="E1096" s="1">
        <f>INDEX([1]游戏类型定义!$C$20:$C$29,MATCH(D1096,[1]!装备部位,0))</f>
        <v>6</v>
      </c>
      <c r="F1096" s="1">
        <v>4</v>
      </c>
      <c r="G1096" s="1">
        <f t="shared" ref="G1096:G1115" si="77">G766</f>
        <v>20</v>
      </c>
      <c r="H1096" s="10" t="s">
        <v>2321</v>
      </c>
      <c r="I1096" s="1">
        <v>20000</v>
      </c>
      <c r="J1096" s="1">
        <v>50</v>
      </c>
      <c r="K1096" s="1">
        <v>500</v>
      </c>
      <c r="L1096" s="1">
        <v>12500</v>
      </c>
      <c r="M1096" s="1" t="s">
        <v>1866</v>
      </c>
      <c r="N1096" s="1" t="s">
        <v>1421</v>
      </c>
      <c r="O1096" s="1">
        <v>0</v>
      </c>
      <c r="P1096" s="1" t="s">
        <v>2074</v>
      </c>
      <c r="Q1096" s="7" t="s">
        <v>2375</v>
      </c>
    </row>
    <row r="1097" spans="1:17" ht="14.25" thickBot="1">
      <c r="A1097" s="1" t="s">
        <v>1185</v>
      </c>
      <c r="B1097" s="2">
        <v>0</v>
      </c>
      <c r="C1097" s="9" t="s">
        <v>2042</v>
      </c>
      <c r="D1097" s="1" t="str">
        <f t="shared" si="76"/>
        <v>副手武器</v>
      </c>
      <c r="E1097" s="1">
        <f>INDEX([1]游戏类型定义!$C$20:$C$29,MATCH(D1097,[1]!装备部位,0))</f>
        <v>6</v>
      </c>
      <c r="F1097" s="1">
        <v>4</v>
      </c>
      <c r="G1097" s="1">
        <f t="shared" si="77"/>
        <v>20</v>
      </c>
      <c r="H1097" s="10" t="s">
        <v>2321</v>
      </c>
      <c r="I1097" s="1">
        <v>23000</v>
      </c>
      <c r="J1097" s="1">
        <v>50</v>
      </c>
      <c r="K1097" s="1">
        <v>500</v>
      </c>
      <c r="L1097" s="1">
        <v>15000</v>
      </c>
      <c r="M1097" s="1" t="s">
        <v>1867</v>
      </c>
      <c r="N1097" s="1" t="s">
        <v>1421</v>
      </c>
      <c r="O1097" s="1">
        <v>0</v>
      </c>
      <c r="P1097" s="1" t="s">
        <v>2074</v>
      </c>
      <c r="Q1097" s="7" t="s">
        <v>2060</v>
      </c>
    </row>
    <row r="1098" spans="1:17" ht="14.25" thickBot="1">
      <c r="A1098" s="1" t="s">
        <v>1186</v>
      </c>
      <c r="B1098" s="3">
        <v>1</v>
      </c>
      <c r="C1098" s="9" t="s">
        <v>2225</v>
      </c>
      <c r="D1098" s="1" t="str">
        <f t="shared" si="76"/>
        <v>主手武器</v>
      </c>
      <c r="E1098" s="1">
        <f>INDEX([1]游戏类型定义!$C$20:$C$29,MATCH(D1098,[1]!装备部位,0))</f>
        <v>5</v>
      </c>
      <c r="F1098" s="1">
        <v>4</v>
      </c>
      <c r="G1098" s="1">
        <f t="shared" si="77"/>
        <v>20</v>
      </c>
      <c r="H1098" s="10" t="s">
        <v>2322</v>
      </c>
      <c r="I1098" s="1">
        <v>20000</v>
      </c>
      <c r="J1098" s="1">
        <v>50</v>
      </c>
      <c r="K1098" s="1">
        <v>500</v>
      </c>
      <c r="L1098" s="1">
        <v>12500</v>
      </c>
      <c r="M1098" s="1" t="s">
        <v>2018</v>
      </c>
      <c r="N1098" s="1" t="s">
        <v>1421</v>
      </c>
      <c r="O1098" s="1">
        <v>0</v>
      </c>
      <c r="P1098" s="1" t="s">
        <v>2074</v>
      </c>
      <c r="Q1098" s="7" t="s">
        <v>2376</v>
      </c>
    </row>
    <row r="1099" spans="1:17" ht="14.25" thickBot="1">
      <c r="A1099" s="1" t="s">
        <v>1187</v>
      </c>
      <c r="B1099" s="3">
        <v>1</v>
      </c>
      <c r="C1099" s="9" t="s">
        <v>2226</v>
      </c>
      <c r="D1099" s="1" t="str">
        <f t="shared" si="76"/>
        <v>主手武器</v>
      </c>
      <c r="E1099" s="1">
        <f>INDEX([1]游戏类型定义!$C$20:$C$29,MATCH(D1099,[1]!装备部位,0))</f>
        <v>5</v>
      </c>
      <c r="F1099" s="1">
        <v>4</v>
      </c>
      <c r="G1099" s="1">
        <f t="shared" si="77"/>
        <v>20</v>
      </c>
      <c r="H1099" s="10" t="s">
        <v>2322</v>
      </c>
      <c r="I1099" s="1">
        <v>23000</v>
      </c>
      <c r="J1099" s="1">
        <v>50</v>
      </c>
      <c r="K1099" s="1">
        <v>500</v>
      </c>
      <c r="L1099" s="1">
        <v>15000</v>
      </c>
      <c r="M1099" s="1" t="s">
        <v>2019</v>
      </c>
      <c r="N1099" s="1" t="s">
        <v>1421</v>
      </c>
      <c r="O1099" s="1">
        <v>0</v>
      </c>
      <c r="P1099" s="1" t="s">
        <v>2074</v>
      </c>
      <c r="Q1099" s="7" t="s">
        <v>2377</v>
      </c>
    </row>
    <row r="1100" spans="1:17" ht="14.25" thickBot="1">
      <c r="A1100" s="1" t="s">
        <v>1188</v>
      </c>
      <c r="B1100" s="3">
        <v>1</v>
      </c>
      <c r="C1100" s="9" t="s">
        <v>2227</v>
      </c>
      <c r="D1100" s="1" t="str">
        <f t="shared" si="76"/>
        <v>副手武器</v>
      </c>
      <c r="E1100" s="1">
        <f>INDEX([1]游戏类型定义!$C$20:$C$29,MATCH(D1100,[1]!装备部位,0))</f>
        <v>6</v>
      </c>
      <c r="F1100" s="1">
        <v>4</v>
      </c>
      <c r="G1100" s="1">
        <f t="shared" si="77"/>
        <v>20</v>
      </c>
      <c r="H1100" s="10" t="s">
        <v>2322</v>
      </c>
      <c r="I1100" s="1">
        <v>20000</v>
      </c>
      <c r="J1100" s="1">
        <v>50</v>
      </c>
      <c r="K1100" s="1">
        <v>500</v>
      </c>
      <c r="L1100" s="1">
        <v>12500</v>
      </c>
      <c r="M1100" s="1" t="s">
        <v>1868</v>
      </c>
      <c r="N1100" s="1" t="s">
        <v>1421</v>
      </c>
      <c r="O1100" s="1">
        <v>0</v>
      </c>
      <c r="P1100" s="1" t="s">
        <v>2074</v>
      </c>
      <c r="Q1100" s="7" t="s">
        <v>2378</v>
      </c>
    </row>
    <row r="1101" spans="1:17" ht="14.25" thickBot="1">
      <c r="A1101" s="1" t="s">
        <v>1189</v>
      </c>
      <c r="B1101" s="2">
        <v>0</v>
      </c>
      <c r="C1101" s="9" t="s">
        <v>2050</v>
      </c>
      <c r="D1101" s="1" t="str">
        <f t="shared" si="76"/>
        <v>副手武器</v>
      </c>
      <c r="E1101" s="1">
        <f>INDEX([1]游戏类型定义!$C$20:$C$29,MATCH(D1101,[1]!装备部位,0))</f>
        <v>6</v>
      </c>
      <c r="F1101" s="1">
        <v>4</v>
      </c>
      <c r="G1101" s="1">
        <f t="shared" si="77"/>
        <v>20</v>
      </c>
      <c r="H1101" s="10" t="s">
        <v>2322</v>
      </c>
      <c r="I1101" s="1">
        <v>23000</v>
      </c>
      <c r="J1101" s="1">
        <v>50</v>
      </c>
      <c r="K1101" s="1">
        <v>500</v>
      </c>
      <c r="L1101" s="1">
        <v>15000</v>
      </c>
      <c r="M1101" s="1" t="s">
        <v>1869</v>
      </c>
      <c r="N1101" s="1" t="s">
        <v>1421</v>
      </c>
      <c r="O1101" s="1">
        <v>0</v>
      </c>
      <c r="P1101" s="1" t="s">
        <v>2074</v>
      </c>
      <c r="Q1101" s="7" t="s">
        <v>2062</v>
      </c>
    </row>
    <row r="1102" spans="1:17" ht="14.25" thickBot="1">
      <c r="A1102" s="1" t="s">
        <v>1190</v>
      </c>
      <c r="B1102" s="3">
        <v>1</v>
      </c>
      <c r="C1102" s="1" t="s">
        <v>2161</v>
      </c>
      <c r="D1102" s="1" t="str">
        <f t="shared" si="76"/>
        <v>胸甲</v>
      </c>
      <c r="E1102" s="1">
        <f>INDEX([1]游戏类型定义!$C$20:$C$29,MATCH(D1102,[1]!装备部位,0))</f>
        <v>4</v>
      </c>
      <c r="F1102" s="1">
        <v>4</v>
      </c>
      <c r="G1102" s="1">
        <f t="shared" si="77"/>
        <v>20</v>
      </c>
      <c r="H1102" s="10">
        <v>0</v>
      </c>
      <c r="I1102" s="1">
        <v>20000</v>
      </c>
      <c r="J1102" s="1">
        <v>50</v>
      </c>
      <c r="K1102" s="1">
        <v>500</v>
      </c>
      <c r="L1102" s="1">
        <v>12500</v>
      </c>
      <c r="M1102" s="1" t="s">
        <v>1870</v>
      </c>
      <c r="N1102" s="1" t="s">
        <v>1420</v>
      </c>
      <c r="O1102" s="1">
        <v>0</v>
      </c>
      <c r="P1102" s="1" t="s">
        <v>2074</v>
      </c>
      <c r="Q1102" s="7" t="s">
        <v>2379</v>
      </c>
    </row>
    <row r="1103" spans="1:17" ht="14.25" thickBot="1">
      <c r="A1103" s="1" t="s">
        <v>1191</v>
      </c>
      <c r="B1103" s="3">
        <v>1</v>
      </c>
      <c r="C1103" s="1" t="s">
        <v>2162</v>
      </c>
      <c r="D1103" s="1" t="str">
        <f t="shared" si="76"/>
        <v>胸甲</v>
      </c>
      <c r="E1103" s="1">
        <f>INDEX([1]游戏类型定义!$C$20:$C$29,MATCH(D1103,[1]!装备部位,0))</f>
        <v>4</v>
      </c>
      <c r="F1103" s="1">
        <v>4</v>
      </c>
      <c r="G1103" s="1">
        <f t="shared" si="77"/>
        <v>20</v>
      </c>
      <c r="H1103" s="10">
        <v>0</v>
      </c>
      <c r="I1103" s="1">
        <v>23000</v>
      </c>
      <c r="J1103" s="1">
        <v>50</v>
      </c>
      <c r="K1103" s="1">
        <v>500</v>
      </c>
      <c r="L1103" s="1">
        <v>15000</v>
      </c>
      <c r="M1103" s="1" t="s">
        <v>1871</v>
      </c>
      <c r="N1103" s="1" t="s">
        <v>1420</v>
      </c>
      <c r="O1103" s="1">
        <v>0</v>
      </c>
      <c r="P1103" s="1" t="s">
        <v>2074</v>
      </c>
      <c r="Q1103" s="7" t="s">
        <v>2380</v>
      </c>
    </row>
    <row r="1104" spans="1:17" ht="14.25" thickBot="1">
      <c r="A1104" s="1" t="s">
        <v>1192</v>
      </c>
      <c r="B1104" s="3">
        <v>1</v>
      </c>
      <c r="C1104" s="1" t="s">
        <v>2179</v>
      </c>
      <c r="D1104" s="1" t="str">
        <f t="shared" si="76"/>
        <v>护腿</v>
      </c>
      <c r="E1104" s="1">
        <f>INDEX([1]游戏类型定义!$C$20:$C$29,MATCH(D1104,[1]!装备部位,0))</f>
        <v>7</v>
      </c>
      <c r="F1104" s="1">
        <v>4</v>
      </c>
      <c r="G1104" s="1">
        <f t="shared" si="77"/>
        <v>20</v>
      </c>
      <c r="H1104" s="10">
        <v>0</v>
      </c>
      <c r="I1104" s="1">
        <v>20000</v>
      </c>
      <c r="J1104" s="1">
        <v>50</v>
      </c>
      <c r="K1104" s="1">
        <v>500</v>
      </c>
      <c r="L1104" s="1">
        <v>12500</v>
      </c>
      <c r="M1104" s="1" t="s">
        <v>1872</v>
      </c>
      <c r="N1104" s="1" t="s">
        <v>1420</v>
      </c>
      <c r="O1104" s="1">
        <v>0</v>
      </c>
      <c r="P1104" s="1" t="s">
        <v>2074</v>
      </c>
      <c r="Q1104" s="7" t="s">
        <v>2381</v>
      </c>
    </row>
    <row r="1105" spans="1:17" ht="14.25" thickBot="1">
      <c r="A1105" s="1" t="s">
        <v>1193</v>
      </c>
      <c r="B1105" s="3">
        <v>1</v>
      </c>
      <c r="C1105" s="1" t="s">
        <v>2180</v>
      </c>
      <c r="D1105" s="1" t="str">
        <f t="shared" si="76"/>
        <v>护腿</v>
      </c>
      <c r="E1105" s="1">
        <f>INDEX([1]游戏类型定义!$C$20:$C$29,MATCH(D1105,[1]!装备部位,0))</f>
        <v>7</v>
      </c>
      <c r="F1105" s="1">
        <v>4</v>
      </c>
      <c r="G1105" s="1">
        <f t="shared" si="77"/>
        <v>20</v>
      </c>
      <c r="H1105" s="10">
        <v>0</v>
      </c>
      <c r="I1105" s="1">
        <v>23000</v>
      </c>
      <c r="J1105" s="1">
        <v>50</v>
      </c>
      <c r="K1105" s="1">
        <v>500</v>
      </c>
      <c r="L1105" s="1">
        <v>15000</v>
      </c>
      <c r="M1105" s="1" t="s">
        <v>1873</v>
      </c>
      <c r="N1105" s="1" t="s">
        <v>1420</v>
      </c>
      <c r="O1105" s="1">
        <v>0</v>
      </c>
      <c r="P1105" s="1" t="s">
        <v>2074</v>
      </c>
      <c r="Q1105" s="7" t="s">
        <v>2382</v>
      </c>
    </row>
    <row r="1106" spans="1:17" ht="14.25" thickBot="1">
      <c r="A1106" s="1" t="s">
        <v>1194</v>
      </c>
      <c r="B1106" s="3">
        <v>1</v>
      </c>
      <c r="C1106" s="1" t="s">
        <v>2098</v>
      </c>
      <c r="D1106" s="1" t="str">
        <f t="shared" si="76"/>
        <v>头盔</v>
      </c>
      <c r="E1106" s="1">
        <f>INDEX([1]游戏类型定义!$C$20:$C$29,MATCH(D1106,[1]!装备部位,0))</f>
        <v>1</v>
      </c>
      <c r="F1106" s="1">
        <v>4</v>
      </c>
      <c r="G1106" s="1">
        <f t="shared" si="77"/>
        <v>25</v>
      </c>
      <c r="H1106" s="10">
        <v>0</v>
      </c>
      <c r="I1106" s="1">
        <v>25000</v>
      </c>
      <c r="J1106" s="1">
        <v>50</v>
      </c>
      <c r="K1106" s="1">
        <v>500</v>
      </c>
      <c r="L1106" s="1">
        <v>15000</v>
      </c>
      <c r="M1106" s="1" t="s">
        <v>1874</v>
      </c>
      <c r="N1106" s="1" t="s">
        <v>1422</v>
      </c>
      <c r="O1106" s="1">
        <v>0</v>
      </c>
      <c r="P1106" s="1" t="s">
        <v>2075</v>
      </c>
      <c r="Q1106" s="7" t="s">
        <v>2383</v>
      </c>
    </row>
    <row r="1107" spans="1:17" ht="14.25" thickBot="1">
      <c r="A1107" s="1" t="s">
        <v>1195</v>
      </c>
      <c r="B1107" s="3">
        <v>1</v>
      </c>
      <c r="C1107" s="1" t="s">
        <v>2112</v>
      </c>
      <c r="D1107" s="1" t="str">
        <f t="shared" si="76"/>
        <v>戒指</v>
      </c>
      <c r="E1107" s="1">
        <f>INDEX([1]游戏类型定义!$C$20:$C$29,MATCH(D1107,[1]!装备部位,0))</f>
        <v>2</v>
      </c>
      <c r="F1107" s="1">
        <v>4</v>
      </c>
      <c r="G1107" s="1">
        <f t="shared" si="77"/>
        <v>25</v>
      </c>
      <c r="H1107" s="10">
        <v>0</v>
      </c>
      <c r="I1107" s="1">
        <v>25000</v>
      </c>
      <c r="J1107" s="1">
        <v>50</v>
      </c>
      <c r="K1107" s="1">
        <v>500</v>
      </c>
      <c r="L1107" s="1">
        <v>15000</v>
      </c>
      <c r="M1107" s="1" t="s">
        <v>1875</v>
      </c>
      <c r="N1107" s="1" t="s">
        <v>1422</v>
      </c>
      <c r="O1107" s="1">
        <v>0</v>
      </c>
      <c r="P1107" s="1" t="s">
        <v>2075</v>
      </c>
      <c r="Q1107" s="7" t="s">
        <v>2384</v>
      </c>
    </row>
    <row r="1108" spans="1:17" ht="14.25" thickBot="1">
      <c r="A1108" s="1" t="s">
        <v>1196</v>
      </c>
      <c r="B1108" s="3">
        <v>1</v>
      </c>
      <c r="C1108" s="1" t="s">
        <v>2090</v>
      </c>
      <c r="D1108" s="1" t="str">
        <f t="shared" si="76"/>
        <v>腰带</v>
      </c>
      <c r="E1108" s="1">
        <f>INDEX([1]游戏类型定义!$C$20:$C$29,MATCH(D1108,[1]!装备部位,0))</f>
        <v>3</v>
      </c>
      <c r="F1108" s="1">
        <v>4</v>
      </c>
      <c r="G1108" s="1">
        <f t="shared" si="77"/>
        <v>25</v>
      </c>
      <c r="H1108" s="10">
        <v>0</v>
      </c>
      <c r="I1108" s="1">
        <v>25000</v>
      </c>
      <c r="J1108" s="1">
        <v>50</v>
      </c>
      <c r="K1108" s="1">
        <v>500</v>
      </c>
      <c r="L1108" s="1">
        <v>15000</v>
      </c>
      <c r="M1108" s="1" t="s">
        <v>1876</v>
      </c>
      <c r="N1108" s="1" t="s">
        <v>1422</v>
      </c>
      <c r="O1108" s="1">
        <v>0</v>
      </c>
      <c r="P1108" s="1" t="s">
        <v>2075</v>
      </c>
      <c r="Q1108" s="7" t="s">
        <v>2385</v>
      </c>
    </row>
    <row r="1109" spans="1:17" ht="14.25" thickBot="1">
      <c r="A1109" s="1" t="s">
        <v>1197</v>
      </c>
      <c r="B1109" s="3">
        <v>1</v>
      </c>
      <c r="C1109" s="1" t="s">
        <v>2122</v>
      </c>
      <c r="D1109" s="1" t="str">
        <f t="shared" si="76"/>
        <v>鞋子</v>
      </c>
      <c r="E1109" s="1">
        <f>INDEX([1]游戏类型定义!$C$20:$C$29,MATCH(D1109,[1]!装备部位,0))</f>
        <v>8</v>
      </c>
      <c r="F1109" s="1">
        <v>4</v>
      </c>
      <c r="G1109" s="1">
        <f t="shared" si="77"/>
        <v>25</v>
      </c>
      <c r="H1109" s="10">
        <v>0</v>
      </c>
      <c r="I1109" s="1">
        <v>25000</v>
      </c>
      <c r="J1109" s="1">
        <v>50</v>
      </c>
      <c r="K1109" s="1">
        <v>500</v>
      </c>
      <c r="L1109" s="1">
        <v>15000</v>
      </c>
      <c r="M1109" s="1" t="s">
        <v>1861</v>
      </c>
      <c r="N1109" s="1" t="s">
        <v>1422</v>
      </c>
      <c r="O1109" s="1">
        <v>0</v>
      </c>
      <c r="P1109" s="1" t="s">
        <v>2075</v>
      </c>
      <c r="Q1109" s="7" t="s">
        <v>2386</v>
      </c>
    </row>
    <row r="1110" spans="1:17" ht="14.25" thickBot="1">
      <c r="A1110" s="1" t="s">
        <v>1198</v>
      </c>
      <c r="B1110" s="2">
        <v>0</v>
      </c>
      <c r="C1110" s="1" t="s">
        <v>2035</v>
      </c>
      <c r="D1110" s="1" t="str">
        <f t="shared" si="76"/>
        <v>手套</v>
      </c>
      <c r="E1110" s="1">
        <f>INDEX([1]游戏类型定义!$C$20:$C$29,MATCH(D1110,[1]!装备部位,0))</f>
        <v>9</v>
      </c>
      <c r="F1110" s="1">
        <v>4</v>
      </c>
      <c r="G1110" s="1">
        <f t="shared" si="77"/>
        <v>25</v>
      </c>
      <c r="H1110" s="10">
        <v>0</v>
      </c>
      <c r="I1110" s="1">
        <v>25000</v>
      </c>
      <c r="J1110" s="1">
        <v>50</v>
      </c>
      <c r="K1110" s="1">
        <v>500</v>
      </c>
      <c r="L1110" s="1">
        <v>15000</v>
      </c>
      <c r="M1110" s="1" t="s">
        <v>1877</v>
      </c>
      <c r="N1110" s="1" t="s">
        <v>1422</v>
      </c>
      <c r="O1110" s="1">
        <v>0</v>
      </c>
      <c r="P1110" s="1" t="s">
        <v>2075</v>
      </c>
      <c r="Q1110" s="7" t="s">
        <v>2055</v>
      </c>
    </row>
    <row r="1111" spans="1:17" ht="14.25" thickBot="1">
      <c r="A1111" s="1" t="s">
        <v>1199</v>
      </c>
      <c r="B1111" s="3">
        <v>1</v>
      </c>
      <c r="C1111" s="1" t="s">
        <v>2148</v>
      </c>
      <c r="D1111" s="1" t="str">
        <f t="shared" si="76"/>
        <v>项链</v>
      </c>
      <c r="E1111" s="1">
        <f>INDEX([1]游戏类型定义!$C$20:$C$29,MATCH(D1111,[1]!装备部位,0))</f>
        <v>10</v>
      </c>
      <c r="F1111" s="1">
        <v>4</v>
      </c>
      <c r="G1111" s="1">
        <f t="shared" si="77"/>
        <v>25</v>
      </c>
      <c r="H1111" s="10">
        <v>0</v>
      </c>
      <c r="I1111" s="1">
        <v>25000</v>
      </c>
      <c r="J1111" s="1">
        <v>50</v>
      </c>
      <c r="K1111" s="1">
        <v>500</v>
      </c>
      <c r="L1111" s="1">
        <v>15000</v>
      </c>
      <c r="M1111" s="1" t="s">
        <v>1878</v>
      </c>
      <c r="N1111" s="1" t="s">
        <v>1422</v>
      </c>
      <c r="O1111" s="1">
        <v>0</v>
      </c>
      <c r="P1111" s="1" t="s">
        <v>2075</v>
      </c>
      <c r="Q1111" s="7" t="s">
        <v>2387</v>
      </c>
    </row>
    <row r="1112" spans="1:17" ht="14.25" thickBot="1">
      <c r="A1112" s="1" t="s">
        <v>1200</v>
      </c>
      <c r="B1112" s="3">
        <v>1</v>
      </c>
      <c r="C1112" s="9" t="s">
        <v>2312</v>
      </c>
      <c r="D1112" s="1" t="str">
        <f t="shared" si="76"/>
        <v>主手武器</v>
      </c>
      <c r="E1112" s="1">
        <f>INDEX([1]游戏类型定义!$C$20:$C$29,MATCH(D1112,[1]!装备部位,0))</f>
        <v>5</v>
      </c>
      <c r="F1112" s="1">
        <v>4</v>
      </c>
      <c r="G1112" s="1">
        <f t="shared" si="77"/>
        <v>25</v>
      </c>
      <c r="H1112" s="10" t="s">
        <v>2320</v>
      </c>
      <c r="I1112" s="1">
        <v>25000</v>
      </c>
      <c r="J1112" s="1">
        <v>50</v>
      </c>
      <c r="K1112" s="1">
        <v>500</v>
      </c>
      <c r="L1112" s="1">
        <v>15000</v>
      </c>
      <c r="M1112" s="1" t="s">
        <v>1879</v>
      </c>
      <c r="N1112" s="1" t="s">
        <v>1423</v>
      </c>
      <c r="O1112" s="1">
        <v>0</v>
      </c>
      <c r="P1112" s="1" t="s">
        <v>2075</v>
      </c>
      <c r="Q1112" s="7" t="s">
        <v>2388</v>
      </c>
    </row>
    <row r="1113" spans="1:17" ht="14.25" thickBot="1">
      <c r="A1113" s="1" t="s">
        <v>1201</v>
      </c>
      <c r="B1113" s="3">
        <v>1</v>
      </c>
      <c r="C1113" s="9" t="s">
        <v>2228</v>
      </c>
      <c r="D1113" s="1" t="str">
        <f t="shared" si="76"/>
        <v>主手武器</v>
      </c>
      <c r="E1113" s="1">
        <f>INDEX([1]游戏类型定义!$C$20:$C$29,MATCH(D1113,[1]!装备部位,0))</f>
        <v>5</v>
      </c>
      <c r="F1113" s="1">
        <v>4</v>
      </c>
      <c r="G1113" s="1">
        <f t="shared" si="77"/>
        <v>25</v>
      </c>
      <c r="H1113" s="10" t="s">
        <v>2320</v>
      </c>
      <c r="I1113" s="1">
        <v>28000</v>
      </c>
      <c r="J1113" s="1">
        <v>50</v>
      </c>
      <c r="K1113" s="1">
        <v>500</v>
      </c>
      <c r="L1113" s="1">
        <v>17500</v>
      </c>
      <c r="M1113" s="1" t="s">
        <v>2020</v>
      </c>
      <c r="N1113" s="1" t="s">
        <v>1423</v>
      </c>
      <c r="O1113" s="1">
        <v>0</v>
      </c>
      <c r="P1113" s="1" t="s">
        <v>2075</v>
      </c>
      <c r="Q1113" s="7" t="s">
        <v>2389</v>
      </c>
    </row>
    <row r="1114" spans="1:17" ht="14.25" thickBot="1">
      <c r="A1114" s="1" t="s">
        <v>1202</v>
      </c>
      <c r="B1114" s="3">
        <v>1</v>
      </c>
      <c r="C1114" s="9" t="s">
        <v>2229</v>
      </c>
      <c r="D1114" s="1" t="str">
        <f t="shared" si="76"/>
        <v>副手武器</v>
      </c>
      <c r="E1114" s="1">
        <f>INDEX([1]游戏类型定义!$C$20:$C$29,MATCH(D1114,[1]!装备部位,0))</f>
        <v>6</v>
      </c>
      <c r="F1114" s="1">
        <v>4</v>
      </c>
      <c r="G1114" s="1">
        <f t="shared" si="77"/>
        <v>25</v>
      </c>
      <c r="H1114" s="10" t="s">
        <v>2320</v>
      </c>
      <c r="I1114" s="1">
        <v>25000</v>
      </c>
      <c r="J1114" s="1">
        <v>50</v>
      </c>
      <c r="K1114" s="1">
        <v>500</v>
      </c>
      <c r="L1114" s="1">
        <v>15000</v>
      </c>
      <c r="M1114" s="1" t="s">
        <v>1880</v>
      </c>
      <c r="N1114" s="1" t="s">
        <v>1423</v>
      </c>
      <c r="O1114" s="1">
        <v>0</v>
      </c>
      <c r="P1114" s="1" t="s">
        <v>2075</v>
      </c>
      <c r="Q1114" s="7" t="s">
        <v>2390</v>
      </c>
    </row>
    <row r="1115" spans="1:17" ht="14.25" thickBot="1">
      <c r="A1115" s="1" t="s">
        <v>1203</v>
      </c>
      <c r="B1115" s="2">
        <v>0</v>
      </c>
      <c r="C1115" s="9" t="s">
        <v>2044</v>
      </c>
      <c r="D1115" s="1" t="str">
        <f t="shared" si="76"/>
        <v>副手武器</v>
      </c>
      <c r="E1115" s="1">
        <f>INDEX([1]游戏类型定义!$C$20:$C$29,MATCH(D1115,[1]!装备部位,0))</f>
        <v>6</v>
      </c>
      <c r="F1115" s="1">
        <v>4</v>
      </c>
      <c r="G1115" s="1">
        <f t="shared" si="77"/>
        <v>25</v>
      </c>
      <c r="H1115" s="10" t="s">
        <v>2320</v>
      </c>
      <c r="I1115" s="1">
        <v>28000</v>
      </c>
      <c r="J1115" s="1">
        <v>50</v>
      </c>
      <c r="K1115" s="1">
        <v>500</v>
      </c>
      <c r="L1115" s="1">
        <v>17500</v>
      </c>
      <c r="M1115" s="1" t="s">
        <v>1881</v>
      </c>
      <c r="N1115" s="1" t="s">
        <v>1423</v>
      </c>
      <c r="O1115" s="1">
        <v>0</v>
      </c>
      <c r="P1115" s="1" t="s">
        <v>2075</v>
      </c>
      <c r="Q1115" s="7" t="s">
        <v>2058</v>
      </c>
    </row>
    <row r="1116" spans="1:17" ht="14.25" thickBot="1">
      <c r="A1116" s="1" t="s">
        <v>1204</v>
      </c>
      <c r="B1116" s="3">
        <v>1</v>
      </c>
      <c r="C1116" s="1" t="s">
        <v>2230</v>
      </c>
      <c r="D1116" s="1" t="str">
        <f t="shared" ref="D1116:D1135" si="78">D786</f>
        <v>主手武器</v>
      </c>
      <c r="E1116" s="1">
        <f>INDEX([1]游戏类型定义!$C$20:$C$29,MATCH(D1116,[1]!装备部位,0))</f>
        <v>5</v>
      </c>
      <c r="F1116" s="1">
        <v>4</v>
      </c>
      <c r="G1116" s="1">
        <f t="shared" ref="G1116:G1135" si="79">G786</f>
        <v>25</v>
      </c>
      <c r="H1116" s="10" t="s">
        <v>2321</v>
      </c>
      <c r="I1116" s="1">
        <v>25000</v>
      </c>
      <c r="J1116" s="1">
        <v>50</v>
      </c>
      <c r="K1116" s="1">
        <v>500</v>
      </c>
      <c r="L1116" s="1">
        <v>15000</v>
      </c>
      <c r="M1116" s="1" t="s">
        <v>1879</v>
      </c>
      <c r="N1116" s="1" t="s">
        <v>1423</v>
      </c>
      <c r="O1116" s="1">
        <v>0</v>
      </c>
      <c r="P1116" s="1" t="s">
        <v>2075</v>
      </c>
      <c r="Q1116" s="7" t="s">
        <v>2391</v>
      </c>
    </row>
    <row r="1117" spans="1:17" ht="14.25" thickBot="1">
      <c r="A1117" s="1" t="s">
        <v>1205</v>
      </c>
      <c r="B1117" s="3">
        <v>1</v>
      </c>
      <c r="C1117" s="1" t="s">
        <v>2311</v>
      </c>
      <c r="D1117" s="1" t="str">
        <f t="shared" si="78"/>
        <v>主手武器</v>
      </c>
      <c r="E1117" s="1">
        <f>INDEX([1]游戏类型定义!$C$20:$C$29,MATCH(D1117,[1]!装备部位,0))</f>
        <v>5</v>
      </c>
      <c r="F1117" s="1">
        <v>4</v>
      </c>
      <c r="G1117" s="1">
        <f t="shared" si="79"/>
        <v>25</v>
      </c>
      <c r="H1117" s="10" t="s">
        <v>2321</v>
      </c>
      <c r="I1117" s="1">
        <v>28000</v>
      </c>
      <c r="J1117" s="1">
        <v>50</v>
      </c>
      <c r="K1117" s="1">
        <v>500</v>
      </c>
      <c r="L1117" s="1">
        <v>17500</v>
      </c>
      <c r="M1117" s="1" t="s">
        <v>2020</v>
      </c>
      <c r="N1117" s="1" t="s">
        <v>1423</v>
      </c>
      <c r="O1117" s="1">
        <v>0</v>
      </c>
      <c r="P1117" s="1" t="s">
        <v>2075</v>
      </c>
      <c r="Q1117" s="7" t="s">
        <v>2392</v>
      </c>
    </row>
    <row r="1118" spans="1:17" ht="14.25" thickBot="1">
      <c r="A1118" s="1" t="s">
        <v>1206</v>
      </c>
      <c r="B1118" s="3">
        <v>1</v>
      </c>
      <c r="C1118" s="9" t="s">
        <v>2231</v>
      </c>
      <c r="D1118" s="1" t="str">
        <f t="shared" si="78"/>
        <v>副手武器</v>
      </c>
      <c r="E1118" s="1">
        <f>INDEX([1]游戏类型定义!$C$20:$C$29,MATCH(D1118,[1]!装备部位,0))</f>
        <v>6</v>
      </c>
      <c r="F1118" s="1">
        <v>4</v>
      </c>
      <c r="G1118" s="1">
        <f t="shared" si="79"/>
        <v>25</v>
      </c>
      <c r="H1118" s="10" t="s">
        <v>2321</v>
      </c>
      <c r="I1118" s="1">
        <v>25000</v>
      </c>
      <c r="J1118" s="1">
        <v>50</v>
      </c>
      <c r="K1118" s="1">
        <v>500</v>
      </c>
      <c r="L1118" s="1">
        <v>15000</v>
      </c>
      <c r="M1118" s="1" t="s">
        <v>1882</v>
      </c>
      <c r="N1118" s="1" t="s">
        <v>1423</v>
      </c>
      <c r="O1118" s="1">
        <v>0</v>
      </c>
      <c r="P1118" s="1" t="s">
        <v>2075</v>
      </c>
      <c r="Q1118" s="7" t="s">
        <v>2393</v>
      </c>
    </row>
    <row r="1119" spans="1:17" ht="14.25" thickBot="1">
      <c r="A1119" s="1" t="s">
        <v>1207</v>
      </c>
      <c r="B1119" s="2">
        <v>0</v>
      </c>
      <c r="C1119" s="9" t="s">
        <v>2042</v>
      </c>
      <c r="D1119" s="1" t="str">
        <f t="shared" si="78"/>
        <v>副手武器</v>
      </c>
      <c r="E1119" s="1">
        <f>INDEX([1]游戏类型定义!$C$20:$C$29,MATCH(D1119,[1]!装备部位,0))</f>
        <v>6</v>
      </c>
      <c r="F1119" s="1">
        <v>4</v>
      </c>
      <c r="G1119" s="1">
        <f t="shared" si="79"/>
        <v>25</v>
      </c>
      <c r="H1119" s="10" t="s">
        <v>2321</v>
      </c>
      <c r="I1119" s="1">
        <v>28000</v>
      </c>
      <c r="J1119" s="1">
        <v>50</v>
      </c>
      <c r="K1119" s="1">
        <v>500</v>
      </c>
      <c r="L1119" s="1">
        <v>17500</v>
      </c>
      <c r="M1119" s="1" t="s">
        <v>1883</v>
      </c>
      <c r="N1119" s="1" t="s">
        <v>1423</v>
      </c>
      <c r="O1119" s="1">
        <v>0</v>
      </c>
      <c r="P1119" s="1" t="s">
        <v>2075</v>
      </c>
      <c r="Q1119" s="7" t="s">
        <v>2060</v>
      </c>
    </row>
    <row r="1120" spans="1:17" ht="14.25" thickBot="1">
      <c r="A1120" s="1" t="s">
        <v>1208</v>
      </c>
      <c r="B1120" s="3">
        <v>1</v>
      </c>
      <c r="C1120" s="9" t="s">
        <v>2233</v>
      </c>
      <c r="D1120" s="1" t="str">
        <f t="shared" si="78"/>
        <v>主手武器</v>
      </c>
      <c r="E1120" s="1">
        <f>INDEX([1]游戏类型定义!$C$20:$C$29,MATCH(D1120,[1]!装备部位,0))</f>
        <v>5</v>
      </c>
      <c r="F1120" s="1">
        <v>4</v>
      </c>
      <c r="G1120" s="1">
        <f t="shared" si="79"/>
        <v>25</v>
      </c>
      <c r="H1120" s="10" t="s">
        <v>2322</v>
      </c>
      <c r="I1120" s="1">
        <v>25000</v>
      </c>
      <c r="J1120" s="1">
        <v>50</v>
      </c>
      <c r="K1120" s="1">
        <v>500</v>
      </c>
      <c r="L1120" s="1">
        <v>15000</v>
      </c>
      <c r="M1120" s="1" t="s">
        <v>1879</v>
      </c>
      <c r="N1120" s="1" t="s">
        <v>1423</v>
      </c>
      <c r="O1120" s="1">
        <v>0</v>
      </c>
      <c r="P1120" s="1" t="s">
        <v>2075</v>
      </c>
      <c r="Q1120" s="7" t="s">
        <v>2394</v>
      </c>
    </row>
    <row r="1121" spans="1:17" ht="14.25" thickBot="1">
      <c r="A1121" s="1" t="s">
        <v>1209</v>
      </c>
      <c r="B1121" s="2">
        <v>0</v>
      </c>
      <c r="C1121" s="9" t="s">
        <v>2232</v>
      </c>
      <c r="D1121" s="1" t="str">
        <f t="shared" si="78"/>
        <v>主手武器</v>
      </c>
      <c r="E1121" s="1">
        <f>INDEX([1]游戏类型定义!$C$20:$C$29,MATCH(D1121,[1]!装备部位,0))</f>
        <v>5</v>
      </c>
      <c r="F1121" s="1">
        <v>4</v>
      </c>
      <c r="G1121" s="1">
        <f t="shared" si="79"/>
        <v>25</v>
      </c>
      <c r="H1121" s="10" t="s">
        <v>2322</v>
      </c>
      <c r="I1121" s="1">
        <v>28000</v>
      </c>
      <c r="J1121" s="1">
        <v>50</v>
      </c>
      <c r="K1121" s="1">
        <v>500</v>
      </c>
      <c r="L1121" s="1">
        <v>17500</v>
      </c>
      <c r="M1121" s="1" t="s">
        <v>2020</v>
      </c>
      <c r="N1121" s="1" t="s">
        <v>1423</v>
      </c>
      <c r="O1121" s="1">
        <v>0</v>
      </c>
      <c r="P1121" s="1" t="s">
        <v>2075</v>
      </c>
      <c r="Q1121" s="7" t="s">
        <v>2395</v>
      </c>
    </row>
    <row r="1122" spans="1:17" ht="14.25" thickBot="1">
      <c r="A1122" s="1" t="s">
        <v>1210</v>
      </c>
      <c r="B1122" s="3">
        <v>1</v>
      </c>
      <c r="C1122" s="9" t="s">
        <v>2234</v>
      </c>
      <c r="D1122" s="1" t="str">
        <f t="shared" si="78"/>
        <v>副手武器</v>
      </c>
      <c r="E1122" s="1">
        <f>INDEX([1]游戏类型定义!$C$20:$C$29,MATCH(D1122,[1]!装备部位,0))</f>
        <v>6</v>
      </c>
      <c r="F1122" s="1">
        <v>4</v>
      </c>
      <c r="G1122" s="1">
        <f t="shared" si="79"/>
        <v>25</v>
      </c>
      <c r="H1122" s="10" t="s">
        <v>2322</v>
      </c>
      <c r="I1122" s="1">
        <v>25000</v>
      </c>
      <c r="J1122" s="1">
        <v>50</v>
      </c>
      <c r="K1122" s="1">
        <v>500</v>
      </c>
      <c r="L1122" s="1">
        <v>15000</v>
      </c>
      <c r="M1122" s="1" t="s">
        <v>1884</v>
      </c>
      <c r="N1122" s="1" t="s">
        <v>1423</v>
      </c>
      <c r="O1122" s="1">
        <v>0</v>
      </c>
      <c r="P1122" s="1" t="s">
        <v>2075</v>
      </c>
      <c r="Q1122" s="7" t="s">
        <v>2396</v>
      </c>
    </row>
    <row r="1123" spans="1:17" ht="14.25" thickBot="1">
      <c r="A1123" s="1" t="s">
        <v>1211</v>
      </c>
      <c r="B1123" s="2">
        <v>0</v>
      </c>
      <c r="C1123" s="9" t="s">
        <v>2050</v>
      </c>
      <c r="D1123" s="1" t="str">
        <f t="shared" si="78"/>
        <v>副手武器</v>
      </c>
      <c r="E1123" s="1">
        <f>INDEX([1]游戏类型定义!$C$20:$C$29,MATCH(D1123,[1]!装备部位,0))</f>
        <v>6</v>
      </c>
      <c r="F1123" s="1">
        <v>4</v>
      </c>
      <c r="G1123" s="1">
        <f t="shared" si="79"/>
        <v>25</v>
      </c>
      <c r="H1123" s="10" t="s">
        <v>2322</v>
      </c>
      <c r="I1123" s="1">
        <v>28000</v>
      </c>
      <c r="J1123" s="1">
        <v>50</v>
      </c>
      <c r="K1123" s="1">
        <v>500</v>
      </c>
      <c r="L1123" s="1">
        <v>17500</v>
      </c>
      <c r="M1123" s="1" t="s">
        <v>1885</v>
      </c>
      <c r="N1123" s="1" t="s">
        <v>1423</v>
      </c>
      <c r="O1123" s="1">
        <v>0</v>
      </c>
      <c r="P1123" s="1" t="s">
        <v>2075</v>
      </c>
      <c r="Q1123" s="7" t="s">
        <v>2062</v>
      </c>
    </row>
    <row r="1124" spans="1:17" ht="14.25" thickBot="1">
      <c r="A1124" s="1" t="s">
        <v>1212</v>
      </c>
      <c r="B1124" s="3">
        <v>1</v>
      </c>
      <c r="C1124" s="1" t="s">
        <v>2163</v>
      </c>
      <c r="D1124" s="1" t="str">
        <f t="shared" si="78"/>
        <v>胸甲</v>
      </c>
      <c r="E1124" s="1">
        <f>INDEX([1]游戏类型定义!$C$20:$C$29,MATCH(D1124,[1]!装备部位,0))</f>
        <v>4</v>
      </c>
      <c r="F1124" s="1">
        <v>4</v>
      </c>
      <c r="G1124" s="1">
        <f t="shared" si="79"/>
        <v>25</v>
      </c>
      <c r="H1124" s="10">
        <v>0</v>
      </c>
      <c r="I1124" s="1">
        <v>25000</v>
      </c>
      <c r="J1124" s="1">
        <v>50</v>
      </c>
      <c r="K1124" s="1">
        <v>500</v>
      </c>
      <c r="L1124" s="1">
        <v>15000</v>
      </c>
      <c r="M1124" s="1" t="s">
        <v>1886</v>
      </c>
      <c r="N1124" s="1" t="s">
        <v>1422</v>
      </c>
      <c r="O1124" s="1">
        <v>0</v>
      </c>
      <c r="P1124" s="1" t="s">
        <v>2075</v>
      </c>
      <c r="Q1124" s="7" t="s">
        <v>2397</v>
      </c>
    </row>
    <row r="1125" spans="1:17" ht="14.25" thickBot="1">
      <c r="A1125" s="1" t="s">
        <v>1213</v>
      </c>
      <c r="B1125" s="2">
        <v>0</v>
      </c>
      <c r="C1125" s="1" t="s">
        <v>2030</v>
      </c>
      <c r="D1125" s="1" t="str">
        <f t="shared" si="78"/>
        <v>胸甲</v>
      </c>
      <c r="E1125" s="1">
        <f>INDEX([1]游戏类型定义!$C$20:$C$29,MATCH(D1125,[1]!装备部位,0))</f>
        <v>4</v>
      </c>
      <c r="F1125" s="1">
        <v>4</v>
      </c>
      <c r="G1125" s="1">
        <f t="shared" si="79"/>
        <v>25</v>
      </c>
      <c r="H1125" s="10">
        <v>0</v>
      </c>
      <c r="I1125" s="1">
        <v>28000</v>
      </c>
      <c r="J1125" s="1">
        <v>50</v>
      </c>
      <c r="K1125" s="1">
        <v>500</v>
      </c>
      <c r="L1125" s="1">
        <v>17500</v>
      </c>
      <c r="M1125" s="1" t="s">
        <v>1887</v>
      </c>
      <c r="N1125" s="1" t="s">
        <v>1422</v>
      </c>
      <c r="O1125" s="1">
        <v>0</v>
      </c>
      <c r="P1125" s="1" t="s">
        <v>2075</v>
      </c>
      <c r="Q1125" s="7" t="s">
        <v>2063</v>
      </c>
    </row>
    <row r="1126" spans="1:17" ht="14.25" thickBot="1">
      <c r="A1126" s="1" t="s">
        <v>1214</v>
      </c>
      <c r="B1126" s="3">
        <v>1</v>
      </c>
      <c r="C1126" s="1" t="s">
        <v>2181</v>
      </c>
      <c r="D1126" s="1" t="str">
        <f t="shared" si="78"/>
        <v>护腿</v>
      </c>
      <c r="E1126" s="1">
        <f>INDEX([1]游戏类型定义!$C$20:$C$29,MATCH(D1126,[1]!装备部位,0))</f>
        <v>7</v>
      </c>
      <c r="F1126" s="1">
        <v>4</v>
      </c>
      <c r="G1126" s="1">
        <f t="shared" si="79"/>
        <v>25</v>
      </c>
      <c r="H1126" s="10">
        <v>0</v>
      </c>
      <c r="I1126" s="1">
        <v>25000</v>
      </c>
      <c r="J1126" s="1">
        <v>50</v>
      </c>
      <c r="K1126" s="1">
        <v>500</v>
      </c>
      <c r="L1126" s="1">
        <v>15000</v>
      </c>
      <c r="M1126" s="1" t="s">
        <v>1888</v>
      </c>
      <c r="N1126" s="1" t="s">
        <v>1422</v>
      </c>
      <c r="O1126" s="1">
        <v>0</v>
      </c>
      <c r="P1126" s="1" t="s">
        <v>2075</v>
      </c>
      <c r="Q1126" s="7" t="s">
        <v>2398</v>
      </c>
    </row>
    <row r="1127" spans="1:17" ht="14.25" thickBot="1">
      <c r="A1127" s="1" t="s">
        <v>1215</v>
      </c>
      <c r="B1127" s="2">
        <v>0</v>
      </c>
      <c r="C1127" s="1" t="s">
        <v>2038</v>
      </c>
      <c r="D1127" s="1" t="str">
        <f t="shared" si="78"/>
        <v>护腿</v>
      </c>
      <c r="E1127" s="1">
        <f>INDEX([1]游戏类型定义!$C$20:$C$29,MATCH(D1127,[1]!装备部位,0))</f>
        <v>7</v>
      </c>
      <c r="F1127" s="1">
        <v>4</v>
      </c>
      <c r="G1127" s="1">
        <f t="shared" si="79"/>
        <v>25</v>
      </c>
      <c r="H1127" s="10">
        <v>0</v>
      </c>
      <c r="I1127" s="1">
        <v>28000</v>
      </c>
      <c r="J1127" s="1">
        <v>50</v>
      </c>
      <c r="K1127" s="1">
        <v>500</v>
      </c>
      <c r="L1127" s="1">
        <v>17500</v>
      </c>
      <c r="M1127" s="1" t="s">
        <v>1889</v>
      </c>
      <c r="N1127" s="1" t="s">
        <v>1422</v>
      </c>
      <c r="O1127" s="1">
        <v>0</v>
      </c>
      <c r="P1127" s="1" t="s">
        <v>2075</v>
      </c>
      <c r="Q1127" s="7" t="s">
        <v>2064</v>
      </c>
    </row>
    <row r="1128" spans="1:17" ht="14.25" thickBot="1">
      <c r="A1128" s="1" t="s">
        <v>1216</v>
      </c>
      <c r="B1128" s="3">
        <v>1</v>
      </c>
      <c r="C1128" s="1" t="s">
        <v>2099</v>
      </c>
      <c r="D1128" s="1" t="str">
        <f t="shared" si="78"/>
        <v>头盔</v>
      </c>
      <c r="E1128" s="1">
        <f>INDEX([1]游戏类型定义!$C$20:$C$29,MATCH(D1128,[1]!装备部位,0))</f>
        <v>1</v>
      </c>
      <c r="F1128" s="1">
        <v>4</v>
      </c>
      <c r="G1128" s="1">
        <f t="shared" si="79"/>
        <v>30</v>
      </c>
      <c r="H1128" s="10">
        <v>0</v>
      </c>
      <c r="I1128" s="1">
        <v>30000</v>
      </c>
      <c r="J1128" s="1">
        <v>50</v>
      </c>
      <c r="K1128" s="1">
        <v>500</v>
      </c>
      <c r="L1128" s="1">
        <v>17500</v>
      </c>
      <c r="M1128" s="1" t="s">
        <v>1890</v>
      </c>
      <c r="N1128" s="1" t="s">
        <v>1424</v>
      </c>
      <c r="O1128" s="1">
        <v>0</v>
      </c>
      <c r="P1128" s="1" t="s">
        <v>2076</v>
      </c>
      <c r="Q1128" s="7" t="s">
        <v>2399</v>
      </c>
    </row>
    <row r="1129" spans="1:17" ht="14.25" thickBot="1">
      <c r="A1129" s="1" t="s">
        <v>1217</v>
      </c>
      <c r="B1129" s="3">
        <v>1</v>
      </c>
      <c r="C1129" s="1" t="s">
        <v>2111</v>
      </c>
      <c r="D1129" s="1" t="str">
        <f t="shared" si="78"/>
        <v>戒指</v>
      </c>
      <c r="E1129" s="1">
        <f>INDEX([1]游戏类型定义!$C$20:$C$29,MATCH(D1129,[1]!装备部位,0))</f>
        <v>2</v>
      </c>
      <c r="F1129" s="1">
        <v>4</v>
      </c>
      <c r="G1129" s="1">
        <f t="shared" si="79"/>
        <v>30</v>
      </c>
      <c r="H1129" s="10">
        <v>0</v>
      </c>
      <c r="I1129" s="1">
        <v>30000</v>
      </c>
      <c r="J1129" s="1">
        <v>50</v>
      </c>
      <c r="K1129" s="1">
        <v>500</v>
      </c>
      <c r="L1129" s="1">
        <v>17500</v>
      </c>
      <c r="M1129" s="1" t="s">
        <v>1891</v>
      </c>
      <c r="N1129" s="1" t="s">
        <v>1424</v>
      </c>
      <c r="O1129" s="1">
        <v>0</v>
      </c>
      <c r="P1129" s="1" t="s">
        <v>2076</v>
      </c>
      <c r="Q1129" s="7" t="s">
        <v>2400</v>
      </c>
    </row>
    <row r="1130" spans="1:17" ht="14.25" thickBot="1">
      <c r="A1130" s="1" t="s">
        <v>1218</v>
      </c>
      <c r="B1130" s="2">
        <v>0</v>
      </c>
      <c r="C1130" s="1" t="s">
        <v>2094</v>
      </c>
      <c r="D1130" s="1" t="str">
        <f t="shared" si="78"/>
        <v>腰带</v>
      </c>
      <c r="E1130" s="1">
        <f>INDEX([1]游戏类型定义!$C$20:$C$29,MATCH(D1130,[1]!装备部位,0))</f>
        <v>3</v>
      </c>
      <c r="F1130" s="1">
        <v>4</v>
      </c>
      <c r="G1130" s="1">
        <f t="shared" si="79"/>
        <v>30</v>
      </c>
      <c r="H1130" s="10">
        <v>0</v>
      </c>
      <c r="I1130" s="1">
        <v>30000</v>
      </c>
      <c r="J1130" s="1">
        <v>50</v>
      </c>
      <c r="K1130" s="1">
        <v>500</v>
      </c>
      <c r="L1130" s="1">
        <v>17500</v>
      </c>
      <c r="M1130" s="1" t="s">
        <v>1876</v>
      </c>
      <c r="N1130" s="1" t="s">
        <v>1424</v>
      </c>
      <c r="O1130" s="1">
        <v>0</v>
      </c>
      <c r="P1130" s="1" t="s">
        <v>2076</v>
      </c>
      <c r="Q1130" s="7" t="s">
        <v>2053</v>
      </c>
    </row>
    <row r="1131" spans="1:17" ht="14.25" thickBot="1">
      <c r="A1131" s="1" t="s">
        <v>1219</v>
      </c>
      <c r="B1131" s="3">
        <v>1</v>
      </c>
      <c r="C1131" s="1" t="s">
        <v>2123</v>
      </c>
      <c r="D1131" s="1" t="str">
        <f t="shared" si="78"/>
        <v>鞋子</v>
      </c>
      <c r="E1131" s="1">
        <f>INDEX([1]游戏类型定义!$C$20:$C$29,MATCH(D1131,[1]!装备部位,0))</f>
        <v>8</v>
      </c>
      <c r="F1131" s="1">
        <v>4</v>
      </c>
      <c r="G1131" s="1">
        <f t="shared" si="79"/>
        <v>30</v>
      </c>
      <c r="H1131" s="10">
        <v>0</v>
      </c>
      <c r="I1131" s="1">
        <v>30000</v>
      </c>
      <c r="J1131" s="1">
        <v>50</v>
      </c>
      <c r="K1131" s="1">
        <v>500</v>
      </c>
      <c r="L1131" s="1">
        <v>17500</v>
      </c>
      <c r="M1131" s="1" t="s">
        <v>1892</v>
      </c>
      <c r="N1131" s="1" t="s">
        <v>1424</v>
      </c>
      <c r="O1131" s="1">
        <v>0</v>
      </c>
      <c r="P1131" s="1" t="s">
        <v>2076</v>
      </c>
      <c r="Q1131" s="7" t="s">
        <v>2401</v>
      </c>
    </row>
    <row r="1132" spans="1:17" ht="14.25" thickBot="1">
      <c r="A1132" s="1" t="s">
        <v>1220</v>
      </c>
      <c r="B1132" s="3">
        <v>1</v>
      </c>
      <c r="C1132" s="1" t="s">
        <v>2135</v>
      </c>
      <c r="D1132" s="1" t="str">
        <f t="shared" si="78"/>
        <v>手套</v>
      </c>
      <c r="E1132" s="1">
        <f>INDEX([1]游戏类型定义!$C$20:$C$29,MATCH(D1132,[1]!装备部位,0))</f>
        <v>9</v>
      </c>
      <c r="F1132" s="1">
        <v>4</v>
      </c>
      <c r="G1132" s="1">
        <f t="shared" si="79"/>
        <v>30</v>
      </c>
      <c r="H1132" s="10">
        <v>0</v>
      </c>
      <c r="I1132" s="1">
        <v>30000</v>
      </c>
      <c r="J1132" s="1">
        <v>50</v>
      </c>
      <c r="K1132" s="1">
        <v>500</v>
      </c>
      <c r="L1132" s="1">
        <v>17500</v>
      </c>
      <c r="M1132" s="1" t="s">
        <v>1893</v>
      </c>
      <c r="N1132" s="1" t="s">
        <v>1424</v>
      </c>
      <c r="O1132" s="1">
        <v>0</v>
      </c>
      <c r="P1132" s="1" t="s">
        <v>2076</v>
      </c>
      <c r="Q1132" s="7" t="s">
        <v>2402</v>
      </c>
    </row>
    <row r="1133" spans="1:17" ht="14.25" thickBot="1">
      <c r="A1133" s="1" t="s">
        <v>1221</v>
      </c>
      <c r="B1133" s="3">
        <v>1</v>
      </c>
      <c r="C1133" s="1" t="s">
        <v>2149</v>
      </c>
      <c r="D1133" s="1" t="str">
        <f t="shared" si="78"/>
        <v>项链</v>
      </c>
      <c r="E1133" s="1">
        <f>INDEX([1]游戏类型定义!$C$20:$C$29,MATCH(D1133,[1]!装备部位,0))</f>
        <v>10</v>
      </c>
      <c r="F1133" s="1">
        <v>4</v>
      </c>
      <c r="G1133" s="1">
        <f t="shared" si="79"/>
        <v>30</v>
      </c>
      <c r="H1133" s="10">
        <v>0</v>
      </c>
      <c r="I1133" s="1">
        <v>30000</v>
      </c>
      <c r="J1133" s="1">
        <v>50</v>
      </c>
      <c r="K1133" s="1">
        <v>500</v>
      </c>
      <c r="L1133" s="1">
        <v>17500</v>
      </c>
      <c r="M1133" s="1" t="s">
        <v>1894</v>
      </c>
      <c r="N1133" s="1" t="s">
        <v>1424</v>
      </c>
      <c r="O1133" s="1">
        <v>0</v>
      </c>
      <c r="P1133" s="1" t="s">
        <v>2076</v>
      </c>
      <c r="Q1133" s="7" t="s">
        <v>2403</v>
      </c>
    </row>
    <row r="1134" spans="1:17" ht="14.25" thickBot="1">
      <c r="A1134" s="1" t="s">
        <v>1222</v>
      </c>
      <c r="B1134" s="3">
        <v>1</v>
      </c>
      <c r="C1134" s="9" t="s">
        <v>2313</v>
      </c>
      <c r="D1134" s="1" t="str">
        <f t="shared" si="78"/>
        <v>主手武器</v>
      </c>
      <c r="E1134" s="1">
        <f>INDEX([1]游戏类型定义!$C$20:$C$29,MATCH(D1134,[1]!装备部位,0))</f>
        <v>5</v>
      </c>
      <c r="F1134" s="1">
        <v>4</v>
      </c>
      <c r="G1134" s="1">
        <f t="shared" si="79"/>
        <v>30</v>
      </c>
      <c r="H1134" s="10" t="s">
        <v>2320</v>
      </c>
      <c r="I1134" s="1">
        <v>30000</v>
      </c>
      <c r="J1134" s="1">
        <v>50</v>
      </c>
      <c r="K1134" s="1">
        <v>500</v>
      </c>
      <c r="L1134" s="1">
        <v>17500</v>
      </c>
      <c r="M1134" s="1" t="s">
        <v>1895</v>
      </c>
      <c r="N1134" s="1" t="s">
        <v>1425</v>
      </c>
      <c r="O1134" s="1">
        <v>0</v>
      </c>
      <c r="P1134" s="1" t="s">
        <v>2076</v>
      </c>
      <c r="Q1134" s="7" t="s">
        <v>2404</v>
      </c>
    </row>
    <row r="1135" spans="1:17" ht="14.25" thickBot="1">
      <c r="A1135" s="1" t="s">
        <v>1223</v>
      </c>
      <c r="B1135" s="3">
        <v>1</v>
      </c>
      <c r="C1135" s="9" t="s">
        <v>2235</v>
      </c>
      <c r="D1135" s="1" t="str">
        <f t="shared" si="78"/>
        <v>主手武器</v>
      </c>
      <c r="E1135" s="1">
        <f>INDEX([1]游戏类型定义!$C$20:$C$29,MATCH(D1135,[1]!装备部位,0))</f>
        <v>5</v>
      </c>
      <c r="F1135" s="1">
        <v>4</v>
      </c>
      <c r="G1135" s="1">
        <f t="shared" si="79"/>
        <v>30</v>
      </c>
      <c r="H1135" s="10" t="s">
        <v>2320</v>
      </c>
      <c r="I1135" s="1">
        <v>33000</v>
      </c>
      <c r="J1135" s="1">
        <v>50</v>
      </c>
      <c r="K1135" s="1">
        <v>500</v>
      </c>
      <c r="L1135" s="1">
        <v>20000</v>
      </c>
      <c r="M1135" s="1" t="s">
        <v>2021</v>
      </c>
      <c r="N1135" s="1" t="s">
        <v>1425</v>
      </c>
      <c r="O1135" s="1">
        <v>0</v>
      </c>
      <c r="P1135" s="1" t="s">
        <v>2076</v>
      </c>
      <c r="Q1135" s="7" t="s">
        <v>2405</v>
      </c>
    </row>
    <row r="1136" spans="1:17" ht="14.25" thickBot="1">
      <c r="A1136" s="1" t="s">
        <v>1224</v>
      </c>
      <c r="B1136" s="3">
        <v>1</v>
      </c>
      <c r="C1136" s="9" t="s">
        <v>2236</v>
      </c>
      <c r="D1136" s="1" t="str">
        <f t="shared" ref="D1136:D1155" si="80">D806</f>
        <v>副手武器</v>
      </c>
      <c r="E1136" s="1">
        <f>INDEX([1]游戏类型定义!$C$20:$C$29,MATCH(D1136,[1]!装备部位,0))</f>
        <v>6</v>
      </c>
      <c r="F1136" s="1">
        <v>4</v>
      </c>
      <c r="G1136" s="1">
        <f t="shared" ref="G1136:G1155" si="81">G806</f>
        <v>30</v>
      </c>
      <c r="H1136" s="10" t="s">
        <v>2320</v>
      </c>
      <c r="I1136" s="1">
        <v>30000</v>
      </c>
      <c r="J1136" s="1">
        <v>50</v>
      </c>
      <c r="K1136" s="1">
        <v>500</v>
      </c>
      <c r="L1136" s="1">
        <v>17500</v>
      </c>
      <c r="M1136" s="1" t="s">
        <v>1896</v>
      </c>
      <c r="N1136" s="1" t="s">
        <v>1425</v>
      </c>
      <c r="O1136" s="1">
        <v>0</v>
      </c>
      <c r="P1136" s="1" t="s">
        <v>2076</v>
      </c>
      <c r="Q1136" s="7" t="s">
        <v>2406</v>
      </c>
    </row>
    <row r="1137" spans="1:17" ht="14.25" thickBot="1">
      <c r="A1137" s="1" t="s">
        <v>1225</v>
      </c>
      <c r="B1137" s="2">
        <v>0</v>
      </c>
      <c r="C1137" s="9" t="s">
        <v>2237</v>
      </c>
      <c r="D1137" s="1" t="str">
        <f t="shared" si="80"/>
        <v>副手武器</v>
      </c>
      <c r="E1137" s="1">
        <f>INDEX([1]游戏类型定义!$C$20:$C$29,MATCH(D1137,[1]!装备部位,0))</f>
        <v>6</v>
      </c>
      <c r="F1137" s="1">
        <v>4</v>
      </c>
      <c r="G1137" s="1">
        <f t="shared" si="81"/>
        <v>30</v>
      </c>
      <c r="H1137" s="10" t="s">
        <v>2320</v>
      </c>
      <c r="I1137" s="1">
        <v>33000</v>
      </c>
      <c r="J1137" s="1">
        <v>50</v>
      </c>
      <c r="K1137" s="1">
        <v>500</v>
      </c>
      <c r="L1137" s="1">
        <v>20000</v>
      </c>
      <c r="M1137" s="1" t="s">
        <v>1897</v>
      </c>
      <c r="N1137" s="1" t="s">
        <v>1425</v>
      </c>
      <c r="O1137" s="1">
        <v>0</v>
      </c>
      <c r="P1137" s="1" t="s">
        <v>2076</v>
      </c>
      <c r="Q1137" s="7" t="s">
        <v>2407</v>
      </c>
    </row>
    <row r="1138" spans="1:17" ht="14.25" thickBot="1">
      <c r="A1138" s="1" t="s">
        <v>1226</v>
      </c>
      <c r="B1138" s="3">
        <v>1</v>
      </c>
      <c r="C1138" s="1" t="s">
        <v>2239</v>
      </c>
      <c r="D1138" s="1" t="str">
        <f t="shared" si="80"/>
        <v>主手武器</v>
      </c>
      <c r="E1138" s="1">
        <f>INDEX([1]游戏类型定义!$C$20:$C$29,MATCH(D1138,[1]!装备部位,0))</f>
        <v>5</v>
      </c>
      <c r="F1138" s="1">
        <v>4</v>
      </c>
      <c r="G1138" s="1">
        <f t="shared" si="81"/>
        <v>30</v>
      </c>
      <c r="H1138" s="10" t="s">
        <v>2321</v>
      </c>
      <c r="I1138" s="1">
        <v>30000</v>
      </c>
      <c r="J1138" s="1">
        <v>50</v>
      </c>
      <c r="K1138" s="1">
        <v>500</v>
      </c>
      <c r="L1138" s="1">
        <v>17500</v>
      </c>
      <c r="M1138" s="1" t="s">
        <v>1895</v>
      </c>
      <c r="N1138" s="1" t="s">
        <v>1425</v>
      </c>
      <c r="O1138" s="1">
        <v>0</v>
      </c>
      <c r="P1138" s="1" t="s">
        <v>2076</v>
      </c>
      <c r="Q1138" s="7" t="s">
        <v>2408</v>
      </c>
    </row>
    <row r="1139" spans="1:17" ht="14.25" thickBot="1">
      <c r="A1139" s="1" t="s">
        <v>1227</v>
      </c>
      <c r="B1139" s="3">
        <v>1</v>
      </c>
      <c r="C1139" s="1" t="s">
        <v>2238</v>
      </c>
      <c r="D1139" s="1" t="str">
        <f t="shared" si="80"/>
        <v>主手武器</v>
      </c>
      <c r="E1139" s="1">
        <f>INDEX([1]游戏类型定义!$C$20:$C$29,MATCH(D1139,[1]!装备部位,0))</f>
        <v>5</v>
      </c>
      <c r="F1139" s="1">
        <v>4</v>
      </c>
      <c r="G1139" s="1">
        <f t="shared" si="81"/>
        <v>30</v>
      </c>
      <c r="H1139" s="10" t="s">
        <v>2321</v>
      </c>
      <c r="I1139" s="1">
        <v>33000</v>
      </c>
      <c r="J1139" s="1">
        <v>50</v>
      </c>
      <c r="K1139" s="1">
        <v>500</v>
      </c>
      <c r="L1139" s="1">
        <v>20000</v>
      </c>
      <c r="M1139" s="1" t="s">
        <v>2021</v>
      </c>
      <c r="N1139" s="1" t="s">
        <v>1425</v>
      </c>
      <c r="O1139" s="1">
        <v>0</v>
      </c>
      <c r="P1139" s="1" t="s">
        <v>2076</v>
      </c>
      <c r="Q1139" s="7" t="s">
        <v>2409</v>
      </c>
    </row>
    <row r="1140" spans="1:17" ht="14.25" thickBot="1">
      <c r="A1140" s="1" t="s">
        <v>1228</v>
      </c>
      <c r="B1140" s="3">
        <v>1</v>
      </c>
      <c r="C1140" s="9" t="s">
        <v>2240</v>
      </c>
      <c r="D1140" s="1" t="str">
        <f t="shared" si="80"/>
        <v>副手武器</v>
      </c>
      <c r="E1140" s="1">
        <f>INDEX([1]游戏类型定义!$C$20:$C$29,MATCH(D1140,[1]!装备部位,0))</f>
        <v>6</v>
      </c>
      <c r="F1140" s="1">
        <v>4</v>
      </c>
      <c r="G1140" s="1">
        <f t="shared" si="81"/>
        <v>30</v>
      </c>
      <c r="H1140" s="10" t="s">
        <v>2321</v>
      </c>
      <c r="I1140" s="1">
        <v>30000</v>
      </c>
      <c r="J1140" s="1">
        <v>50</v>
      </c>
      <c r="K1140" s="1">
        <v>500</v>
      </c>
      <c r="L1140" s="1">
        <v>17500</v>
      </c>
      <c r="M1140" s="1" t="s">
        <v>1898</v>
      </c>
      <c r="N1140" s="1" t="s">
        <v>1425</v>
      </c>
      <c r="O1140" s="1">
        <v>0</v>
      </c>
      <c r="P1140" s="1" t="s">
        <v>2076</v>
      </c>
      <c r="Q1140" s="7" t="s">
        <v>2410</v>
      </c>
    </row>
    <row r="1141" spans="1:17" ht="14.25" thickBot="1">
      <c r="A1141" s="1" t="s">
        <v>1229</v>
      </c>
      <c r="B1141" s="2">
        <v>0</v>
      </c>
      <c r="C1141" s="9" t="s">
        <v>2241</v>
      </c>
      <c r="D1141" s="1" t="str">
        <f t="shared" si="80"/>
        <v>副手武器</v>
      </c>
      <c r="E1141" s="1">
        <f>INDEX([1]游戏类型定义!$C$20:$C$29,MATCH(D1141,[1]!装备部位,0))</f>
        <v>6</v>
      </c>
      <c r="F1141" s="1">
        <v>4</v>
      </c>
      <c r="G1141" s="1">
        <f t="shared" si="81"/>
        <v>30</v>
      </c>
      <c r="H1141" s="10" t="s">
        <v>2321</v>
      </c>
      <c r="I1141" s="1">
        <v>33000</v>
      </c>
      <c r="J1141" s="1">
        <v>50</v>
      </c>
      <c r="K1141" s="1">
        <v>500</v>
      </c>
      <c r="L1141" s="1">
        <v>20000</v>
      </c>
      <c r="M1141" s="1" t="s">
        <v>1899</v>
      </c>
      <c r="N1141" s="1" t="s">
        <v>1425</v>
      </c>
      <c r="O1141" s="1">
        <v>0</v>
      </c>
      <c r="P1141" s="1" t="s">
        <v>2076</v>
      </c>
      <c r="Q1141" s="7" t="s">
        <v>2411</v>
      </c>
    </row>
    <row r="1142" spans="1:17" ht="14.25" thickBot="1">
      <c r="A1142" s="1" t="s">
        <v>1230</v>
      </c>
      <c r="B1142" s="3">
        <v>1</v>
      </c>
      <c r="C1142" s="9" t="s">
        <v>2232</v>
      </c>
      <c r="D1142" s="1" t="str">
        <f t="shared" si="80"/>
        <v>主手武器</v>
      </c>
      <c r="E1142" s="1">
        <f>INDEX([1]游戏类型定义!$C$20:$C$29,MATCH(D1142,[1]!装备部位,0))</f>
        <v>5</v>
      </c>
      <c r="F1142" s="1">
        <v>4</v>
      </c>
      <c r="G1142" s="1">
        <f t="shared" si="81"/>
        <v>30</v>
      </c>
      <c r="H1142" s="10" t="s">
        <v>2322</v>
      </c>
      <c r="I1142" s="1">
        <v>30000</v>
      </c>
      <c r="J1142" s="1">
        <v>50</v>
      </c>
      <c r="K1142" s="1">
        <v>500</v>
      </c>
      <c r="L1142" s="1">
        <v>17500</v>
      </c>
      <c r="M1142" s="1" t="s">
        <v>1895</v>
      </c>
      <c r="N1142" s="1" t="s">
        <v>1425</v>
      </c>
      <c r="O1142" s="1">
        <v>0</v>
      </c>
      <c r="P1142" s="1" t="s">
        <v>2076</v>
      </c>
      <c r="Q1142" s="7" t="s">
        <v>2395</v>
      </c>
    </row>
    <row r="1143" spans="1:17" ht="14.25" thickBot="1">
      <c r="A1143" s="1" t="s">
        <v>1231</v>
      </c>
      <c r="B1143" s="3">
        <v>1</v>
      </c>
      <c r="C1143" s="9" t="s">
        <v>2251</v>
      </c>
      <c r="D1143" s="1" t="str">
        <f t="shared" si="80"/>
        <v>主手武器</v>
      </c>
      <c r="E1143" s="1">
        <f>INDEX([1]游戏类型定义!$C$20:$C$29,MATCH(D1143,[1]!装备部位,0))</f>
        <v>5</v>
      </c>
      <c r="F1143" s="1">
        <v>4</v>
      </c>
      <c r="G1143" s="1">
        <f t="shared" si="81"/>
        <v>30</v>
      </c>
      <c r="H1143" s="10" t="s">
        <v>2322</v>
      </c>
      <c r="I1143" s="1">
        <v>33000</v>
      </c>
      <c r="J1143" s="1">
        <v>50</v>
      </c>
      <c r="K1143" s="1">
        <v>500</v>
      </c>
      <c r="L1143" s="1">
        <v>20000</v>
      </c>
      <c r="M1143" s="1" t="s">
        <v>2021</v>
      </c>
      <c r="N1143" s="1" t="s">
        <v>1425</v>
      </c>
      <c r="O1143" s="1">
        <v>0</v>
      </c>
      <c r="P1143" s="1" t="s">
        <v>2076</v>
      </c>
      <c r="Q1143" s="7" t="s">
        <v>2412</v>
      </c>
    </row>
    <row r="1144" spans="1:17" ht="14.25" thickBot="1">
      <c r="A1144" s="1" t="s">
        <v>1232</v>
      </c>
      <c r="B1144" s="3">
        <v>1</v>
      </c>
      <c r="C1144" s="9" t="s">
        <v>2243</v>
      </c>
      <c r="D1144" s="1" t="str">
        <f t="shared" si="80"/>
        <v>副手武器</v>
      </c>
      <c r="E1144" s="1">
        <f>INDEX([1]游戏类型定义!$C$20:$C$29,MATCH(D1144,[1]!装备部位,0))</f>
        <v>6</v>
      </c>
      <c r="F1144" s="1">
        <v>4</v>
      </c>
      <c r="G1144" s="1">
        <f t="shared" si="81"/>
        <v>30</v>
      </c>
      <c r="H1144" s="10" t="s">
        <v>2322</v>
      </c>
      <c r="I1144" s="1">
        <v>30000</v>
      </c>
      <c r="J1144" s="1">
        <v>50</v>
      </c>
      <c r="K1144" s="1">
        <v>500</v>
      </c>
      <c r="L1144" s="1">
        <v>17500</v>
      </c>
      <c r="M1144" s="1" t="s">
        <v>1900</v>
      </c>
      <c r="N1144" s="1" t="s">
        <v>1425</v>
      </c>
      <c r="O1144" s="1">
        <v>0</v>
      </c>
      <c r="P1144" s="1" t="s">
        <v>2076</v>
      </c>
      <c r="Q1144" s="7" t="s">
        <v>2413</v>
      </c>
    </row>
    <row r="1145" spans="1:17" ht="14.25" thickBot="1">
      <c r="A1145" s="1" t="s">
        <v>1233</v>
      </c>
      <c r="B1145" s="2">
        <v>0</v>
      </c>
      <c r="C1145" s="9" t="s">
        <v>2244</v>
      </c>
      <c r="D1145" s="1" t="str">
        <f t="shared" si="80"/>
        <v>副手武器</v>
      </c>
      <c r="E1145" s="1">
        <f>INDEX([1]游戏类型定义!$C$20:$C$29,MATCH(D1145,[1]!装备部位,0))</f>
        <v>6</v>
      </c>
      <c r="F1145" s="1">
        <v>4</v>
      </c>
      <c r="G1145" s="1">
        <f t="shared" si="81"/>
        <v>30</v>
      </c>
      <c r="H1145" s="10" t="s">
        <v>2322</v>
      </c>
      <c r="I1145" s="1">
        <v>33000</v>
      </c>
      <c r="J1145" s="1">
        <v>50</v>
      </c>
      <c r="K1145" s="1">
        <v>500</v>
      </c>
      <c r="L1145" s="1">
        <v>20000</v>
      </c>
      <c r="M1145" s="1" t="s">
        <v>1901</v>
      </c>
      <c r="N1145" s="1" t="s">
        <v>1425</v>
      </c>
      <c r="O1145" s="1">
        <v>0</v>
      </c>
      <c r="P1145" s="1" t="s">
        <v>2076</v>
      </c>
      <c r="Q1145" s="7" t="s">
        <v>2414</v>
      </c>
    </row>
    <row r="1146" spans="1:17" ht="14.25" thickBot="1">
      <c r="A1146" s="1" t="s">
        <v>1234</v>
      </c>
      <c r="B1146" s="3">
        <v>1</v>
      </c>
      <c r="C1146" s="1" t="s">
        <v>2164</v>
      </c>
      <c r="D1146" s="1" t="str">
        <f t="shared" si="80"/>
        <v>胸甲</v>
      </c>
      <c r="E1146" s="1">
        <f>INDEX([1]游戏类型定义!$C$20:$C$29,MATCH(D1146,[1]!装备部位,0))</f>
        <v>4</v>
      </c>
      <c r="F1146" s="1">
        <v>4</v>
      </c>
      <c r="G1146" s="1">
        <f t="shared" si="81"/>
        <v>30</v>
      </c>
      <c r="H1146" s="10">
        <v>0</v>
      </c>
      <c r="I1146" s="1">
        <v>30000</v>
      </c>
      <c r="J1146" s="1">
        <v>50</v>
      </c>
      <c r="K1146" s="1">
        <v>500</v>
      </c>
      <c r="L1146" s="1">
        <v>17500</v>
      </c>
      <c r="M1146" s="1" t="s">
        <v>1902</v>
      </c>
      <c r="N1146" s="1" t="s">
        <v>1424</v>
      </c>
      <c r="O1146" s="1">
        <v>0</v>
      </c>
      <c r="P1146" s="1" t="s">
        <v>2076</v>
      </c>
      <c r="Q1146" s="7" t="s">
        <v>2415</v>
      </c>
    </row>
    <row r="1147" spans="1:17" ht="14.25" thickBot="1">
      <c r="A1147" s="1" t="s">
        <v>1235</v>
      </c>
      <c r="B1147" s="3">
        <v>1</v>
      </c>
      <c r="C1147" s="1" t="s">
        <v>2165</v>
      </c>
      <c r="D1147" s="1" t="str">
        <f t="shared" si="80"/>
        <v>胸甲</v>
      </c>
      <c r="E1147" s="1">
        <f>INDEX([1]游戏类型定义!$C$20:$C$29,MATCH(D1147,[1]!装备部位,0))</f>
        <v>4</v>
      </c>
      <c r="F1147" s="1">
        <v>4</v>
      </c>
      <c r="G1147" s="1">
        <f t="shared" si="81"/>
        <v>30</v>
      </c>
      <c r="H1147" s="10">
        <v>0</v>
      </c>
      <c r="I1147" s="1">
        <v>33000</v>
      </c>
      <c r="J1147" s="1">
        <v>50</v>
      </c>
      <c r="K1147" s="1">
        <v>500</v>
      </c>
      <c r="L1147" s="1">
        <v>20000</v>
      </c>
      <c r="M1147" s="1" t="s">
        <v>1903</v>
      </c>
      <c r="N1147" s="1" t="s">
        <v>1424</v>
      </c>
      <c r="O1147" s="1">
        <v>0</v>
      </c>
      <c r="P1147" s="1" t="s">
        <v>2076</v>
      </c>
      <c r="Q1147" s="7" t="s">
        <v>2416</v>
      </c>
    </row>
    <row r="1148" spans="1:17" ht="14.25" thickBot="1">
      <c r="A1148" s="1" t="s">
        <v>1236</v>
      </c>
      <c r="B1148" s="3">
        <v>1</v>
      </c>
      <c r="C1148" s="1" t="s">
        <v>2182</v>
      </c>
      <c r="D1148" s="1" t="str">
        <f t="shared" si="80"/>
        <v>护腿</v>
      </c>
      <c r="E1148" s="1">
        <f>INDEX([1]游戏类型定义!$C$20:$C$29,MATCH(D1148,[1]!装备部位,0))</f>
        <v>7</v>
      </c>
      <c r="F1148" s="1">
        <v>4</v>
      </c>
      <c r="G1148" s="1">
        <f t="shared" si="81"/>
        <v>30</v>
      </c>
      <c r="H1148" s="10">
        <v>0</v>
      </c>
      <c r="I1148" s="1">
        <v>30000</v>
      </c>
      <c r="J1148" s="1">
        <v>50</v>
      </c>
      <c r="K1148" s="1">
        <v>500</v>
      </c>
      <c r="L1148" s="1">
        <v>17500</v>
      </c>
      <c r="M1148" s="1" t="s">
        <v>1902</v>
      </c>
      <c r="N1148" s="1" t="s">
        <v>1424</v>
      </c>
      <c r="O1148" s="1">
        <v>0</v>
      </c>
      <c r="P1148" s="1" t="s">
        <v>2076</v>
      </c>
      <c r="Q1148" s="7" t="s">
        <v>2417</v>
      </c>
    </row>
    <row r="1149" spans="1:17" ht="14.25" thickBot="1">
      <c r="A1149" s="1" t="s">
        <v>1237</v>
      </c>
      <c r="B1149" s="3">
        <v>1</v>
      </c>
      <c r="C1149" s="1" t="s">
        <v>2183</v>
      </c>
      <c r="D1149" s="1" t="str">
        <f t="shared" si="80"/>
        <v>护腿</v>
      </c>
      <c r="E1149" s="1">
        <f>INDEX([1]游戏类型定义!$C$20:$C$29,MATCH(D1149,[1]!装备部位,0))</f>
        <v>7</v>
      </c>
      <c r="F1149" s="1">
        <v>4</v>
      </c>
      <c r="G1149" s="1">
        <f t="shared" si="81"/>
        <v>30</v>
      </c>
      <c r="H1149" s="10">
        <v>0</v>
      </c>
      <c r="I1149" s="1">
        <v>33000</v>
      </c>
      <c r="J1149" s="1">
        <v>50</v>
      </c>
      <c r="K1149" s="1">
        <v>500</v>
      </c>
      <c r="L1149" s="1">
        <v>20000</v>
      </c>
      <c r="M1149" s="1" t="s">
        <v>1903</v>
      </c>
      <c r="N1149" s="1" t="s">
        <v>1424</v>
      </c>
      <c r="O1149" s="1">
        <v>0</v>
      </c>
      <c r="P1149" s="1" t="s">
        <v>2076</v>
      </c>
      <c r="Q1149" s="7" t="s">
        <v>2418</v>
      </c>
    </row>
    <row r="1150" spans="1:17" ht="14.25" thickBot="1">
      <c r="A1150" s="1" t="s">
        <v>1238</v>
      </c>
      <c r="B1150" s="3">
        <v>1</v>
      </c>
      <c r="C1150" s="1" t="s">
        <v>2100</v>
      </c>
      <c r="D1150" s="1" t="str">
        <f t="shared" si="80"/>
        <v>头盔</v>
      </c>
      <c r="E1150" s="1">
        <f>INDEX([1]游戏类型定义!$C$20:$C$29,MATCH(D1150,[1]!装备部位,0))</f>
        <v>1</v>
      </c>
      <c r="F1150" s="1">
        <v>4</v>
      </c>
      <c r="G1150" s="1">
        <f t="shared" si="81"/>
        <v>35</v>
      </c>
      <c r="H1150" s="10">
        <v>0</v>
      </c>
      <c r="I1150" s="1">
        <v>35000</v>
      </c>
      <c r="J1150" s="1">
        <v>50</v>
      </c>
      <c r="K1150" s="1">
        <v>500</v>
      </c>
      <c r="L1150" s="1">
        <v>20000</v>
      </c>
      <c r="M1150" s="1" t="s">
        <v>1904</v>
      </c>
      <c r="N1150" s="1" t="s">
        <v>1426</v>
      </c>
      <c r="O1150" s="1">
        <v>0</v>
      </c>
      <c r="P1150" s="1" t="s">
        <v>2077</v>
      </c>
      <c r="Q1150" s="7" t="s">
        <v>2419</v>
      </c>
    </row>
    <row r="1151" spans="1:17" ht="14.25" thickBot="1">
      <c r="A1151" s="1" t="s">
        <v>1239</v>
      </c>
      <c r="B1151" s="3">
        <v>1</v>
      </c>
      <c r="C1151" s="1" t="s">
        <v>2113</v>
      </c>
      <c r="D1151" s="1" t="str">
        <f t="shared" si="80"/>
        <v>戒指</v>
      </c>
      <c r="E1151" s="1">
        <f>INDEX([1]游戏类型定义!$C$20:$C$29,MATCH(D1151,[1]!装备部位,0))</f>
        <v>2</v>
      </c>
      <c r="F1151" s="1">
        <v>4</v>
      </c>
      <c r="G1151" s="1">
        <f t="shared" si="81"/>
        <v>35</v>
      </c>
      <c r="H1151" s="10">
        <v>0</v>
      </c>
      <c r="I1151" s="1">
        <v>35000</v>
      </c>
      <c r="J1151" s="1">
        <v>50</v>
      </c>
      <c r="K1151" s="1">
        <v>500</v>
      </c>
      <c r="L1151" s="1">
        <v>20000</v>
      </c>
      <c r="M1151" s="1" t="s">
        <v>1905</v>
      </c>
      <c r="N1151" s="1" t="s">
        <v>1426</v>
      </c>
      <c r="O1151" s="1">
        <v>0</v>
      </c>
      <c r="P1151" s="1" t="s">
        <v>2077</v>
      </c>
      <c r="Q1151" s="7" t="s">
        <v>2420</v>
      </c>
    </row>
    <row r="1152" spans="1:17" ht="14.25" thickBot="1">
      <c r="A1152" s="1" t="s">
        <v>1240</v>
      </c>
      <c r="B1152" s="3">
        <v>1</v>
      </c>
      <c r="C1152" s="1" t="s">
        <v>2091</v>
      </c>
      <c r="D1152" s="1" t="str">
        <f t="shared" si="80"/>
        <v>腰带</v>
      </c>
      <c r="E1152" s="1">
        <f>INDEX([1]游戏类型定义!$C$20:$C$29,MATCH(D1152,[1]!装备部位,0))</f>
        <v>3</v>
      </c>
      <c r="F1152" s="1">
        <v>4</v>
      </c>
      <c r="G1152" s="1">
        <f t="shared" si="81"/>
        <v>35</v>
      </c>
      <c r="H1152" s="10">
        <v>0</v>
      </c>
      <c r="I1152" s="1">
        <v>35000</v>
      </c>
      <c r="J1152" s="1">
        <v>50</v>
      </c>
      <c r="K1152" s="1">
        <v>500</v>
      </c>
      <c r="L1152" s="1">
        <v>20000</v>
      </c>
      <c r="M1152" s="1" t="s">
        <v>1906</v>
      </c>
      <c r="N1152" s="1" t="s">
        <v>1426</v>
      </c>
      <c r="O1152" s="1">
        <v>0</v>
      </c>
      <c r="P1152" s="1" t="s">
        <v>2077</v>
      </c>
      <c r="Q1152" s="7" t="s">
        <v>2421</v>
      </c>
    </row>
    <row r="1153" spans="1:17" ht="14.25" thickBot="1">
      <c r="A1153" s="1" t="s">
        <v>1241</v>
      </c>
      <c r="B1153" s="3">
        <v>1</v>
      </c>
      <c r="C1153" s="1" t="s">
        <v>2124</v>
      </c>
      <c r="D1153" s="1" t="str">
        <f t="shared" si="80"/>
        <v>鞋子</v>
      </c>
      <c r="E1153" s="1">
        <f>INDEX([1]游戏类型定义!$C$20:$C$29,MATCH(D1153,[1]!装备部位,0))</f>
        <v>8</v>
      </c>
      <c r="F1153" s="1">
        <v>4</v>
      </c>
      <c r="G1153" s="1">
        <f t="shared" si="81"/>
        <v>35</v>
      </c>
      <c r="H1153" s="10">
        <v>0</v>
      </c>
      <c r="I1153" s="1">
        <v>35000</v>
      </c>
      <c r="J1153" s="1">
        <v>50</v>
      </c>
      <c r="K1153" s="1">
        <v>500</v>
      </c>
      <c r="L1153" s="1">
        <v>20000</v>
      </c>
      <c r="M1153" s="1" t="s">
        <v>1907</v>
      </c>
      <c r="N1153" s="1" t="s">
        <v>1426</v>
      </c>
      <c r="O1153" s="1">
        <v>0</v>
      </c>
      <c r="P1153" s="1" t="s">
        <v>2077</v>
      </c>
      <c r="Q1153" s="7" t="s">
        <v>2422</v>
      </c>
    </row>
    <row r="1154" spans="1:17" ht="14.25" thickBot="1">
      <c r="A1154" s="1" t="s">
        <v>1242</v>
      </c>
      <c r="B1154" s="3">
        <v>1</v>
      </c>
      <c r="C1154" s="1" t="s">
        <v>2136</v>
      </c>
      <c r="D1154" s="1" t="str">
        <f t="shared" si="80"/>
        <v>手套</v>
      </c>
      <c r="E1154" s="1">
        <f>INDEX([1]游戏类型定义!$C$20:$C$29,MATCH(D1154,[1]!装备部位,0))</f>
        <v>9</v>
      </c>
      <c r="F1154" s="1">
        <v>4</v>
      </c>
      <c r="G1154" s="1">
        <f t="shared" si="81"/>
        <v>35</v>
      </c>
      <c r="H1154" s="10">
        <v>0</v>
      </c>
      <c r="I1154" s="1">
        <v>35000</v>
      </c>
      <c r="J1154" s="1">
        <v>50</v>
      </c>
      <c r="K1154" s="1">
        <v>500</v>
      </c>
      <c r="L1154" s="1">
        <v>20000</v>
      </c>
      <c r="M1154" s="1" t="s">
        <v>1908</v>
      </c>
      <c r="N1154" s="1" t="s">
        <v>1426</v>
      </c>
      <c r="O1154" s="1">
        <v>0</v>
      </c>
      <c r="P1154" s="1" t="s">
        <v>2077</v>
      </c>
      <c r="Q1154" s="7" t="s">
        <v>2423</v>
      </c>
    </row>
    <row r="1155" spans="1:17" ht="14.25" thickBot="1">
      <c r="A1155" s="1" t="s">
        <v>1243</v>
      </c>
      <c r="B1155" s="3">
        <v>1</v>
      </c>
      <c r="C1155" s="1" t="s">
        <v>2150</v>
      </c>
      <c r="D1155" s="1" t="str">
        <f t="shared" si="80"/>
        <v>项链</v>
      </c>
      <c r="E1155" s="1">
        <f>INDEX([1]游戏类型定义!$C$20:$C$29,MATCH(D1155,[1]!装备部位,0))</f>
        <v>10</v>
      </c>
      <c r="F1155" s="1">
        <v>4</v>
      </c>
      <c r="G1155" s="1">
        <f t="shared" si="81"/>
        <v>35</v>
      </c>
      <c r="H1155" s="10">
        <v>0</v>
      </c>
      <c r="I1155" s="1">
        <v>35000</v>
      </c>
      <c r="J1155" s="1">
        <v>50</v>
      </c>
      <c r="K1155" s="1">
        <v>500</v>
      </c>
      <c r="L1155" s="1">
        <v>20000</v>
      </c>
      <c r="M1155" s="1" t="s">
        <v>1909</v>
      </c>
      <c r="N1155" s="1" t="s">
        <v>1426</v>
      </c>
      <c r="O1155" s="1">
        <v>0</v>
      </c>
      <c r="P1155" s="1" t="s">
        <v>2077</v>
      </c>
      <c r="Q1155" s="7" t="s">
        <v>2424</v>
      </c>
    </row>
    <row r="1156" spans="1:17" ht="14.25" thickBot="1">
      <c r="A1156" s="1" t="s">
        <v>1244</v>
      </c>
      <c r="B1156" s="3">
        <v>1</v>
      </c>
      <c r="C1156" s="9" t="s">
        <v>2245</v>
      </c>
      <c r="D1156" s="1" t="str">
        <f t="shared" ref="D1156:D1175" si="82">D826</f>
        <v>主手武器</v>
      </c>
      <c r="E1156" s="1">
        <f>INDEX([1]游戏类型定义!$C$20:$C$29,MATCH(D1156,[1]!装备部位,0))</f>
        <v>5</v>
      </c>
      <c r="F1156" s="1">
        <v>4</v>
      </c>
      <c r="G1156" s="1">
        <f t="shared" ref="G1156:G1175" si="83">G826</f>
        <v>35</v>
      </c>
      <c r="H1156" s="10" t="s">
        <v>2320</v>
      </c>
      <c r="I1156" s="1">
        <v>35000</v>
      </c>
      <c r="J1156" s="1">
        <v>50</v>
      </c>
      <c r="K1156" s="1">
        <v>500</v>
      </c>
      <c r="L1156" s="1">
        <v>20000</v>
      </c>
      <c r="M1156" s="1" t="s">
        <v>1910</v>
      </c>
      <c r="N1156" s="1" t="s">
        <v>1427</v>
      </c>
      <c r="O1156" s="1">
        <v>0</v>
      </c>
      <c r="P1156" s="1" t="s">
        <v>2077</v>
      </c>
      <c r="Q1156" s="7" t="s">
        <v>2425</v>
      </c>
    </row>
    <row r="1157" spans="1:17" ht="14.25" thickBot="1">
      <c r="A1157" s="1" t="s">
        <v>1245</v>
      </c>
      <c r="B1157" s="2">
        <v>0</v>
      </c>
      <c r="C1157" s="9" t="s">
        <v>2046</v>
      </c>
      <c r="D1157" s="1" t="str">
        <f t="shared" si="82"/>
        <v>主手武器</v>
      </c>
      <c r="E1157" s="1">
        <f>INDEX([1]游戏类型定义!$C$20:$C$29,MATCH(D1157,[1]!装备部位,0))</f>
        <v>5</v>
      </c>
      <c r="F1157" s="1">
        <v>4</v>
      </c>
      <c r="G1157" s="1">
        <f t="shared" si="83"/>
        <v>35</v>
      </c>
      <c r="H1157" s="10" t="s">
        <v>2320</v>
      </c>
      <c r="I1157" s="1">
        <v>38000</v>
      </c>
      <c r="J1157" s="1">
        <v>50</v>
      </c>
      <c r="K1157" s="1">
        <v>500</v>
      </c>
      <c r="L1157" s="1">
        <v>22500</v>
      </c>
      <c r="M1157" s="1" t="s">
        <v>2022</v>
      </c>
      <c r="N1157" s="1" t="s">
        <v>1427</v>
      </c>
      <c r="O1157" s="1">
        <v>0</v>
      </c>
      <c r="P1157" s="1" t="s">
        <v>2077</v>
      </c>
      <c r="Q1157" s="7" t="s">
        <v>2057</v>
      </c>
    </row>
    <row r="1158" spans="1:17" ht="14.25" thickBot="1">
      <c r="A1158" s="1" t="s">
        <v>1246</v>
      </c>
      <c r="B1158" s="3">
        <v>1</v>
      </c>
      <c r="C1158" s="9" t="s">
        <v>2246</v>
      </c>
      <c r="D1158" s="1" t="str">
        <f t="shared" si="82"/>
        <v>副手武器</v>
      </c>
      <c r="E1158" s="1">
        <f>INDEX([1]游戏类型定义!$C$20:$C$29,MATCH(D1158,[1]!装备部位,0))</f>
        <v>6</v>
      </c>
      <c r="F1158" s="1">
        <v>4</v>
      </c>
      <c r="G1158" s="1">
        <f t="shared" si="83"/>
        <v>35</v>
      </c>
      <c r="H1158" s="10" t="s">
        <v>2320</v>
      </c>
      <c r="I1158" s="1">
        <v>35000</v>
      </c>
      <c r="J1158" s="1">
        <v>50</v>
      </c>
      <c r="K1158" s="1">
        <v>500</v>
      </c>
      <c r="L1158" s="1">
        <v>20000</v>
      </c>
      <c r="M1158" s="1" t="s">
        <v>1911</v>
      </c>
      <c r="N1158" s="1" t="s">
        <v>1427</v>
      </c>
      <c r="O1158" s="1">
        <v>0</v>
      </c>
      <c r="P1158" s="1" t="s">
        <v>2077</v>
      </c>
      <c r="Q1158" s="7" t="s">
        <v>2407</v>
      </c>
    </row>
    <row r="1159" spans="1:17" ht="14.25" thickBot="1">
      <c r="A1159" s="1" t="s">
        <v>1247</v>
      </c>
      <c r="B1159" s="3">
        <v>1</v>
      </c>
      <c r="C1159" s="9" t="s">
        <v>2317</v>
      </c>
      <c r="D1159" s="1" t="str">
        <f t="shared" si="82"/>
        <v>副手武器</v>
      </c>
      <c r="E1159" s="1">
        <f>INDEX([1]游戏类型定义!$C$20:$C$29,MATCH(D1159,[1]!装备部位,0))</f>
        <v>6</v>
      </c>
      <c r="F1159" s="1">
        <v>4</v>
      </c>
      <c r="G1159" s="1">
        <f t="shared" si="83"/>
        <v>35</v>
      </c>
      <c r="H1159" s="10" t="s">
        <v>2320</v>
      </c>
      <c r="I1159" s="1">
        <v>38000</v>
      </c>
      <c r="J1159" s="1">
        <v>50</v>
      </c>
      <c r="K1159" s="1">
        <v>500</v>
      </c>
      <c r="L1159" s="1">
        <v>22500</v>
      </c>
      <c r="M1159" s="1" t="s">
        <v>1912</v>
      </c>
      <c r="N1159" s="1" t="s">
        <v>1427</v>
      </c>
      <c r="O1159" s="1">
        <v>0</v>
      </c>
      <c r="P1159" s="1" t="s">
        <v>2077</v>
      </c>
      <c r="Q1159" s="7" t="s">
        <v>2426</v>
      </c>
    </row>
    <row r="1160" spans="1:17" ht="14.25" thickBot="1">
      <c r="A1160" s="1" t="s">
        <v>1248</v>
      </c>
      <c r="B1160" s="3">
        <v>1</v>
      </c>
      <c r="C1160" s="1" t="s">
        <v>2247</v>
      </c>
      <c r="D1160" s="1" t="str">
        <f t="shared" si="82"/>
        <v>主手武器</v>
      </c>
      <c r="E1160" s="1">
        <f>INDEX([1]游戏类型定义!$C$20:$C$29,MATCH(D1160,[1]!装备部位,0))</f>
        <v>5</v>
      </c>
      <c r="F1160" s="1">
        <v>4</v>
      </c>
      <c r="G1160" s="1">
        <f t="shared" si="83"/>
        <v>35</v>
      </c>
      <c r="H1160" s="10" t="s">
        <v>2321</v>
      </c>
      <c r="I1160" s="1">
        <v>35000</v>
      </c>
      <c r="J1160" s="1">
        <v>50</v>
      </c>
      <c r="K1160" s="1">
        <v>500</v>
      </c>
      <c r="L1160" s="1">
        <v>20000</v>
      </c>
      <c r="M1160" s="1" t="s">
        <v>1910</v>
      </c>
      <c r="N1160" s="1" t="s">
        <v>1427</v>
      </c>
      <c r="O1160" s="1">
        <v>0</v>
      </c>
      <c r="P1160" s="1" t="s">
        <v>2077</v>
      </c>
      <c r="Q1160" s="7" t="s">
        <v>2427</v>
      </c>
    </row>
    <row r="1161" spans="1:17" ht="14.25" thickBot="1">
      <c r="A1161" s="1" t="s">
        <v>1249</v>
      </c>
      <c r="B1161" s="2">
        <v>0</v>
      </c>
      <c r="C1161" s="1" t="s">
        <v>2040</v>
      </c>
      <c r="D1161" s="1" t="str">
        <f t="shared" si="82"/>
        <v>主手武器</v>
      </c>
      <c r="E1161" s="1">
        <f>INDEX([1]游戏类型定义!$C$20:$C$29,MATCH(D1161,[1]!装备部位,0))</f>
        <v>5</v>
      </c>
      <c r="F1161" s="1">
        <v>4</v>
      </c>
      <c r="G1161" s="1">
        <f t="shared" si="83"/>
        <v>35</v>
      </c>
      <c r="H1161" s="10" t="s">
        <v>2321</v>
      </c>
      <c r="I1161" s="1">
        <v>38000</v>
      </c>
      <c r="J1161" s="1">
        <v>50</v>
      </c>
      <c r="K1161" s="1">
        <v>500</v>
      </c>
      <c r="L1161" s="1">
        <v>22500</v>
      </c>
      <c r="M1161" s="1" t="s">
        <v>2022</v>
      </c>
      <c r="N1161" s="1" t="s">
        <v>1427</v>
      </c>
      <c r="O1161" s="1">
        <v>0</v>
      </c>
      <c r="P1161" s="1" t="s">
        <v>2077</v>
      </c>
      <c r="Q1161" s="7" t="s">
        <v>2059</v>
      </c>
    </row>
    <row r="1162" spans="1:17" ht="14.25" thickBot="1">
      <c r="A1162" s="1" t="s">
        <v>1250</v>
      </c>
      <c r="B1162" s="3">
        <v>1</v>
      </c>
      <c r="C1162" s="9" t="s">
        <v>2248</v>
      </c>
      <c r="D1162" s="1" t="str">
        <f t="shared" si="82"/>
        <v>副手武器</v>
      </c>
      <c r="E1162" s="1">
        <f>INDEX([1]游戏类型定义!$C$20:$C$29,MATCH(D1162,[1]!装备部位,0))</f>
        <v>6</v>
      </c>
      <c r="F1162" s="1">
        <v>4</v>
      </c>
      <c r="G1162" s="1">
        <f t="shared" si="83"/>
        <v>35</v>
      </c>
      <c r="H1162" s="10" t="s">
        <v>2321</v>
      </c>
      <c r="I1162" s="1">
        <v>35000</v>
      </c>
      <c r="J1162" s="1">
        <v>50</v>
      </c>
      <c r="K1162" s="1">
        <v>500</v>
      </c>
      <c r="L1162" s="1">
        <v>20000</v>
      </c>
      <c r="M1162" s="1" t="s">
        <v>1913</v>
      </c>
      <c r="N1162" s="1" t="s">
        <v>1427</v>
      </c>
      <c r="O1162" s="1">
        <v>0</v>
      </c>
      <c r="P1162" s="1" t="s">
        <v>2077</v>
      </c>
      <c r="Q1162" s="7" t="s">
        <v>2411</v>
      </c>
    </row>
    <row r="1163" spans="1:17" ht="14.25" thickBot="1">
      <c r="A1163" s="1" t="s">
        <v>1251</v>
      </c>
      <c r="B1163" s="3">
        <v>1</v>
      </c>
      <c r="C1163" s="9" t="s">
        <v>2249</v>
      </c>
      <c r="D1163" s="1" t="str">
        <f t="shared" si="82"/>
        <v>副手武器</v>
      </c>
      <c r="E1163" s="1">
        <f>INDEX([1]游戏类型定义!$C$20:$C$29,MATCH(D1163,[1]!装备部位,0))</f>
        <v>6</v>
      </c>
      <c r="F1163" s="1">
        <v>4</v>
      </c>
      <c r="G1163" s="1">
        <f t="shared" si="83"/>
        <v>35</v>
      </c>
      <c r="H1163" s="10" t="s">
        <v>2321</v>
      </c>
      <c r="I1163" s="1">
        <v>38000</v>
      </c>
      <c r="J1163" s="1">
        <v>50</v>
      </c>
      <c r="K1163" s="1">
        <v>500</v>
      </c>
      <c r="L1163" s="1">
        <v>22500</v>
      </c>
      <c r="M1163" s="1" t="s">
        <v>1914</v>
      </c>
      <c r="N1163" s="1" t="s">
        <v>1427</v>
      </c>
      <c r="O1163" s="1">
        <v>0</v>
      </c>
      <c r="P1163" s="1" t="s">
        <v>2077</v>
      </c>
      <c r="Q1163" s="7" t="s">
        <v>2060</v>
      </c>
    </row>
    <row r="1164" spans="1:17" ht="14.25" thickBot="1">
      <c r="A1164" s="1" t="s">
        <v>1252</v>
      </c>
      <c r="B1164" s="3">
        <v>1</v>
      </c>
      <c r="C1164" s="9" t="s">
        <v>2242</v>
      </c>
      <c r="D1164" s="1" t="str">
        <f t="shared" si="82"/>
        <v>主手武器</v>
      </c>
      <c r="E1164" s="1">
        <f>INDEX([1]游戏类型定义!$C$20:$C$29,MATCH(D1164,[1]!装备部位,0))</f>
        <v>5</v>
      </c>
      <c r="F1164" s="1">
        <v>4</v>
      </c>
      <c r="G1164" s="1">
        <f t="shared" si="83"/>
        <v>35</v>
      </c>
      <c r="H1164" s="10" t="s">
        <v>2322</v>
      </c>
      <c r="I1164" s="1">
        <v>35000</v>
      </c>
      <c r="J1164" s="1">
        <v>50</v>
      </c>
      <c r="K1164" s="1">
        <v>500</v>
      </c>
      <c r="L1164" s="1">
        <v>20000</v>
      </c>
      <c r="M1164" s="1" t="s">
        <v>1910</v>
      </c>
      <c r="N1164" s="1" t="s">
        <v>1427</v>
      </c>
      <c r="O1164" s="1">
        <v>0</v>
      </c>
      <c r="P1164" s="1" t="s">
        <v>2077</v>
      </c>
      <c r="Q1164" s="7" t="s">
        <v>2428</v>
      </c>
    </row>
    <row r="1165" spans="1:17" ht="14.25" thickBot="1">
      <c r="A1165" s="1" t="s">
        <v>1253</v>
      </c>
      <c r="B1165" s="2">
        <v>0</v>
      </c>
      <c r="C1165" s="9" t="s">
        <v>2048</v>
      </c>
      <c r="D1165" s="1" t="str">
        <f t="shared" si="82"/>
        <v>主手武器</v>
      </c>
      <c r="E1165" s="1">
        <f>INDEX([1]游戏类型定义!$C$20:$C$29,MATCH(D1165,[1]!装备部位,0))</f>
        <v>5</v>
      </c>
      <c r="F1165" s="1">
        <v>4</v>
      </c>
      <c r="G1165" s="1">
        <f t="shared" si="83"/>
        <v>35</v>
      </c>
      <c r="H1165" s="10" t="s">
        <v>2322</v>
      </c>
      <c r="I1165" s="1">
        <v>38000</v>
      </c>
      <c r="J1165" s="1">
        <v>50</v>
      </c>
      <c r="K1165" s="1">
        <v>500</v>
      </c>
      <c r="L1165" s="1">
        <v>22500</v>
      </c>
      <c r="M1165" s="1" t="s">
        <v>2022</v>
      </c>
      <c r="N1165" s="1" t="s">
        <v>1427</v>
      </c>
      <c r="O1165" s="1">
        <v>0</v>
      </c>
      <c r="P1165" s="1" t="s">
        <v>2077</v>
      </c>
      <c r="Q1165" s="7" t="s">
        <v>2061</v>
      </c>
    </row>
    <row r="1166" spans="1:17" ht="14.25" thickBot="1">
      <c r="A1166" s="1" t="s">
        <v>1254</v>
      </c>
      <c r="B1166" s="3">
        <v>1</v>
      </c>
      <c r="C1166" s="9" t="s">
        <v>2314</v>
      </c>
      <c r="D1166" s="1" t="str">
        <f t="shared" si="82"/>
        <v>副手武器</v>
      </c>
      <c r="E1166" s="1">
        <f>INDEX([1]游戏类型定义!$C$20:$C$29,MATCH(D1166,[1]!装备部位,0))</f>
        <v>6</v>
      </c>
      <c r="F1166" s="1">
        <v>4</v>
      </c>
      <c r="G1166" s="1">
        <f t="shared" si="83"/>
        <v>35</v>
      </c>
      <c r="H1166" s="10" t="s">
        <v>2322</v>
      </c>
      <c r="I1166" s="1">
        <v>35000</v>
      </c>
      <c r="J1166" s="1">
        <v>50</v>
      </c>
      <c r="K1166" s="1">
        <v>500</v>
      </c>
      <c r="L1166" s="1">
        <v>20000</v>
      </c>
      <c r="M1166" s="1" t="s">
        <v>1915</v>
      </c>
      <c r="N1166" s="1" t="s">
        <v>1427</v>
      </c>
      <c r="O1166" s="1">
        <v>0</v>
      </c>
      <c r="P1166" s="1" t="s">
        <v>2077</v>
      </c>
      <c r="Q1166" s="7" t="s">
        <v>2414</v>
      </c>
    </row>
    <row r="1167" spans="1:17" ht="14.25" thickBot="1">
      <c r="A1167" s="1" t="s">
        <v>1255</v>
      </c>
      <c r="B1167" s="3">
        <v>1</v>
      </c>
      <c r="C1167" s="9" t="s">
        <v>2315</v>
      </c>
      <c r="D1167" s="1" t="str">
        <f t="shared" si="82"/>
        <v>副手武器</v>
      </c>
      <c r="E1167" s="1">
        <f>INDEX([1]游戏类型定义!$C$20:$C$29,MATCH(D1167,[1]!装备部位,0))</f>
        <v>6</v>
      </c>
      <c r="F1167" s="1">
        <v>4</v>
      </c>
      <c r="G1167" s="1">
        <f t="shared" si="83"/>
        <v>35</v>
      </c>
      <c r="H1167" s="10" t="s">
        <v>2322</v>
      </c>
      <c r="I1167" s="1">
        <v>38000</v>
      </c>
      <c r="J1167" s="1">
        <v>50</v>
      </c>
      <c r="K1167" s="1">
        <v>500</v>
      </c>
      <c r="L1167" s="1">
        <v>22500</v>
      </c>
      <c r="M1167" s="1" t="s">
        <v>1916</v>
      </c>
      <c r="N1167" s="1" t="s">
        <v>1427</v>
      </c>
      <c r="O1167" s="1">
        <v>0</v>
      </c>
      <c r="P1167" s="1" t="s">
        <v>2077</v>
      </c>
      <c r="Q1167" s="7" t="s">
        <v>2429</v>
      </c>
    </row>
    <row r="1168" spans="1:17" ht="14.25" thickBot="1">
      <c r="A1168" s="1" t="s">
        <v>1256</v>
      </c>
      <c r="B1168" s="3">
        <v>1</v>
      </c>
      <c r="C1168" s="1" t="s">
        <v>2166</v>
      </c>
      <c r="D1168" s="1" t="str">
        <f t="shared" si="82"/>
        <v>胸甲</v>
      </c>
      <c r="E1168" s="1">
        <f>INDEX([1]游戏类型定义!$C$20:$C$29,MATCH(D1168,[1]!装备部位,0))</f>
        <v>4</v>
      </c>
      <c r="F1168" s="1">
        <v>4</v>
      </c>
      <c r="G1168" s="1">
        <f t="shared" si="83"/>
        <v>35</v>
      </c>
      <c r="H1168" s="10">
        <v>0</v>
      </c>
      <c r="I1168" s="1">
        <v>35000</v>
      </c>
      <c r="J1168" s="1">
        <v>50</v>
      </c>
      <c r="K1168" s="1">
        <v>500</v>
      </c>
      <c r="L1168" s="1">
        <v>20000</v>
      </c>
      <c r="M1168" s="1" t="s">
        <v>1917</v>
      </c>
      <c r="N1168" s="1" t="s">
        <v>1426</v>
      </c>
      <c r="O1168" s="1">
        <v>0</v>
      </c>
      <c r="P1168" s="1" t="s">
        <v>2077</v>
      </c>
      <c r="Q1168" s="7" t="s">
        <v>2430</v>
      </c>
    </row>
    <row r="1169" spans="1:17" ht="14.25" thickBot="1">
      <c r="A1169" s="1" t="s">
        <v>1257</v>
      </c>
      <c r="B1169" s="3">
        <v>1</v>
      </c>
      <c r="C1169" s="1" t="s">
        <v>2538</v>
      </c>
      <c r="D1169" s="1" t="str">
        <f t="shared" si="82"/>
        <v>胸甲</v>
      </c>
      <c r="E1169" s="1">
        <f>INDEX([1]游戏类型定义!$C$20:$C$29,MATCH(D1169,[1]!装备部位,0))</f>
        <v>4</v>
      </c>
      <c r="F1169" s="1">
        <v>4</v>
      </c>
      <c r="G1169" s="1">
        <f t="shared" si="83"/>
        <v>35</v>
      </c>
      <c r="H1169" s="10">
        <v>0</v>
      </c>
      <c r="I1169" s="1">
        <v>38000</v>
      </c>
      <c r="J1169" s="1">
        <v>50</v>
      </c>
      <c r="K1169" s="1">
        <v>500</v>
      </c>
      <c r="L1169" s="1">
        <v>22500</v>
      </c>
      <c r="M1169" s="1" t="s">
        <v>1918</v>
      </c>
      <c r="N1169" s="1" t="s">
        <v>1426</v>
      </c>
      <c r="O1169" s="1">
        <v>0</v>
      </c>
      <c r="P1169" s="1" t="s">
        <v>2077</v>
      </c>
      <c r="Q1169" s="7" t="s">
        <v>2063</v>
      </c>
    </row>
    <row r="1170" spans="1:17" ht="14.25" thickBot="1">
      <c r="A1170" s="1" t="s">
        <v>1258</v>
      </c>
      <c r="B1170" s="3">
        <v>1</v>
      </c>
      <c r="C1170" s="1" t="s">
        <v>2184</v>
      </c>
      <c r="D1170" s="1" t="str">
        <f t="shared" si="82"/>
        <v>护腿</v>
      </c>
      <c r="E1170" s="1">
        <f>INDEX([1]游戏类型定义!$C$20:$C$29,MATCH(D1170,[1]!装备部位,0))</f>
        <v>7</v>
      </c>
      <c r="F1170" s="1">
        <v>4</v>
      </c>
      <c r="G1170" s="1">
        <f t="shared" si="83"/>
        <v>35</v>
      </c>
      <c r="H1170" s="10">
        <v>0</v>
      </c>
      <c r="I1170" s="1">
        <v>35000</v>
      </c>
      <c r="J1170" s="1">
        <v>50</v>
      </c>
      <c r="K1170" s="1">
        <v>500</v>
      </c>
      <c r="L1170" s="1">
        <v>20000</v>
      </c>
      <c r="M1170" s="1" t="s">
        <v>1917</v>
      </c>
      <c r="N1170" s="1" t="s">
        <v>1426</v>
      </c>
      <c r="O1170" s="1">
        <v>0</v>
      </c>
      <c r="P1170" s="1" t="s">
        <v>2077</v>
      </c>
      <c r="Q1170" s="7" t="s">
        <v>2418</v>
      </c>
    </row>
    <row r="1171" spans="1:17" ht="14.25" thickBot="1">
      <c r="A1171" s="1" t="s">
        <v>1259</v>
      </c>
      <c r="B1171" s="2">
        <v>0</v>
      </c>
      <c r="C1171" s="1" t="s">
        <v>2038</v>
      </c>
      <c r="D1171" s="1" t="str">
        <f t="shared" si="82"/>
        <v>护腿</v>
      </c>
      <c r="E1171" s="1">
        <f>INDEX([1]游戏类型定义!$C$20:$C$29,MATCH(D1171,[1]!装备部位,0))</f>
        <v>7</v>
      </c>
      <c r="F1171" s="1">
        <v>4</v>
      </c>
      <c r="G1171" s="1">
        <f t="shared" si="83"/>
        <v>35</v>
      </c>
      <c r="H1171" s="10">
        <v>0</v>
      </c>
      <c r="I1171" s="1">
        <v>38000</v>
      </c>
      <c r="J1171" s="1">
        <v>50</v>
      </c>
      <c r="K1171" s="1">
        <v>500</v>
      </c>
      <c r="L1171" s="1">
        <v>22500</v>
      </c>
      <c r="M1171" s="1" t="s">
        <v>1919</v>
      </c>
      <c r="N1171" s="1" t="s">
        <v>1426</v>
      </c>
      <c r="O1171" s="1">
        <v>0</v>
      </c>
      <c r="P1171" s="1" t="s">
        <v>2077</v>
      </c>
      <c r="Q1171" s="7" t="s">
        <v>2064</v>
      </c>
    </row>
    <row r="1172" spans="1:17" ht="14.25" thickBot="1">
      <c r="A1172" s="1" t="s">
        <v>1260</v>
      </c>
      <c r="B1172" s="3">
        <v>1</v>
      </c>
      <c r="C1172" s="1" t="s">
        <v>2101</v>
      </c>
      <c r="D1172" s="1" t="str">
        <f t="shared" si="82"/>
        <v>头盔</v>
      </c>
      <c r="E1172" s="1">
        <f>INDEX([1]游戏类型定义!$C$20:$C$29,MATCH(D1172,[1]!装备部位,0))</f>
        <v>1</v>
      </c>
      <c r="F1172" s="1">
        <v>4</v>
      </c>
      <c r="G1172" s="1">
        <f t="shared" si="83"/>
        <v>40</v>
      </c>
      <c r="H1172" s="10">
        <v>0</v>
      </c>
      <c r="I1172" s="1">
        <v>40000</v>
      </c>
      <c r="J1172" s="1">
        <v>50</v>
      </c>
      <c r="K1172" s="1">
        <v>500</v>
      </c>
      <c r="L1172" s="1">
        <v>22500</v>
      </c>
      <c r="M1172" s="1" t="s">
        <v>1920</v>
      </c>
      <c r="N1172" s="1" t="s">
        <v>1428</v>
      </c>
      <c r="O1172" s="1">
        <v>0</v>
      </c>
      <c r="P1172" s="1" t="s">
        <v>2078</v>
      </c>
      <c r="Q1172" s="7" t="s">
        <v>2431</v>
      </c>
    </row>
    <row r="1173" spans="1:17" ht="14.25" thickBot="1">
      <c r="A1173" s="1" t="s">
        <v>1261</v>
      </c>
      <c r="B1173" s="3">
        <v>1</v>
      </c>
      <c r="C1173" s="1" t="s">
        <v>2114</v>
      </c>
      <c r="D1173" s="1" t="str">
        <f t="shared" si="82"/>
        <v>戒指</v>
      </c>
      <c r="E1173" s="1">
        <f>INDEX([1]游戏类型定义!$C$20:$C$29,MATCH(D1173,[1]!装备部位,0))</f>
        <v>2</v>
      </c>
      <c r="F1173" s="1">
        <v>4</v>
      </c>
      <c r="G1173" s="1">
        <f t="shared" si="83"/>
        <v>40</v>
      </c>
      <c r="H1173" s="10">
        <v>0</v>
      </c>
      <c r="I1173" s="1">
        <v>40000</v>
      </c>
      <c r="J1173" s="1">
        <v>50</v>
      </c>
      <c r="K1173" s="1">
        <v>500</v>
      </c>
      <c r="L1173" s="1">
        <v>22500</v>
      </c>
      <c r="M1173" s="1" t="s">
        <v>1921</v>
      </c>
      <c r="N1173" s="1" t="s">
        <v>1428</v>
      </c>
      <c r="O1173" s="1">
        <v>0</v>
      </c>
      <c r="P1173" s="1" t="s">
        <v>2078</v>
      </c>
      <c r="Q1173" s="7" t="s">
        <v>2432</v>
      </c>
    </row>
    <row r="1174" spans="1:17" ht="14.25" thickBot="1">
      <c r="A1174" s="1" t="s">
        <v>1262</v>
      </c>
      <c r="B1174" s="3">
        <v>1</v>
      </c>
      <c r="C1174" s="1" t="s">
        <v>2093</v>
      </c>
      <c r="D1174" s="1" t="str">
        <f t="shared" si="82"/>
        <v>腰带</v>
      </c>
      <c r="E1174" s="1">
        <f>INDEX([1]游戏类型定义!$C$20:$C$29,MATCH(D1174,[1]!装备部位,0))</f>
        <v>3</v>
      </c>
      <c r="F1174" s="1">
        <v>4</v>
      </c>
      <c r="G1174" s="1">
        <f t="shared" si="83"/>
        <v>40</v>
      </c>
      <c r="H1174" s="10">
        <v>0</v>
      </c>
      <c r="I1174" s="1">
        <v>40000</v>
      </c>
      <c r="J1174" s="1">
        <v>50</v>
      </c>
      <c r="K1174" s="1">
        <v>500</v>
      </c>
      <c r="L1174" s="1">
        <v>22500</v>
      </c>
      <c r="M1174" s="1" t="s">
        <v>1922</v>
      </c>
      <c r="N1174" s="1" t="s">
        <v>1428</v>
      </c>
      <c r="O1174" s="1">
        <v>0</v>
      </c>
      <c r="P1174" s="1" t="s">
        <v>2078</v>
      </c>
      <c r="Q1174" s="7" t="s">
        <v>2433</v>
      </c>
    </row>
    <row r="1175" spans="1:17" ht="14.25" thickBot="1">
      <c r="A1175" s="1" t="s">
        <v>1263</v>
      </c>
      <c r="B1175" s="3">
        <v>1</v>
      </c>
      <c r="C1175" s="1" t="s">
        <v>2126</v>
      </c>
      <c r="D1175" s="1" t="str">
        <f t="shared" si="82"/>
        <v>鞋子</v>
      </c>
      <c r="E1175" s="1">
        <f>INDEX([1]游戏类型定义!$C$20:$C$29,MATCH(D1175,[1]!装备部位,0))</f>
        <v>8</v>
      </c>
      <c r="F1175" s="1">
        <v>4</v>
      </c>
      <c r="G1175" s="1">
        <f t="shared" si="83"/>
        <v>40</v>
      </c>
      <c r="H1175" s="10">
        <v>0</v>
      </c>
      <c r="I1175" s="1">
        <v>40000</v>
      </c>
      <c r="J1175" s="1">
        <v>50</v>
      </c>
      <c r="K1175" s="1">
        <v>500</v>
      </c>
      <c r="L1175" s="1">
        <v>22500</v>
      </c>
      <c r="M1175" s="1" t="s">
        <v>1923</v>
      </c>
      <c r="N1175" s="1" t="s">
        <v>1428</v>
      </c>
      <c r="O1175" s="1">
        <v>0</v>
      </c>
      <c r="P1175" s="1" t="s">
        <v>2078</v>
      </c>
      <c r="Q1175" s="7" t="s">
        <v>2434</v>
      </c>
    </row>
    <row r="1176" spans="1:17" ht="14.25" thickBot="1">
      <c r="A1176" s="1" t="s">
        <v>1264</v>
      </c>
      <c r="B1176" s="3">
        <v>1</v>
      </c>
      <c r="C1176" s="1" t="s">
        <v>2141</v>
      </c>
      <c r="D1176" s="1" t="str">
        <f t="shared" ref="D1176:D1195" si="84">D846</f>
        <v>手套</v>
      </c>
      <c r="E1176" s="1">
        <f>INDEX([1]游戏类型定义!$C$20:$C$29,MATCH(D1176,[1]!装备部位,0))</f>
        <v>9</v>
      </c>
      <c r="F1176" s="1">
        <v>4</v>
      </c>
      <c r="G1176" s="1">
        <f t="shared" ref="G1176:G1195" si="85">G846</f>
        <v>40</v>
      </c>
      <c r="H1176" s="10">
        <v>0</v>
      </c>
      <c r="I1176" s="1">
        <v>40000</v>
      </c>
      <c r="J1176" s="1">
        <v>50</v>
      </c>
      <c r="K1176" s="1">
        <v>500</v>
      </c>
      <c r="L1176" s="1">
        <v>22500</v>
      </c>
      <c r="M1176" s="1" t="s">
        <v>1924</v>
      </c>
      <c r="N1176" s="1" t="s">
        <v>1428</v>
      </c>
      <c r="O1176" s="1">
        <v>0</v>
      </c>
      <c r="P1176" s="1" t="s">
        <v>2078</v>
      </c>
      <c r="Q1176" s="7" t="s">
        <v>2435</v>
      </c>
    </row>
    <row r="1177" spans="1:17" ht="14.25" thickBot="1">
      <c r="A1177" s="1" t="s">
        <v>1265</v>
      </c>
      <c r="B1177" s="2">
        <v>0</v>
      </c>
      <c r="C1177" s="1" t="s">
        <v>2034</v>
      </c>
      <c r="D1177" s="1" t="str">
        <f t="shared" si="84"/>
        <v>项链</v>
      </c>
      <c r="E1177" s="1">
        <f>INDEX([1]游戏类型定义!$C$20:$C$29,MATCH(D1177,[1]!装备部位,0))</f>
        <v>10</v>
      </c>
      <c r="F1177" s="1">
        <v>4</v>
      </c>
      <c r="G1177" s="1">
        <f t="shared" si="85"/>
        <v>40</v>
      </c>
      <c r="H1177" s="10">
        <v>0</v>
      </c>
      <c r="I1177" s="1">
        <v>40000</v>
      </c>
      <c r="J1177" s="1">
        <v>50</v>
      </c>
      <c r="K1177" s="1">
        <v>500</v>
      </c>
      <c r="L1177" s="1">
        <v>22500</v>
      </c>
      <c r="M1177" s="1" t="s">
        <v>1909</v>
      </c>
      <c r="N1177" s="1" t="s">
        <v>1428</v>
      </c>
      <c r="O1177" s="1">
        <v>0</v>
      </c>
      <c r="P1177" s="1" t="s">
        <v>2078</v>
      </c>
      <c r="Q1177" s="7" t="s">
        <v>2056</v>
      </c>
    </row>
    <row r="1178" spans="1:17" ht="14.25" thickBot="1">
      <c r="A1178" s="1" t="s">
        <v>1266</v>
      </c>
      <c r="B1178" s="3">
        <v>1</v>
      </c>
      <c r="C1178" s="9" t="s">
        <v>2316</v>
      </c>
      <c r="D1178" s="1" t="str">
        <f t="shared" si="84"/>
        <v>主手武器</v>
      </c>
      <c r="E1178" s="1">
        <f>INDEX([1]游戏类型定义!$C$20:$C$29,MATCH(D1178,[1]!装备部位,0))</f>
        <v>5</v>
      </c>
      <c r="F1178" s="1">
        <v>4</v>
      </c>
      <c r="G1178" s="1">
        <f t="shared" si="85"/>
        <v>40</v>
      </c>
      <c r="H1178" s="10" t="s">
        <v>2320</v>
      </c>
      <c r="I1178" s="1">
        <v>40000</v>
      </c>
      <c r="J1178" s="1">
        <v>50</v>
      </c>
      <c r="K1178" s="1">
        <v>500</v>
      </c>
      <c r="L1178" s="1">
        <v>22500</v>
      </c>
      <c r="M1178" s="1" t="s">
        <v>1925</v>
      </c>
      <c r="N1178" s="1" t="s">
        <v>1429</v>
      </c>
      <c r="O1178" s="1">
        <v>0</v>
      </c>
      <c r="P1178" s="1" t="s">
        <v>2078</v>
      </c>
      <c r="Q1178" s="7" t="s">
        <v>2436</v>
      </c>
    </row>
    <row r="1179" spans="1:17" ht="14.25" thickBot="1">
      <c r="A1179" s="1" t="s">
        <v>1267</v>
      </c>
      <c r="B1179" s="3">
        <v>1</v>
      </c>
      <c r="C1179" s="9" t="s">
        <v>2252</v>
      </c>
      <c r="D1179" s="1" t="str">
        <f t="shared" si="84"/>
        <v>主手武器</v>
      </c>
      <c r="E1179" s="1">
        <f>INDEX([1]游戏类型定义!$C$20:$C$29,MATCH(D1179,[1]!装备部位,0))</f>
        <v>5</v>
      </c>
      <c r="F1179" s="1">
        <v>4</v>
      </c>
      <c r="G1179" s="1">
        <f t="shared" si="85"/>
        <v>40</v>
      </c>
      <c r="H1179" s="10" t="s">
        <v>2320</v>
      </c>
      <c r="I1179" s="1">
        <v>43000</v>
      </c>
      <c r="J1179" s="1">
        <v>50</v>
      </c>
      <c r="K1179" s="1">
        <v>500</v>
      </c>
      <c r="L1179" s="1">
        <v>25000</v>
      </c>
      <c r="M1179" s="1" t="s">
        <v>2023</v>
      </c>
      <c r="N1179" s="1" t="s">
        <v>1429</v>
      </c>
      <c r="O1179" s="1">
        <v>0</v>
      </c>
      <c r="P1179" s="1" t="s">
        <v>2078</v>
      </c>
      <c r="Q1179" s="7" t="s">
        <v>2437</v>
      </c>
    </row>
    <row r="1180" spans="1:17" ht="14.25" thickBot="1">
      <c r="A1180" s="1" t="s">
        <v>1268</v>
      </c>
      <c r="B1180" s="3">
        <v>1</v>
      </c>
      <c r="C1180" s="9" t="s">
        <v>2253</v>
      </c>
      <c r="D1180" s="1" t="str">
        <f t="shared" si="84"/>
        <v>副手武器</v>
      </c>
      <c r="E1180" s="1">
        <f>INDEX([1]游戏类型定义!$C$20:$C$29,MATCH(D1180,[1]!装备部位,0))</f>
        <v>6</v>
      </c>
      <c r="F1180" s="1">
        <v>4</v>
      </c>
      <c r="G1180" s="1">
        <f t="shared" si="85"/>
        <v>40</v>
      </c>
      <c r="H1180" s="10" t="s">
        <v>2320</v>
      </c>
      <c r="I1180" s="1">
        <v>40000</v>
      </c>
      <c r="J1180" s="1">
        <v>50</v>
      </c>
      <c r="K1180" s="1">
        <v>500</v>
      </c>
      <c r="L1180" s="1">
        <v>22500</v>
      </c>
      <c r="M1180" s="1" t="s">
        <v>1926</v>
      </c>
      <c r="N1180" s="1" t="s">
        <v>1429</v>
      </c>
      <c r="O1180" s="1">
        <v>0</v>
      </c>
      <c r="P1180" s="1" t="s">
        <v>2078</v>
      </c>
      <c r="Q1180" s="7" t="s">
        <v>2438</v>
      </c>
    </row>
    <row r="1181" spans="1:17" ht="14.25" thickBot="1">
      <c r="A1181" s="1" t="s">
        <v>1269</v>
      </c>
      <c r="B1181" s="2">
        <v>0</v>
      </c>
      <c r="C1181" s="9" t="s">
        <v>2044</v>
      </c>
      <c r="D1181" s="1" t="str">
        <f t="shared" si="84"/>
        <v>副手武器</v>
      </c>
      <c r="E1181" s="1">
        <f>INDEX([1]游戏类型定义!$C$20:$C$29,MATCH(D1181,[1]!装备部位,0))</f>
        <v>6</v>
      </c>
      <c r="F1181" s="1">
        <v>4</v>
      </c>
      <c r="G1181" s="1">
        <f t="shared" si="85"/>
        <v>40</v>
      </c>
      <c r="H1181" s="10" t="s">
        <v>2320</v>
      </c>
      <c r="I1181" s="1">
        <v>43000</v>
      </c>
      <c r="J1181" s="1">
        <v>50</v>
      </c>
      <c r="K1181" s="1">
        <v>500</v>
      </c>
      <c r="L1181" s="1">
        <v>25000</v>
      </c>
      <c r="M1181" s="1" t="s">
        <v>1927</v>
      </c>
      <c r="N1181" s="1" t="s">
        <v>1429</v>
      </c>
      <c r="O1181" s="1">
        <v>0</v>
      </c>
      <c r="P1181" s="1" t="s">
        <v>2078</v>
      </c>
      <c r="Q1181" s="7" t="s">
        <v>2058</v>
      </c>
    </row>
    <row r="1182" spans="1:17" ht="14.25" thickBot="1">
      <c r="A1182" s="1" t="s">
        <v>1270</v>
      </c>
      <c r="B1182" s="3">
        <v>1</v>
      </c>
      <c r="C1182" s="1" t="s">
        <v>2254</v>
      </c>
      <c r="D1182" s="1" t="str">
        <f t="shared" si="84"/>
        <v>主手武器</v>
      </c>
      <c r="E1182" s="1">
        <f>INDEX([1]游戏类型定义!$C$20:$C$29,MATCH(D1182,[1]!装备部位,0))</f>
        <v>5</v>
      </c>
      <c r="F1182" s="1">
        <v>4</v>
      </c>
      <c r="G1182" s="1">
        <f t="shared" si="85"/>
        <v>40</v>
      </c>
      <c r="H1182" s="10" t="s">
        <v>2321</v>
      </c>
      <c r="I1182" s="1">
        <v>40000</v>
      </c>
      <c r="J1182" s="1">
        <v>50</v>
      </c>
      <c r="K1182" s="1">
        <v>500</v>
      </c>
      <c r="L1182" s="1">
        <v>22500</v>
      </c>
      <c r="M1182" s="1" t="s">
        <v>1925</v>
      </c>
      <c r="N1182" s="1" t="s">
        <v>1429</v>
      </c>
      <c r="O1182" s="1">
        <v>0</v>
      </c>
      <c r="P1182" s="1" t="s">
        <v>2078</v>
      </c>
      <c r="Q1182" s="7" t="s">
        <v>2439</v>
      </c>
    </row>
    <row r="1183" spans="1:17" ht="14.25" thickBot="1">
      <c r="A1183" s="1" t="s">
        <v>1271</v>
      </c>
      <c r="B1183" s="3">
        <v>1</v>
      </c>
      <c r="C1183" s="1" t="s">
        <v>2255</v>
      </c>
      <c r="D1183" s="1" t="str">
        <f t="shared" si="84"/>
        <v>主手武器</v>
      </c>
      <c r="E1183" s="1">
        <f>INDEX([1]游戏类型定义!$C$20:$C$29,MATCH(D1183,[1]!装备部位,0))</f>
        <v>5</v>
      </c>
      <c r="F1183" s="1">
        <v>4</v>
      </c>
      <c r="G1183" s="1">
        <f t="shared" si="85"/>
        <v>40</v>
      </c>
      <c r="H1183" s="10" t="s">
        <v>2321</v>
      </c>
      <c r="I1183" s="1">
        <v>43000</v>
      </c>
      <c r="J1183" s="1">
        <v>50</v>
      </c>
      <c r="K1183" s="1">
        <v>500</v>
      </c>
      <c r="L1183" s="1">
        <v>25000</v>
      </c>
      <c r="M1183" s="1" t="s">
        <v>2023</v>
      </c>
      <c r="N1183" s="1" t="s">
        <v>1429</v>
      </c>
      <c r="O1183" s="1">
        <v>0</v>
      </c>
      <c r="P1183" s="1" t="s">
        <v>2078</v>
      </c>
      <c r="Q1183" s="7" t="s">
        <v>2440</v>
      </c>
    </row>
    <row r="1184" spans="1:17" ht="14.25" thickBot="1">
      <c r="A1184" s="1" t="s">
        <v>1272</v>
      </c>
      <c r="B1184" s="3">
        <v>1</v>
      </c>
      <c r="C1184" s="9" t="s">
        <v>2256</v>
      </c>
      <c r="D1184" s="1" t="str">
        <f t="shared" si="84"/>
        <v>副手武器</v>
      </c>
      <c r="E1184" s="1">
        <f>INDEX([1]游戏类型定义!$C$20:$C$29,MATCH(D1184,[1]!装备部位,0))</f>
        <v>6</v>
      </c>
      <c r="F1184" s="1">
        <v>4</v>
      </c>
      <c r="G1184" s="1">
        <f t="shared" si="85"/>
        <v>40</v>
      </c>
      <c r="H1184" s="10" t="s">
        <v>2321</v>
      </c>
      <c r="I1184" s="1">
        <v>40000</v>
      </c>
      <c r="J1184" s="1">
        <v>50</v>
      </c>
      <c r="K1184" s="1">
        <v>500</v>
      </c>
      <c r="L1184" s="1">
        <v>22500</v>
      </c>
      <c r="M1184" s="1" t="s">
        <v>1924</v>
      </c>
      <c r="N1184" s="1" t="s">
        <v>1429</v>
      </c>
      <c r="O1184" s="1">
        <v>0</v>
      </c>
      <c r="P1184" s="1" t="s">
        <v>2078</v>
      </c>
      <c r="Q1184" s="7" t="s">
        <v>2441</v>
      </c>
    </row>
    <row r="1185" spans="1:17" ht="14.25" thickBot="1">
      <c r="A1185" s="1" t="s">
        <v>1273</v>
      </c>
      <c r="B1185" s="2">
        <v>0</v>
      </c>
      <c r="C1185" s="9" t="s">
        <v>2042</v>
      </c>
      <c r="D1185" s="1" t="str">
        <f t="shared" si="84"/>
        <v>副手武器</v>
      </c>
      <c r="E1185" s="1">
        <f>INDEX([1]游戏类型定义!$C$20:$C$29,MATCH(D1185,[1]!装备部位,0))</f>
        <v>6</v>
      </c>
      <c r="F1185" s="1">
        <v>4</v>
      </c>
      <c r="G1185" s="1">
        <f t="shared" si="85"/>
        <v>40</v>
      </c>
      <c r="H1185" s="10" t="s">
        <v>2321</v>
      </c>
      <c r="I1185" s="1">
        <v>43000</v>
      </c>
      <c r="J1185" s="1">
        <v>50</v>
      </c>
      <c r="K1185" s="1">
        <v>500</v>
      </c>
      <c r="L1185" s="1">
        <v>25000</v>
      </c>
      <c r="M1185" s="1" t="s">
        <v>1928</v>
      </c>
      <c r="N1185" s="1" t="s">
        <v>1429</v>
      </c>
      <c r="O1185" s="1">
        <v>0</v>
      </c>
      <c r="P1185" s="1" t="s">
        <v>2078</v>
      </c>
      <c r="Q1185" s="7" t="s">
        <v>2060</v>
      </c>
    </row>
    <row r="1186" spans="1:17" ht="14.25" thickBot="1">
      <c r="A1186" s="1" t="s">
        <v>1274</v>
      </c>
      <c r="B1186" s="3">
        <v>1</v>
      </c>
      <c r="C1186" s="9" t="s">
        <v>2258</v>
      </c>
      <c r="D1186" s="1" t="str">
        <f t="shared" si="84"/>
        <v>主手武器</v>
      </c>
      <c r="E1186" s="1">
        <f>INDEX([1]游戏类型定义!$C$20:$C$29,MATCH(D1186,[1]!装备部位,0))</f>
        <v>5</v>
      </c>
      <c r="F1186" s="1">
        <v>4</v>
      </c>
      <c r="G1186" s="1">
        <f t="shared" si="85"/>
        <v>40</v>
      </c>
      <c r="H1186" s="10" t="s">
        <v>2322</v>
      </c>
      <c r="I1186" s="1">
        <v>40000</v>
      </c>
      <c r="J1186" s="1">
        <v>50</v>
      </c>
      <c r="K1186" s="1">
        <v>500</v>
      </c>
      <c r="L1186" s="1">
        <v>22500</v>
      </c>
      <c r="M1186" s="1" t="s">
        <v>1925</v>
      </c>
      <c r="N1186" s="1" t="s">
        <v>1429</v>
      </c>
      <c r="O1186" s="1">
        <v>0</v>
      </c>
      <c r="P1186" s="1" t="s">
        <v>2078</v>
      </c>
      <c r="Q1186" s="7" t="s">
        <v>2442</v>
      </c>
    </row>
    <row r="1187" spans="1:17" ht="14.25" thickBot="1">
      <c r="A1187" s="1" t="s">
        <v>1275</v>
      </c>
      <c r="B1187" s="3">
        <v>1</v>
      </c>
      <c r="C1187" s="9" t="s">
        <v>2250</v>
      </c>
      <c r="D1187" s="1" t="str">
        <f t="shared" si="84"/>
        <v>主手武器</v>
      </c>
      <c r="E1187" s="1">
        <f>INDEX([1]游戏类型定义!$C$20:$C$29,MATCH(D1187,[1]!装备部位,0))</f>
        <v>5</v>
      </c>
      <c r="F1187" s="1">
        <v>4</v>
      </c>
      <c r="G1187" s="1">
        <f t="shared" si="85"/>
        <v>40</v>
      </c>
      <c r="H1187" s="10" t="s">
        <v>2322</v>
      </c>
      <c r="I1187" s="1">
        <v>43000</v>
      </c>
      <c r="J1187" s="1">
        <v>50</v>
      </c>
      <c r="K1187" s="1">
        <v>500</v>
      </c>
      <c r="L1187" s="1">
        <v>25000</v>
      </c>
      <c r="M1187" s="1" t="s">
        <v>2023</v>
      </c>
      <c r="N1187" s="1" t="s">
        <v>1429</v>
      </c>
      <c r="O1187" s="1">
        <v>0</v>
      </c>
      <c r="P1187" s="1" t="s">
        <v>2078</v>
      </c>
      <c r="Q1187" s="7" t="s">
        <v>2443</v>
      </c>
    </row>
    <row r="1188" spans="1:17" ht="14.25" thickBot="1">
      <c r="A1188" s="1" t="s">
        <v>1276</v>
      </c>
      <c r="B1188" s="3">
        <v>1</v>
      </c>
      <c r="C1188" s="9" t="s">
        <v>2259</v>
      </c>
      <c r="D1188" s="1" t="str">
        <f t="shared" si="84"/>
        <v>副手武器</v>
      </c>
      <c r="E1188" s="1">
        <f>INDEX([1]游戏类型定义!$C$20:$C$29,MATCH(D1188,[1]!装备部位,0))</f>
        <v>6</v>
      </c>
      <c r="F1188" s="1">
        <v>4</v>
      </c>
      <c r="G1188" s="1">
        <f t="shared" si="85"/>
        <v>40</v>
      </c>
      <c r="H1188" s="10" t="s">
        <v>2322</v>
      </c>
      <c r="I1188" s="1">
        <v>40000</v>
      </c>
      <c r="J1188" s="1">
        <v>50</v>
      </c>
      <c r="K1188" s="1">
        <v>500</v>
      </c>
      <c r="L1188" s="1">
        <v>22500</v>
      </c>
      <c r="M1188" s="1" t="s">
        <v>1929</v>
      </c>
      <c r="N1188" s="1" t="s">
        <v>1429</v>
      </c>
      <c r="O1188" s="1">
        <v>0</v>
      </c>
      <c r="P1188" s="1" t="s">
        <v>2078</v>
      </c>
      <c r="Q1188" s="7" t="s">
        <v>2444</v>
      </c>
    </row>
    <row r="1189" spans="1:17" ht="14.25" thickBot="1">
      <c r="A1189" s="1" t="s">
        <v>1277</v>
      </c>
      <c r="B1189" s="2">
        <v>0</v>
      </c>
      <c r="C1189" s="9" t="s">
        <v>2050</v>
      </c>
      <c r="D1189" s="1" t="str">
        <f t="shared" si="84"/>
        <v>副手武器</v>
      </c>
      <c r="E1189" s="1">
        <f>INDEX([1]游戏类型定义!$C$20:$C$29,MATCH(D1189,[1]!装备部位,0))</f>
        <v>6</v>
      </c>
      <c r="F1189" s="1">
        <v>4</v>
      </c>
      <c r="G1189" s="1">
        <f t="shared" si="85"/>
        <v>40</v>
      </c>
      <c r="H1189" s="10" t="s">
        <v>2322</v>
      </c>
      <c r="I1189" s="1">
        <v>43000</v>
      </c>
      <c r="J1189" s="1">
        <v>50</v>
      </c>
      <c r="K1189" s="1">
        <v>500</v>
      </c>
      <c r="L1189" s="1">
        <v>25000</v>
      </c>
      <c r="M1189" s="1" t="s">
        <v>1930</v>
      </c>
      <c r="N1189" s="1" t="s">
        <v>1429</v>
      </c>
      <c r="O1189" s="1">
        <v>0</v>
      </c>
      <c r="P1189" s="1" t="s">
        <v>2078</v>
      </c>
      <c r="Q1189" s="7" t="s">
        <v>2062</v>
      </c>
    </row>
    <row r="1190" spans="1:17" ht="14.25" thickBot="1">
      <c r="A1190" s="1" t="s">
        <v>1278</v>
      </c>
      <c r="B1190" s="3">
        <v>1</v>
      </c>
      <c r="C1190" s="1" t="s">
        <v>2167</v>
      </c>
      <c r="D1190" s="1" t="str">
        <f t="shared" si="84"/>
        <v>胸甲</v>
      </c>
      <c r="E1190" s="1">
        <f>INDEX([1]游戏类型定义!$C$20:$C$29,MATCH(D1190,[1]!装备部位,0))</f>
        <v>4</v>
      </c>
      <c r="F1190" s="1">
        <v>4</v>
      </c>
      <c r="G1190" s="1">
        <f t="shared" si="85"/>
        <v>40</v>
      </c>
      <c r="H1190" s="10">
        <v>0</v>
      </c>
      <c r="I1190" s="1">
        <v>40000</v>
      </c>
      <c r="J1190" s="1">
        <v>50</v>
      </c>
      <c r="K1190" s="1">
        <v>500</v>
      </c>
      <c r="L1190" s="1">
        <v>22500</v>
      </c>
      <c r="M1190" s="1" t="s">
        <v>1931</v>
      </c>
      <c r="N1190" s="1" t="s">
        <v>1428</v>
      </c>
      <c r="O1190" s="1">
        <v>0</v>
      </c>
      <c r="P1190" s="1" t="s">
        <v>2078</v>
      </c>
      <c r="Q1190" s="7" t="s">
        <v>2445</v>
      </c>
    </row>
    <row r="1191" spans="1:17" ht="14.25" thickBot="1">
      <c r="A1191" s="1" t="s">
        <v>1279</v>
      </c>
      <c r="B1191" s="2">
        <v>0</v>
      </c>
      <c r="C1191" s="1" t="s">
        <v>2030</v>
      </c>
      <c r="D1191" s="1" t="str">
        <f t="shared" si="84"/>
        <v>胸甲</v>
      </c>
      <c r="E1191" s="1">
        <f>INDEX([1]游戏类型定义!$C$20:$C$29,MATCH(D1191,[1]!装备部位,0))</f>
        <v>4</v>
      </c>
      <c r="F1191" s="1">
        <v>4</v>
      </c>
      <c r="G1191" s="1">
        <f t="shared" si="85"/>
        <v>40</v>
      </c>
      <c r="H1191" s="10">
        <v>0</v>
      </c>
      <c r="I1191" s="1">
        <v>43000</v>
      </c>
      <c r="J1191" s="1">
        <v>50</v>
      </c>
      <c r="K1191" s="1">
        <v>500</v>
      </c>
      <c r="L1191" s="1">
        <v>25000</v>
      </c>
      <c r="M1191" s="1" t="s">
        <v>1932</v>
      </c>
      <c r="N1191" s="1" t="s">
        <v>1428</v>
      </c>
      <c r="O1191" s="1">
        <v>0</v>
      </c>
      <c r="P1191" s="1" t="s">
        <v>2078</v>
      </c>
      <c r="Q1191" s="7" t="s">
        <v>2063</v>
      </c>
    </row>
    <row r="1192" spans="1:17" ht="14.25" thickBot="1">
      <c r="A1192" s="1" t="s">
        <v>1280</v>
      </c>
      <c r="B1192" s="3">
        <v>1</v>
      </c>
      <c r="C1192" s="1" t="s">
        <v>2185</v>
      </c>
      <c r="D1192" s="1" t="str">
        <f t="shared" si="84"/>
        <v>护腿</v>
      </c>
      <c r="E1192" s="1">
        <f>INDEX([1]游戏类型定义!$C$20:$C$29,MATCH(D1192,[1]!装备部位,0))</f>
        <v>7</v>
      </c>
      <c r="F1192" s="1">
        <v>4</v>
      </c>
      <c r="G1192" s="1">
        <f t="shared" si="85"/>
        <v>40</v>
      </c>
      <c r="H1192" s="10">
        <v>0</v>
      </c>
      <c r="I1192" s="1">
        <v>40000</v>
      </c>
      <c r="J1192" s="1">
        <v>50</v>
      </c>
      <c r="K1192" s="1">
        <v>500</v>
      </c>
      <c r="L1192" s="1">
        <v>22500</v>
      </c>
      <c r="M1192" s="1" t="s">
        <v>1933</v>
      </c>
      <c r="N1192" s="1" t="s">
        <v>1428</v>
      </c>
      <c r="O1192" s="1">
        <v>0</v>
      </c>
      <c r="P1192" s="1" t="s">
        <v>2078</v>
      </c>
      <c r="Q1192" s="7" t="s">
        <v>2446</v>
      </c>
    </row>
    <row r="1193" spans="1:17" ht="14.25" thickBot="1">
      <c r="A1193" s="1" t="s">
        <v>1281</v>
      </c>
      <c r="B1193" s="2">
        <v>0</v>
      </c>
      <c r="C1193" s="1" t="s">
        <v>2038</v>
      </c>
      <c r="D1193" s="1" t="str">
        <f t="shared" si="84"/>
        <v>护腿</v>
      </c>
      <c r="E1193" s="1">
        <f>INDEX([1]游戏类型定义!$C$20:$C$29,MATCH(D1193,[1]!装备部位,0))</f>
        <v>7</v>
      </c>
      <c r="F1193" s="1">
        <v>4</v>
      </c>
      <c r="G1193" s="1">
        <f t="shared" si="85"/>
        <v>40</v>
      </c>
      <c r="H1193" s="10">
        <v>0</v>
      </c>
      <c r="I1193" s="1">
        <v>43000</v>
      </c>
      <c r="J1193" s="1">
        <v>50</v>
      </c>
      <c r="K1193" s="1">
        <v>500</v>
      </c>
      <c r="L1193" s="1">
        <v>25000</v>
      </c>
      <c r="M1193" s="1" t="s">
        <v>1934</v>
      </c>
      <c r="N1193" s="1" t="s">
        <v>1428</v>
      </c>
      <c r="O1193" s="1">
        <v>0</v>
      </c>
      <c r="P1193" s="1" t="s">
        <v>2078</v>
      </c>
      <c r="Q1193" s="7" t="s">
        <v>2064</v>
      </c>
    </row>
    <row r="1194" spans="1:17" ht="14.25" thickBot="1">
      <c r="A1194" s="1" t="s">
        <v>1282</v>
      </c>
      <c r="B1194" s="2">
        <v>0</v>
      </c>
      <c r="C1194" s="1" t="s">
        <v>2104</v>
      </c>
      <c r="D1194" s="1" t="str">
        <f t="shared" si="84"/>
        <v>头盔</v>
      </c>
      <c r="E1194" s="1">
        <f>INDEX([1]游戏类型定义!$C$20:$C$29,MATCH(D1194,[1]!装备部位,0))</f>
        <v>1</v>
      </c>
      <c r="F1194" s="1">
        <v>4</v>
      </c>
      <c r="G1194" s="1">
        <f t="shared" si="85"/>
        <v>45</v>
      </c>
      <c r="H1194" s="10">
        <v>0</v>
      </c>
      <c r="I1194" s="1">
        <v>45000</v>
      </c>
      <c r="J1194" s="1">
        <v>50</v>
      </c>
      <c r="K1194" s="1">
        <v>500</v>
      </c>
      <c r="L1194" s="1">
        <v>25000</v>
      </c>
      <c r="M1194" s="1" t="s">
        <v>1920</v>
      </c>
      <c r="N1194" s="1" t="s">
        <v>1430</v>
      </c>
      <c r="O1194" s="1">
        <v>0</v>
      </c>
      <c r="P1194" s="1" t="s">
        <v>2079</v>
      </c>
      <c r="Q1194" s="7" t="s">
        <v>2051</v>
      </c>
    </row>
    <row r="1195" spans="1:17" ht="14.25" thickBot="1">
      <c r="A1195" s="1" t="s">
        <v>1283</v>
      </c>
      <c r="B1195" s="2">
        <v>0</v>
      </c>
      <c r="C1195" s="1" t="s">
        <v>2032</v>
      </c>
      <c r="D1195" s="1" t="str">
        <f t="shared" si="84"/>
        <v>戒指</v>
      </c>
      <c r="E1195" s="1">
        <f>INDEX([1]游戏类型定义!$C$20:$C$29,MATCH(D1195,[1]!装备部位,0))</f>
        <v>2</v>
      </c>
      <c r="F1195" s="1">
        <v>4</v>
      </c>
      <c r="G1195" s="1">
        <f t="shared" si="85"/>
        <v>45</v>
      </c>
      <c r="H1195" s="10">
        <v>0</v>
      </c>
      <c r="I1195" s="1">
        <v>45000</v>
      </c>
      <c r="J1195" s="1">
        <v>50</v>
      </c>
      <c r="K1195" s="1">
        <v>500</v>
      </c>
      <c r="L1195" s="1">
        <v>25000</v>
      </c>
      <c r="M1195" s="1" t="s">
        <v>1921</v>
      </c>
      <c r="N1195" s="1" t="s">
        <v>1430</v>
      </c>
      <c r="O1195" s="1">
        <v>0</v>
      </c>
      <c r="P1195" s="1" t="s">
        <v>2079</v>
      </c>
      <c r="Q1195" s="7" t="s">
        <v>2052</v>
      </c>
    </row>
    <row r="1196" spans="1:17" ht="14.25" thickBot="1">
      <c r="A1196" s="1" t="s">
        <v>1284</v>
      </c>
      <c r="B1196" s="3">
        <v>1</v>
      </c>
      <c r="C1196" s="1" t="s">
        <v>2110</v>
      </c>
      <c r="D1196" s="1" t="str">
        <f t="shared" ref="D1196:D1215" si="86">D866</f>
        <v>腰带</v>
      </c>
      <c r="E1196" s="1">
        <f>INDEX([1]游戏类型定义!$C$20:$C$29,MATCH(D1196,[1]!装备部位,0))</f>
        <v>3</v>
      </c>
      <c r="F1196" s="1">
        <v>4</v>
      </c>
      <c r="G1196" s="1">
        <f t="shared" ref="G1196:G1215" si="87">G866</f>
        <v>45</v>
      </c>
      <c r="H1196" s="10">
        <v>0</v>
      </c>
      <c r="I1196" s="1">
        <v>45000</v>
      </c>
      <c r="J1196" s="1">
        <v>50</v>
      </c>
      <c r="K1196" s="1">
        <v>500</v>
      </c>
      <c r="L1196" s="1">
        <v>25000</v>
      </c>
      <c r="M1196" s="1" t="s">
        <v>1935</v>
      </c>
      <c r="N1196" s="1" t="s">
        <v>1430</v>
      </c>
      <c r="O1196" s="1">
        <v>0</v>
      </c>
      <c r="P1196" s="1" t="s">
        <v>2079</v>
      </c>
      <c r="Q1196" s="7" t="s">
        <v>2447</v>
      </c>
    </row>
    <row r="1197" spans="1:17" ht="14.25" thickBot="1">
      <c r="A1197" s="1" t="s">
        <v>1285</v>
      </c>
      <c r="B1197" s="3">
        <v>1</v>
      </c>
      <c r="C1197" s="1" t="s">
        <v>2125</v>
      </c>
      <c r="D1197" s="1" t="str">
        <f t="shared" si="86"/>
        <v>鞋子</v>
      </c>
      <c r="E1197" s="1">
        <f>INDEX([1]游戏类型定义!$C$20:$C$29,MATCH(D1197,[1]!装备部位,0))</f>
        <v>8</v>
      </c>
      <c r="F1197" s="1">
        <v>4</v>
      </c>
      <c r="G1197" s="1">
        <f t="shared" si="87"/>
        <v>45</v>
      </c>
      <c r="H1197" s="10">
        <v>0</v>
      </c>
      <c r="I1197" s="1">
        <v>45000</v>
      </c>
      <c r="J1197" s="1">
        <v>50</v>
      </c>
      <c r="K1197" s="1">
        <v>500</v>
      </c>
      <c r="L1197" s="1">
        <v>25000</v>
      </c>
      <c r="M1197" s="1" t="s">
        <v>1936</v>
      </c>
      <c r="N1197" s="1" t="s">
        <v>1430</v>
      </c>
      <c r="O1197" s="1">
        <v>0</v>
      </c>
      <c r="P1197" s="1" t="s">
        <v>2079</v>
      </c>
      <c r="Q1197" s="7" t="s">
        <v>2448</v>
      </c>
    </row>
    <row r="1198" spans="1:17" ht="14.25" thickBot="1">
      <c r="A1198" s="1" t="s">
        <v>1286</v>
      </c>
      <c r="B1198" s="3">
        <v>1</v>
      </c>
      <c r="C1198" s="1" t="s">
        <v>2143</v>
      </c>
      <c r="D1198" s="1" t="str">
        <f t="shared" si="86"/>
        <v>手套</v>
      </c>
      <c r="E1198" s="1">
        <f>INDEX([1]游戏类型定义!$C$20:$C$29,MATCH(D1198,[1]!装备部位,0))</f>
        <v>9</v>
      </c>
      <c r="F1198" s="1">
        <v>4</v>
      </c>
      <c r="G1198" s="1">
        <f t="shared" si="87"/>
        <v>45</v>
      </c>
      <c r="H1198" s="10">
        <v>0</v>
      </c>
      <c r="I1198" s="1">
        <v>45000</v>
      </c>
      <c r="J1198" s="1">
        <v>50</v>
      </c>
      <c r="K1198" s="1">
        <v>500</v>
      </c>
      <c r="L1198" s="1">
        <v>25000</v>
      </c>
      <c r="M1198" s="1" t="s">
        <v>1937</v>
      </c>
      <c r="N1198" s="1" t="s">
        <v>1430</v>
      </c>
      <c r="O1198" s="1">
        <v>0</v>
      </c>
      <c r="P1198" s="1" t="s">
        <v>2079</v>
      </c>
      <c r="Q1198" s="7" t="s">
        <v>2449</v>
      </c>
    </row>
    <row r="1199" spans="1:17" ht="14.25" thickBot="1">
      <c r="A1199" s="1" t="s">
        <v>1287</v>
      </c>
      <c r="B1199" s="3">
        <v>1</v>
      </c>
      <c r="C1199" s="1" t="s">
        <v>2151</v>
      </c>
      <c r="D1199" s="1" t="str">
        <f t="shared" si="86"/>
        <v>项链</v>
      </c>
      <c r="E1199" s="1">
        <f>INDEX([1]游戏类型定义!$C$20:$C$29,MATCH(D1199,[1]!装备部位,0))</f>
        <v>10</v>
      </c>
      <c r="F1199" s="1">
        <v>4</v>
      </c>
      <c r="G1199" s="1">
        <f t="shared" si="87"/>
        <v>45</v>
      </c>
      <c r="H1199" s="10">
        <v>0</v>
      </c>
      <c r="I1199" s="1">
        <v>45000</v>
      </c>
      <c r="J1199" s="1">
        <v>50</v>
      </c>
      <c r="K1199" s="1">
        <v>500</v>
      </c>
      <c r="L1199" s="1">
        <v>25000</v>
      </c>
      <c r="M1199" s="1" t="s">
        <v>1938</v>
      </c>
      <c r="N1199" s="1" t="s">
        <v>1430</v>
      </c>
      <c r="O1199" s="1">
        <v>0</v>
      </c>
      <c r="P1199" s="1" t="s">
        <v>2079</v>
      </c>
      <c r="Q1199" s="7" t="s">
        <v>2450</v>
      </c>
    </row>
    <row r="1200" spans="1:17" ht="14.25" thickBot="1">
      <c r="A1200" s="1" t="s">
        <v>1288</v>
      </c>
      <c r="B1200" s="3">
        <v>1</v>
      </c>
      <c r="C1200" s="9" t="s">
        <v>2260</v>
      </c>
      <c r="D1200" s="1" t="str">
        <f t="shared" si="86"/>
        <v>主手武器</v>
      </c>
      <c r="E1200" s="1">
        <f>INDEX([1]游戏类型定义!$C$20:$C$29,MATCH(D1200,[1]!装备部位,0))</f>
        <v>5</v>
      </c>
      <c r="F1200" s="1">
        <v>4</v>
      </c>
      <c r="G1200" s="1">
        <f t="shared" si="87"/>
        <v>45</v>
      </c>
      <c r="H1200" s="10" t="s">
        <v>2320</v>
      </c>
      <c r="I1200" s="1">
        <v>45000</v>
      </c>
      <c r="J1200" s="1">
        <v>50</v>
      </c>
      <c r="K1200" s="1">
        <v>500</v>
      </c>
      <c r="L1200" s="1">
        <v>25000</v>
      </c>
      <c r="M1200" s="1" t="s">
        <v>2024</v>
      </c>
      <c r="N1200" s="1" t="s">
        <v>1431</v>
      </c>
      <c r="O1200" s="1">
        <v>0</v>
      </c>
      <c r="P1200" s="1" t="s">
        <v>2079</v>
      </c>
      <c r="Q1200" s="7" t="s">
        <v>2451</v>
      </c>
    </row>
    <row r="1201" spans="1:17" ht="14.25" thickBot="1">
      <c r="A1201" s="1" t="s">
        <v>1289</v>
      </c>
      <c r="B1201" s="2">
        <v>0</v>
      </c>
      <c r="C1201" s="9" t="s">
        <v>2046</v>
      </c>
      <c r="D1201" s="1" t="str">
        <f t="shared" si="86"/>
        <v>主手武器</v>
      </c>
      <c r="E1201" s="1">
        <f>INDEX([1]游戏类型定义!$C$20:$C$29,MATCH(D1201,[1]!装备部位,0))</f>
        <v>5</v>
      </c>
      <c r="F1201" s="1">
        <v>4</v>
      </c>
      <c r="G1201" s="1">
        <f t="shared" si="87"/>
        <v>45</v>
      </c>
      <c r="H1201" s="10" t="s">
        <v>2320</v>
      </c>
      <c r="I1201" s="1">
        <v>48000</v>
      </c>
      <c r="J1201" s="1">
        <v>50</v>
      </c>
      <c r="K1201" s="1">
        <v>500</v>
      </c>
      <c r="L1201" s="1">
        <v>27500</v>
      </c>
      <c r="M1201" s="1" t="s">
        <v>2025</v>
      </c>
      <c r="N1201" s="1" t="s">
        <v>1431</v>
      </c>
      <c r="O1201" s="1">
        <v>0</v>
      </c>
      <c r="P1201" s="1" t="s">
        <v>2079</v>
      </c>
      <c r="Q1201" s="7" t="s">
        <v>2057</v>
      </c>
    </row>
    <row r="1202" spans="1:17" ht="14.25" thickBot="1">
      <c r="A1202" s="1" t="s">
        <v>1290</v>
      </c>
      <c r="B1202" s="3">
        <v>1</v>
      </c>
      <c r="C1202" s="9" t="s">
        <v>2261</v>
      </c>
      <c r="D1202" s="1" t="str">
        <f t="shared" si="86"/>
        <v>副手武器</v>
      </c>
      <c r="E1202" s="1">
        <f>INDEX([1]游戏类型定义!$C$20:$C$29,MATCH(D1202,[1]!装备部位,0))</f>
        <v>6</v>
      </c>
      <c r="F1202" s="1">
        <v>4</v>
      </c>
      <c r="G1202" s="1">
        <f t="shared" si="87"/>
        <v>45</v>
      </c>
      <c r="H1202" s="10" t="s">
        <v>2320</v>
      </c>
      <c r="I1202" s="1">
        <v>45000</v>
      </c>
      <c r="J1202" s="1">
        <v>50</v>
      </c>
      <c r="K1202" s="1">
        <v>500</v>
      </c>
      <c r="L1202" s="1">
        <v>25000</v>
      </c>
      <c r="M1202" s="1" t="s">
        <v>1939</v>
      </c>
      <c r="N1202" s="1" t="s">
        <v>1431</v>
      </c>
      <c r="O1202" s="1">
        <v>0</v>
      </c>
      <c r="P1202" s="1" t="s">
        <v>2079</v>
      </c>
      <c r="Q1202" s="7" t="s">
        <v>2452</v>
      </c>
    </row>
    <row r="1203" spans="1:17" ht="14.25" thickBot="1">
      <c r="A1203" s="1" t="s">
        <v>1291</v>
      </c>
      <c r="B1203" s="2">
        <v>0</v>
      </c>
      <c r="C1203" s="9" t="s">
        <v>2044</v>
      </c>
      <c r="D1203" s="1" t="str">
        <f t="shared" si="86"/>
        <v>副手武器</v>
      </c>
      <c r="E1203" s="1">
        <f>INDEX([1]游戏类型定义!$C$20:$C$29,MATCH(D1203,[1]!装备部位,0))</f>
        <v>6</v>
      </c>
      <c r="F1203" s="1">
        <v>4</v>
      </c>
      <c r="G1203" s="1">
        <f t="shared" si="87"/>
        <v>45</v>
      </c>
      <c r="H1203" s="10" t="s">
        <v>2320</v>
      </c>
      <c r="I1203" s="1">
        <v>48000</v>
      </c>
      <c r="J1203" s="1">
        <v>50</v>
      </c>
      <c r="K1203" s="1">
        <v>500</v>
      </c>
      <c r="L1203" s="1">
        <v>27500</v>
      </c>
      <c r="M1203" s="1" t="s">
        <v>1940</v>
      </c>
      <c r="N1203" s="1" t="s">
        <v>1431</v>
      </c>
      <c r="O1203" s="1">
        <v>0</v>
      </c>
      <c r="P1203" s="1" t="s">
        <v>2079</v>
      </c>
      <c r="Q1203" s="7" t="s">
        <v>2058</v>
      </c>
    </row>
    <row r="1204" spans="1:17" ht="14.25" thickBot="1">
      <c r="A1204" s="1" t="s">
        <v>1292</v>
      </c>
      <c r="B1204" s="3">
        <v>1</v>
      </c>
      <c r="C1204" s="1" t="s">
        <v>2262</v>
      </c>
      <c r="D1204" s="1" t="str">
        <f t="shared" si="86"/>
        <v>主手武器</v>
      </c>
      <c r="E1204" s="1">
        <f>INDEX([1]游戏类型定义!$C$20:$C$29,MATCH(D1204,[1]!装备部位,0))</f>
        <v>5</v>
      </c>
      <c r="F1204" s="1">
        <v>4</v>
      </c>
      <c r="G1204" s="1">
        <f t="shared" si="87"/>
        <v>45</v>
      </c>
      <c r="H1204" s="10" t="s">
        <v>2321</v>
      </c>
      <c r="I1204" s="1">
        <v>45000</v>
      </c>
      <c r="J1204" s="1">
        <v>50</v>
      </c>
      <c r="K1204" s="1">
        <v>500</v>
      </c>
      <c r="L1204" s="1">
        <v>25000</v>
      </c>
      <c r="M1204" s="1" t="s">
        <v>2024</v>
      </c>
      <c r="N1204" s="1" t="s">
        <v>1431</v>
      </c>
      <c r="O1204" s="1">
        <v>0</v>
      </c>
      <c r="P1204" s="1" t="s">
        <v>2079</v>
      </c>
      <c r="Q1204" s="7" t="s">
        <v>2453</v>
      </c>
    </row>
    <row r="1205" spans="1:17" ht="14.25" thickBot="1">
      <c r="A1205" s="1" t="s">
        <v>1293</v>
      </c>
      <c r="B1205" s="2">
        <v>0</v>
      </c>
      <c r="C1205" s="1" t="s">
        <v>2040</v>
      </c>
      <c r="D1205" s="1" t="str">
        <f t="shared" si="86"/>
        <v>主手武器</v>
      </c>
      <c r="E1205" s="1">
        <f>INDEX([1]游戏类型定义!$C$20:$C$29,MATCH(D1205,[1]!装备部位,0))</f>
        <v>5</v>
      </c>
      <c r="F1205" s="1">
        <v>4</v>
      </c>
      <c r="G1205" s="1">
        <f t="shared" si="87"/>
        <v>45</v>
      </c>
      <c r="H1205" s="10" t="s">
        <v>2321</v>
      </c>
      <c r="I1205" s="1">
        <v>48000</v>
      </c>
      <c r="J1205" s="1">
        <v>50</v>
      </c>
      <c r="K1205" s="1">
        <v>500</v>
      </c>
      <c r="L1205" s="1">
        <v>27500</v>
      </c>
      <c r="M1205" s="1" t="s">
        <v>2025</v>
      </c>
      <c r="N1205" s="1" t="s">
        <v>1431</v>
      </c>
      <c r="O1205" s="1">
        <v>0</v>
      </c>
      <c r="P1205" s="1" t="s">
        <v>2079</v>
      </c>
      <c r="Q1205" s="7" t="s">
        <v>2059</v>
      </c>
    </row>
    <row r="1206" spans="1:17" ht="14.25" thickBot="1">
      <c r="A1206" s="1" t="s">
        <v>1294</v>
      </c>
      <c r="B1206" s="3">
        <v>1</v>
      </c>
      <c r="C1206" s="9" t="s">
        <v>2263</v>
      </c>
      <c r="D1206" s="1" t="str">
        <f t="shared" si="86"/>
        <v>副手武器</v>
      </c>
      <c r="E1206" s="1">
        <f>INDEX([1]游戏类型定义!$C$20:$C$29,MATCH(D1206,[1]!装备部位,0))</f>
        <v>6</v>
      </c>
      <c r="F1206" s="1">
        <v>4</v>
      </c>
      <c r="G1206" s="1">
        <f t="shared" si="87"/>
        <v>45</v>
      </c>
      <c r="H1206" s="10" t="s">
        <v>2321</v>
      </c>
      <c r="I1206" s="1">
        <v>45000</v>
      </c>
      <c r="J1206" s="1">
        <v>50</v>
      </c>
      <c r="K1206" s="1">
        <v>500</v>
      </c>
      <c r="L1206" s="1">
        <v>25000</v>
      </c>
      <c r="M1206" s="1" t="s">
        <v>1941</v>
      </c>
      <c r="N1206" s="1" t="s">
        <v>1431</v>
      </c>
      <c r="O1206" s="1">
        <v>0</v>
      </c>
      <c r="P1206" s="1" t="s">
        <v>2079</v>
      </c>
      <c r="Q1206" s="7" t="s">
        <v>2454</v>
      </c>
    </row>
    <row r="1207" spans="1:17" ht="14.25" thickBot="1">
      <c r="A1207" s="1" t="s">
        <v>1295</v>
      </c>
      <c r="B1207" s="2">
        <v>0</v>
      </c>
      <c r="C1207" s="9" t="s">
        <v>2042</v>
      </c>
      <c r="D1207" s="1" t="str">
        <f t="shared" si="86"/>
        <v>副手武器</v>
      </c>
      <c r="E1207" s="1">
        <f>INDEX([1]游戏类型定义!$C$20:$C$29,MATCH(D1207,[1]!装备部位,0))</f>
        <v>6</v>
      </c>
      <c r="F1207" s="1">
        <v>4</v>
      </c>
      <c r="G1207" s="1">
        <f t="shared" si="87"/>
        <v>45</v>
      </c>
      <c r="H1207" s="10" t="s">
        <v>2321</v>
      </c>
      <c r="I1207" s="1">
        <v>48000</v>
      </c>
      <c r="J1207" s="1">
        <v>50</v>
      </c>
      <c r="K1207" s="1">
        <v>500</v>
      </c>
      <c r="L1207" s="1">
        <v>27500</v>
      </c>
      <c r="M1207" s="1" t="s">
        <v>1942</v>
      </c>
      <c r="N1207" s="1" t="s">
        <v>1431</v>
      </c>
      <c r="O1207" s="1">
        <v>0</v>
      </c>
      <c r="P1207" s="1" t="s">
        <v>2079</v>
      </c>
      <c r="Q1207" s="7" t="s">
        <v>2060</v>
      </c>
    </row>
    <row r="1208" spans="1:17" ht="14.25" thickBot="1">
      <c r="A1208" s="1" t="s">
        <v>1296</v>
      </c>
      <c r="B1208" s="3">
        <v>1</v>
      </c>
      <c r="C1208" s="9" t="s">
        <v>2257</v>
      </c>
      <c r="D1208" s="1" t="str">
        <f t="shared" si="86"/>
        <v>主手武器</v>
      </c>
      <c r="E1208" s="1">
        <f>INDEX([1]游戏类型定义!$C$20:$C$29,MATCH(D1208,[1]!装备部位,0))</f>
        <v>5</v>
      </c>
      <c r="F1208" s="1">
        <v>4</v>
      </c>
      <c r="G1208" s="1">
        <f t="shared" si="87"/>
        <v>45</v>
      </c>
      <c r="H1208" s="10" t="s">
        <v>2322</v>
      </c>
      <c r="I1208" s="1">
        <v>45000</v>
      </c>
      <c r="J1208" s="1">
        <v>50</v>
      </c>
      <c r="K1208" s="1">
        <v>500</v>
      </c>
      <c r="L1208" s="1">
        <v>25000</v>
      </c>
      <c r="M1208" s="1" t="s">
        <v>2024</v>
      </c>
      <c r="N1208" s="1" t="s">
        <v>1431</v>
      </c>
      <c r="O1208" s="1">
        <v>0</v>
      </c>
      <c r="P1208" s="1" t="s">
        <v>2079</v>
      </c>
      <c r="Q1208" s="7" t="s">
        <v>2455</v>
      </c>
    </row>
    <row r="1209" spans="1:17" ht="14.25" thickBot="1">
      <c r="A1209" s="1" t="s">
        <v>1297</v>
      </c>
      <c r="B1209" s="3">
        <v>1</v>
      </c>
      <c r="C1209" s="9" t="s">
        <v>2264</v>
      </c>
      <c r="D1209" s="1" t="str">
        <f t="shared" si="86"/>
        <v>主手武器</v>
      </c>
      <c r="E1209" s="1">
        <f>INDEX([1]游戏类型定义!$C$20:$C$29,MATCH(D1209,[1]!装备部位,0))</f>
        <v>5</v>
      </c>
      <c r="F1209" s="1">
        <v>4</v>
      </c>
      <c r="G1209" s="1">
        <f t="shared" si="87"/>
        <v>45</v>
      </c>
      <c r="H1209" s="10" t="s">
        <v>2322</v>
      </c>
      <c r="I1209" s="1">
        <v>48000</v>
      </c>
      <c r="J1209" s="1">
        <v>50</v>
      </c>
      <c r="K1209" s="1">
        <v>500</v>
      </c>
      <c r="L1209" s="1">
        <v>27500</v>
      </c>
      <c r="M1209" s="1" t="s">
        <v>2025</v>
      </c>
      <c r="N1209" s="1" t="s">
        <v>1431</v>
      </c>
      <c r="O1209" s="1">
        <v>0</v>
      </c>
      <c r="P1209" s="1" t="s">
        <v>2079</v>
      </c>
      <c r="Q1209" s="7" t="s">
        <v>2456</v>
      </c>
    </row>
    <row r="1210" spans="1:17" ht="14.25" thickBot="1">
      <c r="A1210" s="1" t="s">
        <v>1298</v>
      </c>
      <c r="B1210" s="3">
        <v>1</v>
      </c>
      <c r="C1210" s="9" t="s">
        <v>2266</v>
      </c>
      <c r="D1210" s="1" t="str">
        <f t="shared" si="86"/>
        <v>副手武器</v>
      </c>
      <c r="E1210" s="1">
        <f>INDEX([1]游戏类型定义!$C$20:$C$29,MATCH(D1210,[1]!装备部位,0))</f>
        <v>6</v>
      </c>
      <c r="F1210" s="1">
        <v>4</v>
      </c>
      <c r="G1210" s="1">
        <f t="shared" si="87"/>
        <v>45</v>
      </c>
      <c r="H1210" s="10" t="s">
        <v>2322</v>
      </c>
      <c r="I1210" s="1">
        <v>45000</v>
      </c>
      <c r="J1210" s="1">
        <v>50</v>
      </c>
      <c r="K1210" s="1">
        <v>500</v>
      </c>
      <c r="L1210" s="1">
        <v>25000</v>
      </c>
      <c r="M1210" s="1" t="s">
        <v>1943</v>
      </c>
      <c r="N1210" s="1" t="s">
        <v>1431</v>
      </c>
      <c r="O1210" s="1">
        <v>0</v>
      </c>
      <c r="P1210" s="1" t="s">
        <v>2079</v>
      </c>
      <c r="Q1210" s="7" t="s">
        <v>2457</v>
      </c>
    </row>
    <row r="1211" spans="1:17" ht="14.25" thickBot="1">
      <c r="A1211" s="1" t="s">
        <v>1299</v>
      </c>
      <c r="B1211" s="2">
        <v>0</v>
      </c>
      <c r="C1211" s="9" t="s">
        <v>2050</v>
      </c>
      <c r="D1211" s="1" t="str">
        <f t="shared" si="86"/>
        <v>副手武器</v>
      </c>
      <c r="E1211" s="1">
        <f>INDEX([1]游戏类型定义!$C$20:$C$29,MATCH(D1211,[1]!装备部位,0))</f>
        <v>6</v>
      </c>
      <c r="F1211" s="1">
        <v>4</v>
      </c>
      <c r="G1211" s="1">
        <f t="shared" si="87"/>
        <v>45</v>
      </c>
      <c r="H1211" s="10" t="s">
        <v>2322</v>
      </c>
      <c r="I1211" s="1">
        <v>48000</v>
      </c>
      <c r="J1211" s="1">
        <v>50</v>
      </c>
      <c r="K1211" s="1">
        <v>500</v>
      </c>
      <c r="L1211" s="1">
        <v>27500</v>
      </c>
      <c r="M1211" s="1" t="s">
        <v>1944</v>
      </c>
      <c r="N1211" s="1" t="s">
        <v>1431</v>
      </c>
      <c r="O1211" s="1">
        <v>0</v>
      </c>
      <c r="P1211" s="1" t="s">
        <v>2079</v>
      </c>
      <c r="Q1211" s="7" t="s">
        <v>2062</v>
      </c>
    </row>
    <row r="1212" spans="1:17" ht="14.25" thickBot="1">
      <c r="A1212" s="1" t="s">
        <v>1300</v>
      </c>
      <c r="B1212" s="3">
        <v>1</v>
      </c>
      <c r="C1212" s="1" t="s">
        <v>2168</v>
      </c>
      <c r="D1212" s="1" t="str">
        <f t="shared" si="86"/>
        <v>胸甲</v>
      </c>
      <c r="E1212" s="1">
        <f>INDEX([1]游戏类型定义!$C$20:$C$29,MATCH(D1212,[1]!装备部位,0))</f>
        <v>4</v>
      </c>
      <c r="F1212" s="1">
        <v>4</v>
      </c>
      <c r="G1212" s="1">
        <f t="shared" si="87"/>
        <v>45</v>
      </c>
      <c r="H1212" s="10">
        <v>0</v>
      </c>
      <c r="I1212" s="1">
        <v>45000</v>
      </c>
      <c r="J1212" s="1">
        <v>50</v>
      </c>
      <c r="K1212" s="1">
        <v>500</v>
      </c>
      <c r="L1212" s="1">
        <v>25000</v>
      </c>
      <c r="M1212" s="1" t="s">
        <v>1945</v>
      </c>
      <c r="N1212" s="1" t="s">
        <v>1430</v>
      </c>
      <c r="O1212" s="1">
        <v>0</v>
      </c>
      <c r="P1212" s="1" t="s">
        <v>2079</v>
      </c>
      <c r="Q1212" s="7" t="s">
        <v>2458</v>
      </c>
    </row>
    <row r="1213" spans="1:17" ht="14.25" thickBot="1">
      <c r="A1213" s="1" t="s">
        <v>1301</v>
      </c>
      <c r="B1213" s="3">
        <v>1</v>
      </c>
      <c r="C1213" s="1" t="s">
        <v>2169</v>
      </c>
      <c r="D1213" s="1" t="str">
        <f t="shared" si="86"/>
        <v>胸甲</v>
      </c>
      <c r="E1213" s="1">
        <f>INDEX([1]游戏类型定义!$C$20:$C$29,MATCH(D1213,[1]!装备部位,0))</f>
        <v>4</v>
      </c>
      <c r="F1213" s="1">
        <v>4</v>
      </c>
      <c r="G1213" s="1">
        <f t="shared" si="87"/>
        <v>45</v>
      </c>
      <c r="H1213" s="10">
        <v>0</v>
      </c>
      <c r="I1213" s="1">
        <v>48000</v>
      </c>
      <c r="J1213" s="1">
        <v>50</v>
      </c>
      <c r="K1213" s="1">
        <v>500</v>
      </c>
      <c r="L1213" s="1">
        <v>27500</v>
      </c>
      <c r="M1213" s="1" t="s">
        <v>1946</v>
      </c>
      <c r="N1213" s="1" t="s">
        <v>1430</v>
      </c>
      <c r="O1213" s="1">
        <v>0</v>
      </c>
      <c r="P1213" s="1" t="s">
        <v>2079</v>
      </c>
      <c r="Q1213" s="7" t="s">
        <v>2459</v>
      </c>
    </row>
    <row r="1214" spans="1:17" ht="14.25" thickBot="1">
      <c r="A1214" s="1" t="s">
        <v>1302</v>
      </c>
      <c r="B1214" s="3">
        <v>1</v>
      </c>
      <c r="C1214" s="1" t="s">
        <v>2186</v>
      </c>
      <c r="D1214" s="1" t="str">
        <f t="shared" si="86"/>
        <v>护腿</v>
      </c>
      <c r="E1214" s="1">
        <f>INDEX([1]游戏类型定义!$C$20:$C$29,MATCH(D1214,[1]!装备部位,0))</f>
        <v>7</v>
      </c>
      <c r="F1214" s="1">
        <v>4</v>
      </c>
      <c r="G1214" s="1">
        <f t="shared" si="87"/>
        <v>45</v>
      </c>
      <c r="H1214" s="10">
        <v>0</v>
      </c>
      <c r="I1214" s="1">
        <v>45000</v>
      </c>
      <c r="J1214" s="1">
        <v>50</v>
      </c>
      <c r="K1214" s="1">
        <v>500</v>
      </c>
      <c r="L1214" s="1">
        <v>25000</v>
      </c>
      <c r="M1214" s="1" t="s">
        <v>1931</v>
      </c>
      <c r="N1214" s="1" t="s">
        <v>1430</v>
      </c>
      <c r="O1214" s="1">
        <v>0</v>
      </c>
      <c r="P1214" s="1" t="s">
        <v>2079</v>
      </c>
      <c r="Q1214" s="7" t="s">
        <v>2460</v>
      </c>
    </row>
    <row r="1215" spans="1:17" ht="14.25" thickBot="1">
      <c r="A1215" s="1" t="s">
        <v>1303</v>
      </c>
      <c r="B1215" s="3">
        <v>1</v>
      </c>
      <c r="C1215" s="1" t="s">
        <v>2187</v>
      </c>
      <c r="D1215" s="1" t="str">
        <f t="shared" si="86"/>
        <v>护腿</v>
      </c>
      <c r="E1215" s="1">
        <f>INDEX([1]游戏类型定义!$C$20:$C$29,MATCH(D1215,[1]!装备部位,0))</f>
        <v>7</v>
      </c>
      <c r="F1215" s="1">
        <v>4</v>
      </c>
      <c r="G1215" s="1">
        <f t="shared" si="87"/>
        <v>45</v>
      </c>
      <c r="H1215" s="10">
        <v>0</v>
      </c>
      <c r="I1215" s="1">
        <v>48000</v>
      </c>
      <c r="J1215" s="1">
        <v>50</v>
      </c>
      <c r="K1215" s="1">
        <v>500</v>
      </c>
      <c r="L1215" s="1">
        <v>27500</v>
      </c>
      <c r="M1215" s="1" t="s">
        <v>1932</v>
      </c>
      <c r="N1215" s="1" t="s">
        <v>1430</v>
      </c>
      <c r="O1215" s="1">
        <v>0</v>
      </c>
      <c r="P1215" s="1" t="s">
        <v>2079</v>
      </c>
      <c r="Q1215" s="7" t="s">
        <v>2461</v>
      </c>
    </row>
    <row r="1216" spans="1:17" ht="14.25" thickBot="1">
      <c r="A1216" s="1" t="s">
        <v>1304</v>
      </c>
      <c r="B1216" s="3">
        <v>1</v>
      </c>
      <c r="C1216" s="1" t="s">
        <v>2105</v>
      </c>
      <c r="D1216" s="1" t="str">
        <f t="shared" ref="D1216:D1235" si="88">D886</f>
        <v>头盔</v>
      </c>
      <c r="E1216" s="1">
        <f>INDEX([1]游戏类型定义!$C$20:$C$29,MATCH(D1216,[1]!装备部位,0))</f>
        <v>1</v>
      </c>
      <c r="F1216" s="1">
        <v>4</v>
      </c>
      <c r="G1216" s="1">
        <f t="shared" ref="G1216:G1235" si="89">G886</f>
        <v>50</v>
      </c>
      <c r="H1216" s="10">
        <v>0</v>
      </c>
      <c r="I1216" s="1">
        <v>50000</v>
      </c>
      <c r="J1216" s="1">
        <v>50</v>
      </c>
      <c r="K1216" s="1">
        <v>500</v>
      </c>
      <c r="L1216" s="1">
        <v>27500</v>
      </c>
      <c r="M1216" s="1" t="s">
        <v>1947</v>
      </c>
      <c r="N1216" s="1" t="s">
        <v>1432</v>
      </c>
      <c r="O1216" s="1">
        <v>0</v>
      </c>
      <c r="P1216" s="1" t="s">
        <v>2080</v>
      </c>
      <c r="Q1216" s="7" t="s">
        <v>2462</v>
      </c>
    </row>
    <row r="1217" spans="1:17" ht="14.25" thickBot="1">
      <c r="A1217" s="1" t="s">
        <v>1305</v>
      </c>
      <c r="B1217" s="3">
        <v>1</v>
      </c>
      <c r="C1217" s="1" t="s">
        <v>2115</v>
      </c>
      <c r="D1217" s="1" t="str">
        <f t="shared" si="88"/>
        <v>戒指</v>
      </c>
      <c r="E1217" s="1">
        <f>INDEX([1]游戏类型定义!$C$20:$C$29,MATCH(D1217,[1]!装备部位,0))</f>
        <v>2</v>
      </c>
      <c r="F1217" s="1">
        <v>4</v>
      </c>
      <c r="G1217" s="1">
        <f t="shared" si="89"/>
        <v>50</v>
      </c>
      <c r="H1217" s="10">
        <v>0</v>
      </c>
      <c r="I1217" s="1">
        <v>50000</v>
      </c>
      <c r="J1217" s="1">
        <v>50</v>
      </c>
      <c r="K1217" s="1">
        <v>500</v>
      </c>
      <c r="L1217" s="1">
        <v>27500</v>
      </c>
      <c r="M1217" s="1" t="s">
        <v>1948</v>
      </c>
      <c r="N1217" s="1" t="s">
        <v>1432</v>
      </c>
      <c r="O1217" s="1">
        <v>0</v>
      </c>
      <c r="P1217" s="1" t="s">
        <v>2080</v>
      </c>
      <c r="Q1217" s="7" t="s">
        <v>2463</v>
      </c>
    </row>
    <row r="1218" spans="1:17" ht="14.25" thickBot="1">
      <c r="A1218" s="1" t="s">
        <v>1306</v>
      </c>
      <c r="B1218" s="3">
        <v>1</v>
      </c>
      <c r="C1218" s="1" t="s">
        <v>2092</v>
      </c>
      <c r="D1218" s="1" t="str">
        <f t="shared" si="88"/>
        <v>腰带</v>
      </c>
      <c r="E1218" s="1">
        <f>INDEX([1]游戏类型定义!$C$20:$C$29,MATCH(D1218,[1]!装备部位,0))</f>
        <v>3</v>
      </c>
      <c r="F1218" s="1">
        <v>4</v>
      </c>
      <c r="G1218" s="1">
        <f t="shared" si="89"/>
        <v>50</v>
      </c>
      <c r="H1218" s="10">
        <v>0</v>
      </c>
      <c r="I1218" s="1">
        <v>50000</v>
      </c>
      <c r="J1218" s="1">
        <v>50</v>
      </c>
      <c r="K1218" s="1">
        <v>500</v>
      </c>
      <c r="L1218" s="1">
        <v>27500</v>
      </c>
      <c r="M1218" s="1" t="s">
        <v>1949</v>
      </c>
      <c r="N1218" s="1" t="s">
        <v>1432</v>
      </c>
      <c r="O1218" s="1">
        <v>0</v>
      </c>
      <c r="P1218" s="1" t="s">
        <v>2080</v>
      </c>
      <c r="Q1218" s="7" t="s">
        <v>2464</v>
      </c>
    </row>
    <row r="1219" spans="1:17" ht="14.25" thickBot="1">
      <c r="A1219" s="1" t="s">
        <v>1307</v>
      </c>
      <c r="B1219" s="2">
        <v>0</v>
      </c>
      <c r="C1219" s="1" t="s">
        <v>2127</v>
      </c>
      <c r="D1219" s="1" t="str">
        <f t="shared" si="88"/>
        <v>鞋子</v>
      </c>
      <c r="E1219" s="1">
        <f>INDEX([1]游戏类型定义!$C$20:$C$29,MATCH(D1219,[1]!装备部位,0))</f>
        <v>8</v>
      </c>
      <c r="F1219" s="1">
        <v>4</v>
      </c>
      <c r="G1219" s="1">
        <f t="shared" si="89"/>
        <v>50</v>
      </c>
      <c r="H1219" s="10">
        <v>0</v>
      </c>
      <c r="I1219" s="1">
        <v>50000</v>
      </c>
      <c r="J1219" s="1">
        <v>50</v>
      </c>
      <c r="K1219" s="1">
        <v>500</v>
      </c>
      <c r="L1219" s="1">
        <v>27500</v>
      </c>
      <c r="M1219" s="1" t="s">
        <v>1950</v>
      </c>
      <c r="N1219" s="1" t="s">
        <v>1432</v>
      </c>
      <c r="O1219" s="1">
        <v>0</v>
      </c>
      <c r="P1219" s="1" t="s">
        <v>2080</v>
      </c>
      <c r="Q1219" s="7" t="s">
        <v>2054</v>
      </c>
    </row>
    <row r="1220" spans="1:17" ht="14.25" thickBot="1">
      <c r="A1220" s="1" t="s">
        <v>1308</v>
      </c>
      <c r="B1220" s="3">
        <v>1</v>
      </c>
      <c r="C1220" s="1" t="s">
        <v>2137</v>
      </c>
      <c r="D1220" s="1" t="str">
        <f t="shared" si="88"/>
        <v>手套</v>
      </c>
      <c r="E1220" s="1">
        <f>INDEX([1]游戏类型定义!$C$20:$C$29,MATCH(D1220,[1]!装备部位,0))</f>
        <v>9</v>
      </c>
      <c r="F1220" s="1">
        <v>4</v>
      </c>
      <c r="G1220" s="1">
        <f t="shared" si="89"/>
        <v>50</v>
      </c>
      <c r="H1220" s="10">
        <v>0</v>
      </c>
      <c r="I1220" s="1">
        <v>50000</v>
      </c>
      <c r="J1220" s="1">
        <v>50</v>
      </c>
      <c r="K1220" s="1">
        <v>500</v>
      </c>
      <c r="L1220" s="1">
        <v>27500</v>
      </c>
      <c r="M1220" s="1" t="s">
        <v>1951</v>
      </c>
      <c r="N1220" s="1" t="s">
        <v>1432</v>
      </c>
      <c r="O1220" s="1">
        <v>0</v>
      </c>
      <c r="P1220" s="1" t="s">
        <v>2080</v>
      </c>
      <c r="Q1220" s="7" t="s">
        <v>2465</v>
      </c>
    </row>
    <row r="1221" spans="1:17" ht="14.25" thickBot="1">
      <c r="A1221" s="1" t="s">
        <v>1309</v>
      </c>
      <c r="B1221" s="3">
        <v>1</v>
      </c>
      <c r="C1221" s="1" t="s">
        <v>2152</v>
      </c>
      <c r="D1221" s="1" t="str">
        <f t="shared" si="88"/>
        <v>项链</v>
      </c>
      <c r="E1221" s="1">
        <f>INDEX([1]游戏类型定义!$C$20:$C$29,MATCH(D1221,[1]!装备部位,0))</f>
        <v>10</v>
      </c>
      <c r="F1221" s="1">
        <v>4</v>
      </c>
      <c r="G1221" s="1">
        <f t="shared" si="89"/>
        <v>50</v>
      </c>
      <c r="H1221" s="10">
        <v>0</v>
      </c>
      <c r="I1221" s="1">
        <v>50000</v>
      </c>
      <c r="J1221" s="1">
        <v>50</v>
      </c>
      <c r="K1221" s="1">
        <v>500</v>
      </c>
      <c r="L1221" s="1">
        <v>27500</v>
      </c>
      <c r="M1221" s="1" t="s">
        <v>1952</v>
      </c>
      <c r="N1221" s="1" t="s">
        <v>1432</v>
      </c>
      <c r="O1221" s="1">
        <v>0</v>
      </c>
      <c r="P1221" s="1" t="s">
        <v>2080</v>
      </c>
      <c r="Q1221" s="7" t="s">
        <v>2466</v>
      </c>
    </row>
    <row r="1222" spans="1:17" ht="14.25" thickBot="1">
      <c r="A1222" s="1" t="s">
        <v>1310</v>
      </c>
      <c r="B1222" s="3">
        <v>1</v>
      </c>
      <c r="C1222" s="9" t="s">
        <v>2269</v>
      </c>
      <c r="D1222" s="1" t="str">
        <f t="shared" si="88"/>
        <v>主手武器</v>
      </c>
      <c r="E1222" s="1">
        <f>INDEX([1]游戏类型定义!$C$20:$C$29,MATCH(D1222,[1]!装备部位,0))</f>
        <v>5</v>
      </c>
      <c r="F1222" s="1">
        <v>4</v>
      </c>
      <c r="G1222" s="1">
        <f t="shared" si="89"/>
        <v>50</v>
      </c>
      <c r="H1222" s="10" t="s">
        <v>2320</v>
      </c>
      <c r="I1222" s="1">
        <v>50000</v>
      </c>
      <c r="J1222" s="1">
        <v>50</v>
      </c>
      <c r="K1222" s="1">
        <v>500</v>
      </c>
      <c r="L1222" s="1">
        <v>27500</v>
      </c>
      <c r="M1222" s="1" t="s">
        <v>1953</v>
      </c>
      <c r="N1222" s="1" t="s">
        <v>1433</v>
      </c>
      <c r="O1222" s="1">
        <v>0</v>
      </c>
      <c r="P1222" s="1" t="s">
        <v>2080</v>
      </c>
      <c r="Q1222" s="7" t="s">
        <v>2467</v>
      </c>
    </row>
    <row r="1223" spans="1:17" ht="14.25" thickBot="1">
      <c r="A1223" s="1" t="s">
        <v>1311</v>
      </c>
      <c r="B1223" s="3">
        <v>1</v>
      </c>
      <c r="C1223" s="9" t="s">
        <v>2267</v>
      </c>
      <c r="D1223" s="1" t="str">
        <f t="shared" si="88"/>
        <v>主手武器</v>
      </c>
      <c r="E1223" s="1">
        <f>INDEX([1]游戏类型定义!$C$20:$C$29,MATCH(D1223,[1]!装备部位,0))</f>
        <v>5</v>
      </c>
      <c r="F1223" s="1">
        <v>4</v>
      </c>
      <c r="G1223" s="1">
        <f t="shared" si="89"/>
        <v>50</v>
      </c>
      <c r="H1223" s="10" t="s">
        <v>2320</v>
      </c>
      <c r="I1223" s="1">
        <v>53000</v>
      </c>
      <c r="J1223" s="1">
        <v>50</v>
      </c>
      <c r="K1223" s="1">
        <v>500</v>
      </c>
      <c r="L1223" s="1">
        <v>30000</v>
      </c>
      <c r="M1223" s="1" t="s">
        <v>1954</v>
      </c>
      <c r="N1223" s="1" t="s">
        <v>1433</v>
      </c>
      <c r="O1223" s="1">
        <v>0</v>
      </c>
      <c r="P1223" s="1" t="s">
        <v>2080</v>
      </c>
      <c r="Q1223" s="7" t="s">
        <v>2468</v>
      </c>
    </row>
    <row r="1224" spans="1:17" ht="14.25" thickBot="1">
      <c r="A1224" s="1" t="s">
        <v>1312</v>
      </c>
      <c r="B1224" s="3">
        <v>1</v>
      </c>
      <c r="C1224" s="9" t="s">
        <v>2268</v>
      </c>
      <c r="D1224" s="1" t="str">
        <f t="shared" si="88"/>
        <v>副手武器</v>
      </c>
      <c r="E1224" s="1">
        <f>INDEX([1]游戏类型定义!$C$20:$C$29,MATCH(D1224,[1]!装备部位,0))</f>
        <v>6</v>
      </c>
      <c r="F1224" s="1">
        <v>4</v>
      </c>
      <c r="G1224" s="1">
        <f t="shared" si="89"/>
        <v>50</v>
      </c>
      <c r="H1224" s="10" t="s">
        <v>2320</v>
      </c>
      <c r="I1224" s="1">
        <v>50000</v>
      </c>
      <c r="J1224" s="1">
        <v>50</v>
      </c>
      <c r="K1224" s="1">
        <v>500</v>
      </c>
      <c r="L1224" s="1">
        <v>27500</v>
      </c>
      <c r="M1224" s="1" t="s">
        <v>1955</v>
      </c>
      <c r="N1224" s="1" t="s">
        <v>1433</v>
      </c>
      <c r="O1224" s="1">
        <v>0</v>
      </c>
      <c r="P1224" s="1" t="s">
        <v>2080</v>
      </c>
      <c r="Q1224" s="7" t="s">
        <v>2469</v>
      </c>
    </row>
    <row r="1225" spans="1:17" ht="14.25" thickBot="1">
      <c r="A1225" s="1" t="s">
        <v>1313</v>
      </c>
      <c r="B1225" s="3">
        <v>1</v>
      </c>
      <c r="C1225" s="9" t="s">
        <v>2271</v>
      </c>
      <c r="D1225" s="1" t="str">
        <f t="shared" si="88"/>
        <v>副手武器</v>
      </c>
      <c r="E1225" s="1">
        <f>INDEX([1]游戏类型定义!$C$20:$C$29,MATCH(D1225,[1]!装备部位,0))</f>
        <v>6</v>
      </c>
      <c r="F1225" s="1">
        <v>4</v>
      </c>
      <c r="G1225" s="1">
        <f t="shared" si="89"/>
        <v>50</v>
      </c>
      <c r="H1225" s="10" t="s">
        <v>2320</v>
      </c>
      <c r="I1225" s="1">
        <v>53000</v>
      </c>
      <c r="J1225" s="1">
        <v>50</v>
      </c>
      <c r="K1225" s="1">
        <v>500</v>
      </c>
      <c r="L1225" s="1">
        <v>30000</v>
      </c>
      <c r="M1225" s="1" t="s">
        <v>1956</v>
      </c>
      <c r="N1225" s="1" t="s">
        <v>1433</v>
      </c>
      <c r="O1225" s="1">
        <v>0</v>
      </c>
      <c r="P1225" s="1" t="s">
        <v>2080</v>
      </c>
      <c r="Q1225" s="7" t="s">
        <v>2470</v>
      </c>
    </row>
    <row r="1226" spans="1:17" ht="14.25" thickBot="1">
      <c r="A1226" s="1" t="s">
        <v>1314</v>
      </c>
      <c r="B1226" s="3">
        <v>1</v>
      </c>
      <c r="C1226" s="1" t="s">
        <v>2270</v>
      </c>
      <c r="D1226" s="1" t="str">
        <f t="shared" si="88"/>
        <v>主手武器</v>
      </c>
      <c r="E1226" s="1">
        <f>INDEX([1]游戏类型定义!$C$20:$C$29,MATCH(D1226,[1]!装备部位,0))</f>
        <v>5</v>
      </c>
      <c r="F1226" s="1">
        <v>4</v>
      </c>
      <c r="G1226" s="1">
        <f t="shared" si="89"/>
        <v>50</v>
      </c>
      <c r="H1226" s="10" t="s">
        <v>2321</v>
      </c>
      <c r="I1226" s="1">
        <v>50000</v>
      </c>
      <c r="J1226" s="1">
        <v>50</v>
      </c>
      <c r="K1226" s="1">
        <v>500</v>
      </c>
      <c r="L1226" s="1">
        <v>27500</v>
      </c>
      <c r="M1226" s="1" t="s">
        <v>1953</v>
      </c>
      <c r="N1226" s="1" t="s">
        <v>1433</v>
      </c>
      <c r="O1226" s="1">
        <v>0</v>
      </c>
      <c r="P1226" s="1" t="s">
        <v>2080</v>
      </c>
      <c r="Q1226" s="7" t="s">
        <v>2471</v>
      </c>
    </row>
    <row r="1227" spans="1:17" ht="14.25" thickBot="1">
      <c r="A1227" s="1" t="s">
        <v>1315</v>
      </c>
      <c r="B1227" s="3">
        <v>1</v>
      </c>
      <c r="C1227" s="1" t="s">
        <v>2318</v>
      </c>
      <c r="D1227" s="1" t="str">
        <f t="shared" si="88"/>
        <v>主手武器</v>
      </c>
      <c r="E1227" s="1">
        <f>INDEX([1]游戏类型定义!$C$20:$C$29,MATCH(D1227,[1]!装备部位,0))</f>
        <v>5</v>
      </c>
      <c r="F1227" s="1">
        <v>4</v>
      </c>
      <c r="G1227" s="1">
        <f t="shared" si="89"/>
        <v>50</v>
      </c>
      <c r="H1227" s="10" t="s">
        <v>2321</v>
      </c>
      <c r="I1227" s="1">
        <v>53000</v>
      </c>
      <c r="J1227" s="1">
        <v>50</v>
      </c>
      <c r="K1227" s="1">
        <v>500</v>
      </c>
      <c r="L1227" s="1">
        <v>30000</v>
      </c>
      <c r="M1227" s="1" t="s">
        <v>1954</v>
      </c>
      <c r="N1227" s="1" t="s">
        <v>1433</v>
      </c>
      <c r="O1227" s="1">
        <v>0</v>
      </c>
      <c r="P1227" s="1" t="s">
        <v>2080</v>
      </c>
      <c r="Q1227" s="7" t="s">
        <v>2472</v>
      </c>
    </row>
    <row r="1228" spans="1:17" ht="14.25" thickBot="1">
      <c r="A1228" s="1" t="s">
        <v>1316</v>
      </c>
      <c r="B1228" s="3">
        <v>1</v>
      </c>
      <c r="C1228" s="9" t="s">
        <v>2272</v>
      </c>
      <c r="D1228" s="1" t="str">
        <f t="shared" si="88"/>
        <v>副手武器</v>
      </c>
      <c r="E1228" s="1">
        <f>INDEX([1]游戏类型定义!$C$20:$C$29,MATCH(D1228,[1]!装备部位,0))</f>
        <v>6</v>
      </c>
      <c r="F1228" s="1">
        <v>4</v>
      </c>
      <c r="G1228" s="1">
        <f t="shared" si="89"/>
        <v>50</v>
      </c>
      <c r="H1228" s="10" t="s">
        <v>2321</v>
      </c>
      <c r="I1228" s="1">
        <v>50000</v>
      </c>
      <c r="J1228" s="1">
        <v>50</v>
      </c>
      <c r="K1228" s="1">
        <v>500</v>
      </c>
      <c r="L1228" s="1">
        <v>27500</v>
      </c>
      <c r="M1228" s="1" t="s">
        <v>1957</v>
      </c>
      <c r="N1228" s="1" t="s">
        <v>1433</v>
      </c>
      <c r="O1228" s="1">
        <v>0</v>
      </c>
      <c r="P1228" s="1" t="s">
        <v>2080</v>
      </c>
      <c r="Q1228" s="7" t="s">
        <v>2473</v>
      </c>
    </row>
    <row r="1229" spans="1:17" ht="14.25" thickBot="1">
      <c r="A1229" s="1" t="s">
        <v>1317</v>
      </c>
      <c r="B1229" s="3">
        <v>1</v>
      </c>
      <c r="C1229" s="9" t="s">
        <v>2273</v>
      </c>
      <c r="D1229" s="1" t="str">
        <f t="shared" si="88"/>
        <v>副手武器</v>
      </c>
      <c r="E1229" s="1">
        <f>INDEX([1]游戏类型定义!$C$20:$C$29,MATCH(D1229,[1]!装备部位,0))</f>
        <v>6</v>
      </c>
      <c r="F1229" s="1">
        <v>4</v>
      </c>
      <c r="G1229" s="1">
        <f t="shared" si="89"/>
        <v>50</v>
      </c>
      <c r="H1229" s="10" t="s">
        <v>2321</v>
      </c>
      <c r="I1229" s="1">
        <v>53000</v>
      </c>
      <c r="J1229" s="1">
        <v>50</v>
      </c>
      <c r="K1229" s="1">
        <v>500</v>
      </c>
      <c r="L1229" s="1">
        <v>30000</v>
      </c>
      <c r="M1229" s="1" t="s">
        <v>1958</v>
      </c>
      <c r="N1229" s="1" t="s">
        <v>1433</v>
      </c>
      <c r="O1229" s="1">
        <v>0</v>
      </c>
      <c r="P1229" s="1" t="s">
        <v>2080</v>
      </c>
      <c r="Q1229" s="7" t="s">
        <v>2474</v>
      </c>
    </row>
    <row r="1230" spans="1:17" ht="14.25" thickBot="1">
      <c r="A1230" s="1" t="s">
        <v>1318</v>
      </c>
      <c r="B1230" s="3">
        <v>1</v>
      </c>
      <c r="C1230" s="9" t="s">
        <v>2265</v>
      </c>
      <c r="D1230" s="1" t="str">
        <f t="shared" si="88"/>
        <v>主手武器</v>
      </c>
      <c r="E1230" s="1">
        <f>INDEX([1]游戏类型定义!$C$20:$C$29,MATCH(D1230,[1]!装备部位,0))</f>
        <v>5</v>
      </c>
      <c r="F1230" s="1">
        <v>4</v>
      </c>
      <c r="G1230" s="1">
        <f t="shared" si="89"/>
        <v>50</v>
      </c>
      <c r="H1230" s="10" t="s">
        <v>2322</v>
      </c>
      <c r="I1230" s="1">
        <v>50000</v>
      </c>
      <c r="J1230" s="1">
        <v>50</v>
      </c>
      <c r="K1230" s="1">
        <v>500</v>
      </c>
      <c r="L1230" s="1">
        <v>27500</v>
      </c>
      <c r="M1230" s="1" t="s">
        <v>1953</v>
      </c>
      <c r="N1230" s="1" t="s">
        <v>1433</v>
      </c>
      <c r="O1230" s="1">
        <v>0</v>
      </c>
      <c r="P1230" s="1" t="s">
        <v>2080</v>
      </c>
      <c r="Q1230" s="7" t="s">
        <v>2475</v>
      </c>
    </row>
    <row r="1231" spans="1:17" ht="14.25" thickBot="1">
      <c r="A1231" s="1" t="s">
        <v>1319</v>
      </c>
      <c r="B1231" s="3">
        <v>1</v>
      </c>
      <c r="C1231" s="9" t="s">
        <v>2290</v>
      </c>
      <c r="D1231" s="1" t="str">
        <f t="shared" si="88"/>
        <v>主手武器</v>
      </c>
      <c r="E1231" s="1">
        <f>INDEX([1]游戏类型定义!$C$20:$C$29,MATCH(D1231,[1]!装备部位,0))</f>
        <v>5</v>
      </c>
      <c r="F1231" s="1">
        <v>4</v>
      </c>
      <c r="G1231" s="1">
        <f t="shared" si="89"/>
        <v>50</v>
      </c>
      <c r="H1231" s="10" t="s">
        <v>2322</v>
      </c>
      <c r="I1231" s="1">
        <v>53000</v>
      </c>
      <c r="J1231" s="1">
        <v>50</v>
      </c>
      <c r="K1231" s="1">
        <v>500</v>
      </c>
      <c r="L1231" s="1">
        <v>30000</v>
      </c>
      <c r="M1231" s="1" t="s">
        <v>1954</v>
      </c>
      <c r="N1231" s="1" t="s">
        <v>1433</v>
      </c>
      <c r="O1231" s="1">
        <v>0</v>
      </c>
      <c r="P1231" s="1" t="s">
        <v>2080</v>
      </c>
      <c r="Q1231" s="7" t="s">
        <v>2476</v>
      </c>
    </row>
    <row r="1232" spans="1:17" ht="14.25" thickBot="1">
      <c r="A1232" s="1" t="s">
        <v>1320</v>
      </c>
      <c r="B1232" s="3">
        <v>1</v>
      </c>
      <c r="C1232" s="9" t="s">
        <v>2275</v>
      </c>
      <c r="D1232" s="1" t="str">
        <f t="shared" si="88"/>
        <v>副手武器</v>
      </c>
      <c r="E1232" s="1">
        <f>INDEX([1]游戏类型定义!$C$20:$C$29,MATCH(D1232,[1]!装备部位,0))</f>
        <v>6</v>
      </c>
      <c r="F1232" s="1">
        <v>4</v>
      </c>
      <c r="G1232" s="1">
        <f t="shared" si="89"/>
        <v>50</v>
      </c>
      <c r="H1232" s="10" t="s">
        <v>2322</v>
      </c>
      <c r="I1232" s="1">
        <v>50000</v>
      </c>
      <c r="J1232" s="1">
        <v>50</v>
      </c>
      <c r="K1232" s="1">
        <v>500</v>
      </c>
      <c r="L1232" s="1">
        <v>27500</v>
      </c>
      <c r="M1232" s="1" t="s">
        <v>1959</v>
      </c>
      <c r="N1232" s="1" t="s">
        <v>1433</v>
      </c>
      <c r="O1232" s="1">
        <v>0</v>
      </c>
      <c r="P1232" s="1" t="s">
        <v>2080</v>
      </c>
      <c r="Q1232" s="7" t="s">
        <v>2477</v>
      </c>
    </row>
    <row r="1233" spans="1:17" ht="14.25" thickBot="1">
      <c r="A1233" s="1" t="s">
        <v>1321</v>
      </c>
      <c r="B1233" s="3">
        <v>1</v>
      </c>
      <c r="C1233" s="9" t="s">
        <v>2276</v>
      </c>
      <c r="D1233" s="1" t="str">
        <f t="shared" si="88"/>
        <v>副手武器</v>
      </c>
      <c r="E1233" s="1">
        <f>INDEX([1]游戏类型定义!$C$20:$C$29,MATCH(D1233,[1]!装备部位,0))</f>
        <v>6</v>
      </c>
      <c r="F1233" s="1">
        <v>4</v>
      </c>
      <c r="G1233" s="1">
        <f t="shared" si="89"/>
        <v>50</v>
      </c>
      <c r="H1233" s="10" t="s">
        <v>2322</v>
      </c>
      <c r="I1233" s="1">
        <v>53000</v>
      </c>
      <c r="J1233" s="1">
        <v>50</v>
      </c>
      <c r="K1233" s="1">
        <v>500</v>
      </c>
      <c r="L1233" s="1">
        <v>30000</v>
      </c>
      <c r="M1233" s="1" t="s">
        <v>1960</v>
      </c>
      <c r="N1233" s="1" t="s">
        <v>1433</v>
      </c>
      <c r="O1233" s="1">
        <v>0</v>
      </c>
      <c r="P1233" s="1" t="s">
        <v>2080</v>
      </c>
      <c r="Q1233" s="7" t="s">
        <v>2478</v>
      </c>
    </row>
    <row r="1234" spans="1:17" ht="14.25" thickBot="1">
      <c r="A1234" s="1" t="s">
        <v>1322</v>
      </c>
      <c r="B1234" s="2">
        <v>0</v>
      </c>
      <c r="C1234" s="1" t="s">
        <v>2030</v>
      </c>
      <c r="D1234" s="1" t="str">
        <f t="shared" si="88"/>
        <v>胸甲</v>
      </c>
      <c r="E1234" s="1">
        <f>INDEX([1]游戏类型定义!$C$20:$C$29,MATCH(D1234,[1]!装备部位,0))</f>
        <v>4</v>
      </c>
      <c r="F1234" s="1">
        <v>4</v>
      </c>
      <c r="G1234" s="1">
        <f t="shared" si="89"/>
        <v>50</v>
      </c>
      <c r="H1234" s="10">
        <v>0</v>
      </c>
      <c r="I1234" s="1">
        <v>50000</v>
      </c>
      <c r="J1234" s="1">
        <v>50</v>
      </c>
      <c r="K1234" s="1">
        <v>500</v>
      </c>
      <c r="L1234" s="1">
        <v>27500</v>
      </c>
      <c r="M1234" s="1" t="s">
        <v>1961</v>
      </c>
      <c r="N1234" s="1" t="s">
        <v>1432</v>
      </c>
      <c r="O1234" s="1">
        <v>0</v>
      </c>
      <c r="P1234" s="1" t="s">
        <v>2080</v>
      </c>
      <c r="Q1234" s="7" t="s">
        <v>2063</v>
      </c>
    </row>
    <row r="1235" spans="1:17" ht="14.25" thickBot="1">
      <c r="A1235" s="1" t="s">
        <v>1323</v>
      </c>
      <c r="B1235" s="2">
        <v>0</v>
      </c>
      <c r="C1235" s="1" t="s">
        <v>2030</v>
      </c>
      <c r="D1235" s="1" t="str">
        <f t="shared" si="88"/>
        <v>胸甲</v>
      </c>
      <c r="E1235" s="1">
        <f>INDEX([1]游戏类型定义!$C$20:$C$29,MATCH(D1235,[1]!装备部位,0))</f>
        <v>4</v>
      </c>
      <c r="F1235" s="1">
        <v>4</v>
      </c>
      <c r="G1235" s="1">
        <f t="shared" si="89"/>
        <v>50</v>
      </c>
      <c r="H1235" s="10">
        <v>0</v>
      </c>
      <c r="I1235" s="1">
        <v>53000</v>
      </c>
      <c r="J1235" s="1">
        <v>50</v>
      </c>
      <c r="K1235" s="1">
        <v>500</v>
      </c>
      <c r="L1235" s="1">
        <v>30000</v>
      </c>
      <c r="M1235" s="1" t="s">
        <v>1962</v>
      </c>
      <c r="N1235" s="1" t="s">
        <v>1432</v>
      </c>
      <c r="O1235" s="1">
        <v>0</v>
      </c>
      <c r="P1235" s="1" t="s">
        <v>2080</v>
      </c>
      <c r="Q1235" s="7" t="s">
        <v>2063</v>
      </c>
    </row>
    <row r="1236" spans="1:17" ht="14.25" thickBot="1">
      <c r="A1236" s="1" t="s">
        <v>1324</v>
      </c>
      <c r="B1236" s="3">
        <v>1</v>
      </c>
      <c r="C1236" s="1" t="s">
        <v>2188</v>
      </c>
      <c r="D1236" s="1" t="str">
        <f t="shared" ref="D1236:D1255" si="90">D906</f>
        <v>护腿</v>
      </c>
      <c r="E1236" s="1">
        <f>INDEX([1]游戏类型定义!$C$20:$C$29,MATCH(D1236,[1]!装备部位,0))</f>
        <v>7</v>
      </c>
      <c r="F1236" s="1">
        <v>4</v>
      </c>
      <c r="G1236" s="1">
        <f t="shared" ref="G1236:G1255" si="91">G906</f>
        <v>50</v>
      </c>
      <c r="H1236" s="10">
        <v>0</v>
      </c>
      <c r="I1236" s="1">
        <v>50000</v>
      </c>
      <c r="J1236" s="1">
        <v>50</v>
      </c>
      <c r="K1236" s="1">
        <v>500</v>
      </c>
      <c r="L1236" s="1">
        <v>27500</v>
      </c>
      <c r="M1236" s="1" t="s">
        <v>1945</v>
      </c>
      <c r="N1236" s="1" t="s">
        <v>1432</v>
      </c>
      <c r="O1236" s="1">
        <v>0</v>
      </c>
      <c r="P1236" s="1" t="s">
        <v>2080</v>
      </c>
      <c r="Q1236" s="7" t="s">
        <v>2479</v>
      </c>
    </row>
    <row r="1237" spans="1:17" ht="14.25" thickBot="1">
      <c r="A1237" s="1" t="s">
        <v>1325</v>
      </c>
      <c r="B1237" s="2">
        <v>0</v>
      </c>
      <c r="C1237" s="1" t="s">
        <v>2038</v>
      </c>
      <c r="D1237" s="1" t="str">
        <f t="shared" si="90"/>
        <v>护腿</v>
      </c>
      <c r="E1237" s="1">
        <f>INDEX([1]游戏类型定义!$C$20:$C$29,MATCH(D1237,[1]!装备部位,0))</f>
        <v>7</v>
      </c>
      <c r="F1237" s="1">
        <v>4</v>
      </c>
      <c r="G1237" s="1">
        <f t="shared" si="91"/>
        <v>50</v>
      </c>
      <c r="H1237" s="10">
        <v>0</v>
      </c>
      <c r="I1237" s="1">
        <v>53000</v>
      </c>
      <c r="J1237" s="1">
        <v>50</v>
      </c>
      <c r="K1237" s="1">
        <v>500</v>
      </c>
      <c r="L1237" s="1">
        <v>30000</v>
      </c>
      <c r="M1237" s="1" t="s">
        <v>1946</v>
      </c>
      <c r="N1237" s="1" t="s">
        <v>1432</v>
      </c>
      <c r="O1237" s="1">
        <v>0</v>
      </c>
      <c r="P1237" s="1" t="s">
        <v>2080</v>
      </c>
      <c r="Q1237" s="7" t="s">
        <v>2064</v>
      </c>
    </row>
    <row r="1238" spans="1:17" ht="14.25" thickBot="1">
      <c r="A1238" s="1" t="s">
        <v>1326</v>
      </c>
      <c r="B1238" s="3">
        <v>1</v>
      </c>
      <c r="C1238" s="1" t="s">
        <v>2106</v>
      </c>
      <c r="D1238" s="1" t="str">
        <f t="shared" si="90"/>
        <v>头盔</v>
      </c>
      <c r="E1238" s="1">
        <f>INDEX([1]游戏类型定义!$C$20:$C$29,MATCH(D1238,[1]!装备部位,0))</f>
        <v>1</v>
      </c>
      <c r="F1238" s="1">
        <v>4</v>
      </c>
      <c r="G1238" s="1">
        <f t="shared" si="91"/>
        <v>55</v>
      </c>
      <c r="H1238" s="10">
        <v>0</v>
      </c>
      <c r="I1238" s="1">
        <v>55000</v>
      </c>
      <c r="J1238" s="1">
        <v>50</v>
      </c>
      <c r="K1238" s="1">
        <v>500</v>
      </c>
      <c r="L1238" s="1">
        <v>30000</v>
      </c>
      <c r="M1238" s="1" t="s">
        <v>1963</v>
      </c>
      <c r="N1238" s="1" t="s">
        <v>1434</v>
      </c>
      <c r="O1238" s="1">
        <v>0</v>
      </c>
      <c r="P1238" s="1" t="s">
        <v>2081</v>
      </c>
      <c r="Q1238" s="7" t="s">
        <v>2480</v>
      </c>
    </row>
    <row r="1239" spans="1:17" ht="14.25" thickBot="1">
      <c r="A1239" s="1" t="s">
        <v>1327</v>
      </c>
      <c r="B1239" s="3">
        <v>1</v>
      </c>
      <c r="C1239" s="1" t="s">
        <v>2117</v>
      </c>
      <c r="D1239" s="1" t="str">
        <f t="shared" si="90"/>
        <v>戒指</v>
      </c>
      <c r="E1239" s="1">
        <f>INDEX([1]游戏类型定义!$C$20:$C$29,MATCH(D1239,[1]!装备部位,0))</f>
        <v>2</v>
      </c>
      <c r="F1239" s="1">
        <v>4</v>
      </c>
      <c r="G1239" s="1">
        <f t="shared" si="91"/>
        <v>55</v>
      </c>
      <c r="H1239" s="10">
        <v>0</v>
      </c>
      <c r="I1239" s="1">
        <v>55000</v>
      </c>
      <c r="J1239" s="1">
        <v>50</v>
      </c>
      <c r="K1239" s="1">
        <v>500</v>
      </c>
      <c r="L1239" s="1">
        <v>30000</v>
      </c>
      <c r="M1239" s="1" t="s">
        <v>1964</v>
      </c>
      <c r="N1239" s="1" t="s">
        <v>1434</v>
      </c>
      <c r="O1239" s="1">
        <v>0</v>
      </c>
      <c r="P1239" s="1" t="s">
        <v>2081</v>
      </c>
      <c r="Q1239" s="7" t="s">
        <v>2481</v>
      </c>
    </row>
    <row r="1240" spans="1:17" ht="14.25" thickBot="1">
      <c r="A1240" s="1" t="s">
        <v>1328</v>
      </c>
      <c r="B1240" s="2">
        <v>0</v>
      </c>
      <c r="C1240" s="1" t="s">
        <v>2095</v>
      </c>
      <c r="D1240" s="1" t="str">
        <f t="shared" si="90"/>
        <v>腰带</v>
      </c>
      <c r="E1240" s="1">
        <f>INDEX([1]游戏类型定义!$C$20:$C$29,MATCH(D1240,[1]!装备部位,0))</f>
        <v>3</v>
      </c>
      <c r="F1240" s="1">
        <v>4</v>
      </c>
      <c r="G1240" s="1">
        <f t="shared" si="91"/>
        <v>55</v>
      </c>
      <c r="H1240" s="10">
        <v>0</v>
      </c>
      <c r="I1240" s="1">
        <v>55000</v>
      </c>
      <c r="J1240" s="1">
        <v>50</v>
      </c>
      <c r="K1240" s="1">
        <v>500</v>
      </c>
      <c r="L1240" s="1">
        <v>30000</v>
      </c>
      <c r="M1240" s="1" t="s">
        <v>1965</v>
      </c>
      <c r="N1240" s="1" t="s">
        <v>1434</v>
      </c>
      <c r="O1240" s="1">
        <v>0</v>
      </c>
      <c r="P1240" s="1" t="s">
        <v>2081</v>
      </c>
      <c r="Q1240" s="7" t="s">
        <v>2053</v>
      </c>
    </row>
    <row r="1241" spans="1:17" ht="14.25" thickBot="1">
      <c r="A1241" s="1" t="s">
        <v>1329</v>
      </c>
      <c r="B1241" s="3">
        <v>1</v>
      </c>
      <c r="C1241" s="1" t="s">
        <v>2128</v>
      </c>
      <c r="D1241" s="1" t="str">
        <f t="shared" si="90"/>
        <v>鞋子</v>
      </c>
      <c r="E1241" s="1">
        <f>INDEX([1]游戏类型定义!$C$20:$C$29,MATCH(D1241,[1]!装备部位,0))</f>
        <v>8</v>
      </c>
      <c r="F1241" s="1">
        <v>4</v>
      </c>
      <c r="G1241" s="1">
        <f t="shared" si="91"/>
        <v>55</v>
      </c>
      <c r="H1241" s="10">
        <v>0</v>
      </c>
      <c r="I1241" s="1">
        <v>55000</v>
      </c>
      <c r="J1241" s="1">
        <v>50</v>
      </c>
      <c r="K1241" s="1">
        <v>500</v>
      </c>
      <c r="L1241" s="1">
        <v>30000</v>
      </c>
      <c r="M1241" s="1" t="s">
        <v>1966</v>
      </c>
      <c r="N1241" s="1" t="s">
        <v>1434</v>
      </c>
      <c r="O1241" s="1">
        <v>0</v>
      </c>
      <c r="P1241" s="1" t="s">
        <v>2081</v>
      </c>
      <c r="Q1241" s="7" t="s">
        <v>2482</v>
      </c>
    </row>
    <row r="1242" spans="1:17" ht="14.25" thickBot="1">
      <c r="A1242" s="1" t="s">
        <v>1330</v>
      </c>
      <c r="B1242" s="2">
        <v>0</v>
      </c>
      <c r="C1242" s="1" t="s">
        <v>2035</v>
      </c>
      <c r="D1242" s="1" t="str">
        <f t="shared" si="90"/>
        <v>手套</v>
      </c>
      <c r="E1242" s="1">
        <f>INDEX([1]游戏类型定义!$C$20:$C$29,MATCH(D1242,[1]!装备部位,0))</f>
        <v>9</v>
      </c>
      <c r="F1242" s="1">
        <v>4</v>
      </c>
      <c r="G1242" s="1">
        <f t="shared" si="91"/>
        <v>55</v>
      </c>
      <c r="H1242" s="10">
        <v>0</v>
      </c>
      <c r="I1242" s="1">
        <v>55000</v>
      </c>
      <c r="J1242" s="1">
        <v>50</v>
      </c>
      <c r="K1242" s="1">
        <v>500</v>
      </c>
      <c r="L1242" s="1">
        <v>30000</v>
      </c>
      <c r="M1242" s="1" t="s">
        <v>1951</v>
      </c>
      <c r="N1242" s="1" t="s">
        <v>1434</v>
      </c>
      <c r="O1242" s="1">
        <v>0</v>
      </c>
      <c r="P1242" s="1" t="s">
        <v>2081</v>
      </c>
      <c r="Q1242" s="7" t="s">
        <v>2055</v>
      </c>
    </row>
    <row r="1243" spans="1:17" ht="14.25" thickBot="1">
      <c r="A1243" s="1" t="s">
        <v>1331</v>
      </c>
      <c r="B1243" s="3">
        <v>1</v>
      </c>
      <c r="C1243" s="1" t="s">
        <v>2153</v>
      </c>
      <c r="D1243" s="1" t="str">
        <f t="shared" si="90"/>
        <v>项链</v>
      </c>
      <c r="E1243" s="1">
        <f>INDEX([1]游戏类型定义!$C$20:$C$29,MATCH(D1243,[1]!装备部位,0))</f>
        <v>10</v>
      </c>
      <c r="F1243" s="1">
        <v>4</v>
      </c>
      <c r="G1243" s="1">
        <f t="shared" si="91"/>
        <v>55</v>
      </c>
      <c r="H1243" s="10">
        <v>0</v>
      </c>
      <c r="I1243" s="1">
        <v>55000</v>
      </c>
      <c r="J1243" s="1">
        <v>50</v>
      </c>
      <c r="K1243" s="1">
        <v>500</v>
      </c>
      <c r="L1243" s="1">
        <v>30000</v>
      </c>
      <c r="M1243" s="1" t="s">
        <v>1967</v>
      </c>
      <c r="N1243" s="1" t="s">
        <v>1434</v>
      </c>
      <c r="O1243" s="1">
        <v>0</v>
      </c>
      <c r="P1243" s="1" t="s">
        <v>2081</v>
      </c>
      <c r="Q1243" s="7" t="s">
        <v>2483</v>
      </c>
    </row>
    <row r="1244" spans="1:17" ht="14.25" thickBot="1">
      <c r="A1244" s="1" t="s">
        <v>1332</v>
      </c>
      <c r="B1244" s="3">
        <v>1</v>
      </c>
      <c r="C1244" s="9" t="s">
        <v>2277</v>
      </c>
      <c r="D1244" s="1" t="str">
        <f t="shared" si="90"/>
        <v>主手武器</v>
      </c>
      <c r="E1244" s="1">
        <f>INDEX([1]游戏类型定义!$C$20:$C$29,MATCH(D1244,[1]!装备部位,0))</f>
        <v>5</v>
      </c>
      <c r="F1244" s="1">
        <v>4</v>
      </c>
      <c r="G1244" s="1">
        <f t="shared" si="91"/>
        <v>55</v>
      </c>
      <c r="H1244" s="10" t="s">
        <v>2320</v>
      </c>
      <c r="I1244" s="1">
        <v>55000</v>
      </c>
      <c r="J1244" s="1">
        <v>50</v>
      </c>
      <c r="K1244" s="1">
        <v>500</v>
      </c>
      <c r="L1244" s="1">
        <v>30000</v>
      </c>
      <c r="M1244" s="1" t="s">
        <v>2026</v>
      </c>
      <c r="N1244" s="1" t="s">
        <v>1435</v>
      </c>
      <c r="O1244" s="1">
        <v>0</v>
      </c>
      <c r="P1244" s="1" t="s">
        <v>2081</v>
      </c>
      <c r="Q1244" s="7" t="s">
        <v>2484</v>
      </c>
    </row>
    <row r="1245" spans="1:17" ht="14.25" thickBot="1">
      <c r="A1245" s="1" t="s">
        <v>1333</v>
      </c>
      <c r="B1245" s="2">
        <v>0</v>
      </c>
      <c r="C1245" s="9" t="s">
        <v>2046</v>
      </c>
      <c r="D1245" s="1" t="str">
        <f t="shared" si="90"/>
        <v>主手武器</v>
      </c>
      <c r="E1245" s="1">
        <f>INDEX([1]游戏类型定义!$C$20:$C$29,MATCH(D1245,[1]!装备部位,0))</f>
        <v>5</v>
      </c>
      <c r="F1245" s="1">
        <v>4</v>
      </c>
      <c r="G1245" s="1">
        <f t="shared" si="91"/>
        <v>55</v>
      </c>
      <c r="H1245" s="10" t="s">
        <v>2320</v>
      </c>
      <c r="I1245" s="1">
        <v>58000</v>
      </c>
      <c r="J1245" s="1">
        <v>50</v>
      </c>
      <c r="K1245" s="1">
        <v>500</v>
      </c>
      <c r="L1245" s="1">
        <v>32500</v>
      </c>
      <c r="M1245" s="1" t="s">
        <v>2027</v>
      </c>
      <c r="N1245" s="1" t="s">
        <v>1435</v>
      </c>
      <c r="O1245" s="1">
        <v>0</v>
      </c>
      <c r="P1245" s="1" t="s">
        <v>2081</v>
      </c>
      <c r="Q1245" s="7" t="s">
        <v>2057</v>
      </c>
    </row>
    <row r="1246" spans="1:17" ht="14.25" thickBot="1">
      <c r="A1246" s="1" t="s">
        <v>1334</v>
      </c>
      <c r="B1246" s="3">
        <v>1</v>
      </c>
      <c r="C1246" s="9" t="s">
        <v>2278</v>
      </c>
      <c r="D1246" s="1" t="str">
        <f t="shared" si="90"/>
        <v>副手武器</v>
      </c>
      <c r="E1246" s="1">
        <f>INDEX([1]游戏类型定义!$C$20:$C$29,MATCH(D1246,[1]!装备部位,0))</f>
        <v>6</v>
      </c>
      <c r="F1246" s="1">
        <v>4</v>
      </c>
      <c r="G1246" s="1">
        <f t="shared" si="91"/>
        <v>55</v>
      </c>
      <c r="H1246" s="10" t="s">
        <v>2320</v>
      </c>
      <c r="I1246" s="1">
        <v>55000</v>
      </c>
      <c r="J1246" s="1">
        <v>50</v>
      </c>
      <c r="K1246" s="1">
        <v>500</v>
      </c>
      <c r="L1246" s="1">
        <v>30000</v>
      </c>
      <c r="M1246" s="1" t="s">
        <v>1968</v>
      </c>
      <c r="N1246" s="1" t="s">
        <v>1435</v>
      </c>
      <c r="O1246" s="1">
        <v>0</v>
      </c>
      <c r="P1246" s="1" t="s">
        <v>2081</v>
      </c>
      <c r="Q1246" s="7" t="s">
        <v>2485</v>
      </c>
    </row>
    <row r="1247" spans="1:17" ht="14.25" thickBot="1">
      <c r="A1247" s="1" t="s">
        <v>1335</v>
      </c>
      <c r="B1247" s="3">
        <v>1</v>
      </c>
      <c r="C1247" s="9" t="s">
        <v>2279</v>
      </c>
      <c r="D1247" s="1" t="str">
        <f t="shared" si="90"/>
        <v>副手武器</v>
      </c>
      <c r="E1247" s="1">
        <f>INDEX([1]游戏类型定义!$C$20:$C$29,MATCH(D1247,[1]!装备部位,0))</f>
        <v>6</v>
      </c>
      <c r="F1247" s="1">
        <v>4</v>
      </c>
      <c r="G1247" s="1">
        <f t="shared" si="91"/>
        <v>55</v>
      </c>
      <c r="H1247" s="10" t="s">
        <v>2320</v>
      </c>
      <c r="I1247" s="1">
        <v>58000</v>
      </c>
      <c r="J1247" s="1">
        <v>50</v>
      </c>
      <c r="K1247" s="1">
        <v>500</v>
      </c>
      <c r="L1247" s="1">
        <v>32500</v>
      </c>
      <c r="M1247" s="1" t="s">
        <v>1969</v>
      </c>
      <c r="N1247" s="1" t="s">
        <v>1435</v>
      </c>
      <c r="O1247" s="1">
        <v>0</v>
      </c>
      <c r="P1247" s="1" t="s">
        <v>2081</v>
      </c>
      <c r="Q1247" s="7" t="s">
        <v>2486</v>
      </c>
    </row>
    <row r="1248" spans="1:17" ht="14.25" thickBot="1">
      <c r="A1248" s="1" t="s">
        <v>1336</v>
      </c>
      <c r="B1248" s="3">
        <v>1</v>
      </c>
      <c r="C1248" s="1" t="s">
        <v>2280</v>
      </c>
      <c r="D1248" s="1" t="str">
        <f t="shared" si="90"/>
        <v>主手武器</v>
      </c>
      <c r="E1248" s="1">
        <f>INDEX([1]游戏类型定义!$C$20:$C$29,MATCH(D1248,[1]!装备部位,0))</f>
        <v>5</v>
      </c>
      <c r="F1248" s="1">
        <v>4</v>
      </c>
      <c r="G1248" s="1">
        <f t="shared" si="91"/>
        <v>55</v>
      </c>
      <c r="H1248" s="10" t="s">
        <v>2321</v>
      </c>
      <c r="I1248" s="1">
        <v>55000</v>
      </c>
      <c r="J1248" s="1">
        <v>50</v>
      </c>
      <c r="K1248" s="1">
        <v>500</v>
      </c>
      <c r="L1248" s="1">
        <v>30000</v>
      </c>
      <c r="M1248" s="1" t="s">
        <v>2026</v>
      </c>
      <c r="N1248" s="1" t="s">
        <v>1435</v>
      </c>
      <c r="O1248" s="1">
        <v>0</v>
      </c>
      <c r="P1248" s="1" t="s">
        <v>2081</v>
      </c>
      <c r="Q1248" s="7" t="s">
        <v>2471</v>
      </c>
    </row>
    <row r="1249" spans="1:17" ht="14.25" thickBot="1">
      <c r="A1249" s="1" t="s">
        <v>1337</v>
      </c>
      <c r="B1249" s="2">
        <v>0</v>
      </c>
      <c r="C1249" s="1" t="s">
        <v>2040</v>
      </c>
      <c r="D1249" s="1" t="str">
        <f t="shared" si="90"/>
        <v>主手武器</v>
      </c>
      <c r="E1249" s="1">
        <f>INDEX([1]游戏类型定义!$C$20:$C$29,MATCH(D1249,[1]!装备部位,0))</f>
        <v>5</v>
      </c>
      <c r="F1249" s="1">
        <v>4</v>
      </c>
      <c r="G1249" s="1">
        <f t="shared" si="91"/>
        <v>55</v>
      </c>
      <c r="H1249" s="10" t="s">
        <v>2321</v>
      </c>
      <c r="I1249" s="1">
        <v>58000</v>
      </c>
      <c r="J1249" s="1">
        <v>50</v>
      </c>
      <c r="K1249" s="1">
        <v>500</v>
      </c>
      <c r="L1249" s="1">
        <v>32500</v>
      </c>
      <c r="M1249" s="1" t="s">
        <v>2027</v>
      </c>
      <c r="N1249" s="1" t="s">
        <v>1435</v>
      </c>
      <c r="O1249" s="1">
        <v>0</v>
      </c>
      <c r="P1249" s="1" t="s">
        <v>2081</v>
      </c>
      <c r="Q1249" s="7" t="s">
        <v>2059</v>
      </c>
    </row>
    <row r="1250" spans="1:17" ht="14.25" thickBot="1">
      <c r="A1250" s="1" t="s">
        <v>1338</v>
      </c>
      <c r="B1250" s="3">
        <v>1</v>
      </c>
      <c r="C1250" s="9" t="s">
        <v>2281</v>
      </c>
      <c r="D1250" s="1" t="str">
        <f t="shared" si="90"/>
        <v>副手武器</v>
      </c>
      <c r="E1250" s="1">
        <f>INDEX([1]游戏类型定义!$C$20:$C$29,MATCH(D1250,[1]!装备部位,0))</f>
        <v>6</v>
      </c>
      <c r="F1250" s="1">
        <v>4</v>
      </c>
      <c r="G1250" s="1">
        <f t="shared" si="91"/>
        <v>55</v>
      </c>
      <c r="H1250" s="10" t="s">
        <v>2321</v>
      </c>
      <c r="I1250" s="1">
        <v>55000</v>
      </c>
      <c r="J1250" s="1">
        <v>50</v>
      </c>
      <c r="K1250" s="1">
        <v>500</v>
      </c>
      <c r="L1250" s="1">
        <v>30000</v>
      </c>
      <c r="M1250" s="1" t="s">
        <v>1970</v>
      </c>
      <c r="N1250" s="1" t="s">
        <v>1435</v>
      </c>
      <c r="O1250" s="1">
        <v>0</v>
      </c>
      <c r="P1250" s="1" t="s">
        <v>2081</v>
      </c>
      <c r="Q1250" s="7" t="s">
        <v>2487</v>
      </c>
    </row>
    <row r="1251" spans="1:17" ht="14.25" thickBot="1">
      <c r="A1251" s="1" t="s">
        <v>1339</v>
      </c>
      <c r="B1251" s="3">
        <v>1</v>
      </c>
      <c r="C1251" s="9" t="s">
        <v>2282</v>
      </c>
      <c r="D1251" s="1" t="str">
        <f t="shared" si="90"/>
        <v>副手武器</v>
      </c>
      <c r="E1251" s="1">
        <f>INDEX([1]游戏类型定义!$C$20:$C$29,MATCH(D1251,[1]!装备部位,0))</f>
        <v>6</v>
      </c>
      <c r="F1251" s="1">
        <v>4</v>
      </c>
      <c r="G1251" s="1">
        <f t="shared" si="91"/>
        <v>55</v>
      </c>
      <c r="H1251" s="10" t="s">
        <v>2321</v>
      </c>
      <c r="I1251" s="1">
        <v>58000</v>
      </c>
      <c r="J1251" s="1">
        <v>50</v>
      </c>
      <c r="K1251" s="1">
        <v>500</v>
      </c>
      <c r="L1251" s="1">
        <v>32500</v>
      </c>
      <c r="M1251" s="1" t="s">
        <v>1971</v>
      </c>
      <c r="N1251" s="1" t="s">
        <v>1435</v>
      </c>
      <c r="O1251" s="1">
        <v>0</v>
      </c>
      <c r="P1251" s="1" t="s">
        <v>2081</v>
      </c>
      <c r="Q1251" s="7" t="s">
        <v>2488</v>
      </c>
    </row>
    <row r="1252" spans="1:17" ht="14.25" thickBot="1">
      <c r="A1252" s="1" t="s">
        <v>1340</v>
      </c>
      <c r="B1252" s="3">
        <v>1</v>
      </c>
      <c r="C1252" s="9" t="s">
        <v>2274</v>
      </c>
      <c r="D1252" s="1" t="str">
        <f t="shared" si="90"/>
        <v>主手武器</v>
      </c>
      <c r="E1252" s="1">
        <f>INDEX([1]游戏类型定义!$C$20:$C$29,MATCH(D1252,[1]!装备部位,0))</f>
        <v>5</v>
      </c>
      <c r="F1252" s="1">
        <v>4</v>
      </c>
      <c r="G1252" s="1">
        <f t="shared" si="91"/>
        <v>55</v>
      </c>
      <c r="H1252" s="10" t="s">
        <v>2322</v>
      </c>
      <c r="I1252" s="1">
        <v>55000</v>
      </c>
      <c r="J1252" s="1">
        <v>50</v>
      </c>
      <c r="K1252" s="1">
        <v>500</v>
      </c>
      <c r="L1252" s="1">
        <v>30000</v>
      </c>
      <c r="M1252" s="1" t="s">
        <v>2026</v>
      </c>
      <c r="N1252" s="1" t="s">
        <v>1435</v>
      </c>
      <c r="O1252" s="1">
        <v>0</v>
      </c>
      <c r="P1252" s="1" t="s">
        <v>2081</v>
      </c>
      <c r="Q1252" s="7" t="s">
        <v>2489</v>
      </c>
    </row>
    <row r="1253" spans="1:17" ht="14.25" thickBot="1">
      <c r="A1253" s="1" t="s">
        <v>1341</v>
      </c>
      <c r="B1253" s="2">
        <v>0</v>
      </c>
      <c r="C1253" s="9" t="s">
        <v>2048</v>
      </c>
      <c r="D1253" s="1" t="str">
        <f t="shared" si="90"/>
        <v>主手武器</v>
      </c>
      <c r="E1253" s="1">
        <f>INDEX([1]游戏类型定义!$C$20:$C$29,MATCH(D1253,[1]!装备部位,0))</f>
        <v>5</v>
      </c>
      <c r="F1253" s="1">
        <v>4</v>
      </c>
      <c r="G1253" s="1">
        <f t="shared" si="91"/>
        <v>55</v>
      </c>
      <c r="H1253" s="10" t="s">
        <v>2322</v>
      </c>
      <c r="I1253" s="1">
        <v>58000</v>
      </c>
      <c r="J1253" s="1">
        <v>50</v>
      </c>
      <c r="K1253" s="1">
        <v>500</v>
      </c>
      <c r="L1253" s="1">
        <v>32500</v>
      </c>
      <c r="M1253" s="1" t="s">
        <v>2027</v>
      </c>
      <c r="N1253" s="1" t="s">
        <v>1435</v>
      </c>
      <c r="O1253" s="1">
        <v>0</v>
      </c>
      <c r="P1253" s="1" t="s">
        <v>2081</v>
      </c>
      <c r="Q1253" s="7" t="s">
        <v>2061</v>
      </c>
    </row>
    <row r="1254" spans="1:17" ht="14.25" thickBot="1">
      <c r="A1254" s="1" t="s">
        <v>1342</v>
      </c>
      <c r="B1254" s="3">
        <v>1</v>
      </c>
      <c r="C1254" s="9" t="s">
        <v>2283</v>
      </c>
      <c r="D1254" s="1" t="str">
        <f t="shared" si="90"/>
        <v>副手武器</v>
      </c>
      <c r="E1254" s="1">
        <f>INDEX([1]游戏类型定义!$C$20:$C$29,MATCH(D1254,[1]!装备部位,0))</f>
        <v>6</v>
      </c>
      <c r="F1254" s="1">
        <v>4</v>
      </c>
      <c r="G1254" s="1">
        <f t="shared" si="91"/>
        <v>55</v>
      </c>
      <c r="H1254" s="10" t="s">
        <v>2322</v>
      </c>
      <c r="I1254" s="1">
        <v>55000</v>
      </c>
      <c r="J1254" s="1">
        <v>50</v>
      </c>
      <c r="K1254" s="1">
        <v>500</v>
      </c>
      <c r="L1254" s="1">
        <v>30000</v>
      </c>
      <c r="M1254" s="1" t="s">
        <v>1972</v>
      </c>
      <c r="N1254" s="1" t="s">
        <v>1435</v>
      </c>
      <c r="O1254" s="1">
        <v>0</v>
      </c>
      <c r="P1254" s="1" t="s">
        <v>2081</v>
      </c>
      <c r="Q1254" s="7" t="s">
        <v>2490</v>
      </c>
    </row>
    <row r="1255" spans="1:17" ht="14.25" thickBot="1">
      <c r="A1255" s="1" t="s">
        <v>1343</v>
      </c>
      <c r="B1255" s="3">
        <v>1</v>
      </c>
      <c r="C1255" s="9" t="s">
        <v>2285</v>
      </c>
      <c r="D1255" s="1" t="str">
        <f t="shared" si="90"/>
        <v>副手武器</v>
      </c>
      <c r="E1255" s="1">
        <f>INDEX([1]游戏类型定义!$C$20:$C$29,MATCH(D1255,[1]!装备部位,0))</f>
        <v>6</v>
      </c>
      <c r="F1255" s="1">
        <v>4</v>
      </c>
      <c r="G1255" s="1">
        <f t="shared" si="91"/>
        <v>55</v>
      </c>
      <c r="H1255" s="10" t="s">
        <v>2322</v>
      </c>
      <c r="I1255" s="1">
        <v>58000</v>
      </c>
      <c r="J1255" s="1">
        <v>50</v>
      </c>
      <c r="K1255" s="1">
        <v>500</v>
      </c>
      <c r="L1255" s="1">
        <v>32500</v>
      </c>
      <c r="M1255" s="1" t="s">
        <v>1973</v>
      </c>
      <c r="N1255" s="1" t="s">
        <v>1435</v>
      </c>
      <c r="O1255" s="1">
        <v>0</v>
      </c>
      <c r="P1255" s="1" t="s">
        <v>2081</v>
      </c>
      <c r="Q1255" s="7" t="s">
        <v>2491</v>
      </c>
    </row>
    <row r="1256" spans="1:17" ht="14.25" thickBot="1">
      <c r="A1256" s="1" t="s">
        <v>1344</v>
      </c>
      <c r="B1256" s="3">
        <v>1</v>
      </c>
      <c r="C1256" s="1" t="s">
        <v>2170</v>
      </c>
      <c r="D1256" s="1" t="str">
        <f t="shared" ref="D1256:D1275" si="92">D926</f>
        <v>胸甲</v>
      </c>
      <c r="E1256" s="1">
        <f>INDEX([1]游戏类型定义!$C$20:$C$29,MATCH(D1256,[1]!装备部位,0))</f>
        <v>4</v>
      </c>
      <c r="F1256" s="1">
        <v>4</v>
      </c>
      <c r="G1256" s="1">
        <f t="shared" ref="G1256:G1275" si="93">G926</f>
        <v>55</v>
      </c>
      <c r="H1256" s="10">
        <v>0</v>
      </c>
      <c r="I1256" s="1">
        <v>55000</v>
      </c>
      <c r="J1256" s="1">
        <v>50</v>
      </c>
      <c r="K1256" s="1">
        <v>500</v>
      </c>
      <c r="L1256" s="1">
        <v>30000</v>
      </c>
      <c r="M1256" s="1" t="s">
        <v>1974</v>
      </c>
      <c r="N1256" s="1" t="s">
        <v>1434</v>
      </c>
      <c r="O1256" s="1">
        <v>0</v>
      </c>
      <c r="P1256" s="1" t="s">
        <v>2081</v>
      </c>
      <c r="Q1256" s="7" t="s">
        <v>2492</v>
      </c>
    </row>
    <row r="1257" spans="1:17" ht="14.25" thickBot="1">
      <c r="A1257" s="1" t="s">
        <v>1345</v>
      </c>
      <c r="B1257" s="2">
        <v>0</v>
      </c>
      <c r="C1257" s="1" t="s">
        <v>2030</v>
      </c>
      <c r="D1257" s="1" t="str">
        <f t="shared" si="92"/>
        <v>胸甲</v>
      </c>
      <c r="E1257" s="1">
        <f>INDEX([1]游戏类型定义!$C$20:$C$29,MATCH(D1257,[1]!装备部位,0))</f>
        <v>4</v>
      </c>
      <c r="F1257" s="1">
        <v>4</v>
      </c>
      <c r="G1257" s="1">
        <f t="shared" si="93"/>
        <v>55</v>
      </c>
      <c r="H1257" s="10">
        <v>0</v>
      </c>
      <c r="I1257" s="1">
        <v>58000</v>
      </c>
      <c r="J1257" s="1">
        <v>50</v>
      </c>
      <c r="K1257" s="1">
        <v>500</v>
      </c>
      <c r="L1257" s="1">
        <v>32500</v>
      </c>
      <c r="M1257" s="1" t="s">
        <v>1975</v>
      </c>
      <c r="N1257" s="1" t="s">
        <v>1434</v>
      </c>
      <c r="O1257" s="1">
        <v>0</v>
      </c>
      <c r="P1257" s="1" t="s">
        <v>2081</v>
      </c>
      <c r="Q1257" s="7" t="s">
        <v>2063</v>
      </c>
    </row>
    <row r="1258" spans="1:17" ht="14.25" thickBot="1">
      <c r="A1258" s="1" t="s">
        <v>1346</v>
      </c>
      <c r="B1258" s="3">
        <v>1</v>
      </c>
      <c r="C1258" s="1" t="s">
        <v>2189</v>
      </c>
      <c r="D1258" s="1" t="str">
        <f t="shared" si="92"/>
        <v>护腿</v>
      </c>
      <c r="E1258" s="1">
        <f>INDEX([1]游戏类型定义!$C$20:$C$29,MATCH(D1258,[1]!装备部位,0))</f>
        <v>7</v>
      </c>
      <c r="F1258" s="1">
        <v>4</v>
      </c>
      <c r="G1258" s="1">
        <f t="shared" si="93"/>
        <v>55</v>
      </c>
      <c r="H1258" s="10">
        <v>0</v>
      </c>
      <c r="I1258" s="1">
        <v>55000</v>
      </c>
      <c r="J1258" s="1">
        <v>50</v>
      </c>
      <c r="K1258" s="1">
        <v>500</v>
      </c>
      <c r="L1258" s="1">
        <v>30000</v>
      </c>
      <c r="M1258" s="1" t="s">
        <v>1961</v>
      </c>
      <c r="N1258" s="1" t="s">
        <v>1434</v>
      </c>
      <c r="O1258" s="1">
        <v>0</v>
      </c>
      <c r="P1258" s="1" t="s">
        <v>2081</v>
      </c>
      <c r="Q1258" s="7" t="s">
        <v>2493</v>
      </c>
    </row>
    <row r="1259" spans="1:17" ht="14.25" thickBot="1">
      <c r="A1259" s="1" t="s">
        <v>1347</v>
      </c>
      <c r="B1259" s="2">
        <v>0</v>
      </c>
      <c r="C1259" s="1" t="s">
        <v>2038</v>
      </c>
      <c r="D1259" s="1" t="str">
        <f t="shared" si="92"/>
        <v>护腿</v>
      </c>
      <c r="E1259" s="1">
        <f>INDEX([1]游戏类型定义!$C$20:$C$29,MATCH(D1259,[1]!装备部位,0))</f>
        <v>7</v>
      </c>
      <c r="F1259" s="1">
        <v>4</v>
      </c>
      <c r="G1259" s="1">
        <f t="shared" si="93"/>
        <v>55</v>
      </c>
      <c r="H1259" s="10">
        <v>0</v>
      </c>
      <c r="I1259" s="1">
        <v>58000</v>
      </c>
      <c r="J1259" s="1">
        <v>50</v>
      </c>
      <c r="K1259" s="1">
        <v>500</v>
      </c>
      <c r="L1259" s="1">
        <v>32500</v>
      </c>
      <c r="M1259" s="1" t="s">
        <v>1962</v>
      </c>
      <c r="N1259" s="1" t="s">
        <v>1434</v>
      </c>
      <c r="O1259" s="1">
        <v>0</v>
      </c>
      <c r="P1259" s="1" t="s">
        <v>2081</v>
      </c>
      <c r="Q1259" s="7" t="s">
        <v>2064</v>
      </c>
    </row>
    <row r="1260" spans="1:17" ht="14.25" thickBot="1">
      <c r="A1260" s="1" t="s">
        <v>1348</v>
      </c>
      <c r="B1260" s="3">
        <v>1</v>
      </c>
      <c r="C1260" s="1" t="s">
        <v>2142</v>
      </c>
      <c r="D1260" s="1" t="str">
        <f t="shared" si="92"/>
        <v>头盔</v>
      </c>
      <c r="E1260" s="1">
        <f>INDEX([1]游戏类型定义!$C$20:$C$29,MATCH(D1260,[1]!装备部位,0))</f>
        <v>1</v>
      </c>
      <c r="F1260" s="1">
        <v>4</v>
      </c>
      <c r="G1260" s="1">
        <f t="shared" si="93"/>
        <v>60</v>
      </c>
      <c r="H1260" s="10">
        <v>0</v>
      </c>
      <c r="I1260" s="1">
        <v>60000</v>
      </c>
      <c r="J1260" s="1">
        <v>50</v>
      </c>
      <c r="K1260" s="1">
        <v>500</v>
      </c>
      <c r="L1260" s="1">
        <v>32500</v>
      </c>
      <c r="M1260" s="1" t="s">
        <v>1976</v>
      </c>
      <c r="N1260" s="1" t="s">
        <v>1436</v>
      </c>
      <c r="O1260" s="1">
        <v>0</v>
      </c>
      <c r="P1260" s="1" t="s">
        <v>2082</v>
      </c>
      <c r="Q1260" s="7" t="s">
        <v>2494</v>
      </c>
    </row>
    <row r="1261" spans="1:17" ht="14.25" thickBot="1">
      <c r="A1261" s="1" t="s">
        <v>1349</v>
      </c>
      <c r="B1261" s="3">
        <v>1</v>
      </c>
      <c r="C1261" s="1" t="s">
        <v>2116</v>
      </c>
      <c r="D1261" s="1" t="str">
        <f t="shared" si="92"/>
        <v>戒指</v>
      </c>
      <c r="E1261" s="1">
        <f>INDEX([1]游戏类型定义!$C$20:$C$29,MATCH(D1261,[1]!装备部位,0))</f>
        <v>2</v>
      </c>
      <c r="F1261" s="1">
        <v>4</v>
      </c>
      <c r="G1261" s="1">
        <f t="shared" si="93"/>
        <v>60</v>
      </c>
      <c r="H1261" s="10">
        <v>0</v>
      </c>
      <c r="I1261" s="1">
        <v>60000</v>
      </c>
      <c r="J1261" s="1">
        <v>50</v>
      </c>
      <c r="K1261" s="1">
        <v>500</v>
      </c>
      <c r="L1261" s="1">
        <v>32500</v>
      </c>
      <c r="M1261" s="1" t="s">
        <v>1977</v>
      </c>
      <c r="N1261" s="1" t="s">
        <v>1436</v>
      </c>
      <c r="O1261" s="1">
        <v>0</v>
      </c>
      <c r="P1261" s="1" t="s">
        <v>2082</v>
      </c>
      <c r="Q1261" s="7" t="s">
        <v>2495</v>
      </c>
    </row>
    <row r="1262" spans="1:17" ht="14.25" thickBot="1">
      <c r="A1262" s="1" t="s">
        <v>1350</v>
      </c>
      <c r="B1262" s="3">
        <v>1</v>
      </c>
      <c r="C1262" s="1" t="s">
        <v>2096</v>
      </c>
      <c r="D1262" s="1" t="str">
        <f t="shared" si="92"/>
        <v>腰带</v>
      </c>
      <c r="E1262" s="1">
        <f>INDEX([1]游戏类型定义!$C$20:$C$29,MATCH(D1262,[1]!装备部位,0))</f>
        <v>3</v>
      </c>
      <c r="F1262" s="1">
        <v>4</v>
      </c>
      <c r="G1262" s="1">
        <f t="shared" si="93"/>
        <v>60</v>
      </c>
      <c r="H1262" s="10">
        <v>0</v>
      </c>
      <c r="I1262" s="1">
        <v>60000</v>
      </c>
      <c r="J1262" s="1">
        <v>50</v>
      </c>
      <c r="K1262" s="1">
        <v>500</v>
      </c>
      <c r="L1262" s="1">
        <v>32500</v>
      </c>
      <c r="M1262" s="1" t="s">
        <v>1965</v>
      </c>
      <c r="N1262" s="1" t="s">
        <v>1436</v>
      </c>
      <c r="O1262" s="1">
        <v>0</v>
      </c>
      <c r="P1262" s="1" t="s">
        <v>2082</v>
      </c>
      <c r="Q1262" s="7" t="s">
        <v>2496</v>
      </c>
    </row>
    <row r="1263" spans="1:17" ht="14.25" thickBot="1">
      <c r="A1263" s="1" t="s">
        <v>1351</v>
      </c>
      <c r="B1263" s="3">
        <v>1</v>
      </c>
      <c r="C1263" s="1" t="s">
        <v>2140</v>
      </c>
      <c r="D1263" s="1" t="str">
        <f t="shared" si="92"/>
        <v>鞋子</v>
      </c>
      <c r="E1263" s="1">
        <f>INDEX([1]游戏类型定义!$C$20:$C$29,MATCH(D1263,[1]!装备部位,0))</f>
        <v>8</v>
      </c>
      <c r="F1263" s="1">
        <v>4</v>
      </c>
      <c r="G1263" s="1">
        <f t="shared" si="93"/>
        <v>60</v>
      </c>
      <c r="H1263" s="10">
        <v>0</v>
      </c>
      <c r="I1263" s="1">
        <v>60000</v>
      </c>
      <c r="J1263" s="1">
        <v>50</v>
      </c>
      <c r="K1263" s="1">
        <v>500</v>
      </c>
      <c r="L1263" s="1">
        <v>32500</v>
      </c>
      <c r="M1263" s="1" t="s">
        <v>1978</v>
      </c>
      <c r="N1263" s="1" t="s">
        <v>1436</v>
      </c>
      <c r="O1263" s="1">
        <v>0</v>
      </c>
      <c r="P1263" s="1" t="s">
        <v>2082</v>
      </c>
      <c r="Q1263" s="7" t="s">
        <v>2497</v>
      </c>
    </row>
    <row r="1264" spans="1:17" ht="14.25" thickBot="1">
      <c r="A1264" s="1" t="s">
        <v>1352</v>
      </c>
      <c r="B1264" s="3">
        <v>1</v>
      </c>
      <c r="C1264" s="1" t="s">
        <v>2138</v>
      </c>
      <c r="D1264" s="1" t="str">
        <f t="shared" si="92"/>
        <v>手套</v>
      </c>
      <c r="E1264" s="1">
        <f>INDEX([1]游戏类型定义!$C$20:$C$29,MATCH(D1264,[1]!装备部位,0))</f>
        <v>9</v>
      </c>
      <c r="F1264" s="1">
        <v>4</v>
      </c>
      <c r="G1264" s="1">
        <f t="shared" si="93"/>
        <v>60</v>
      </c>
      <c r="H1264" s="10">
        <v>0</v>
      </c>
      <c r="I1264" s="1">
        <v>60000</v>
      </c>
      <c r="J1264" s="1">
        <v>50</v>
      </c>
      <c r="K1264" s="1">
        <v>500</v>
      </c>
      <c r="L1264" s="1">
        <v>32500</v>
      </c>
      <c r="M1264" s="1" t="s">
        <v>1979</v>
      </c>
      <c r="N1264" s="1" t="s">
        <v>1436</v>
      </c>
      <c r="O1264" s="1">
        <v>0</v>
      </c>
      <c r="P1264" s="1" t="s">
        <v>2082</v>
      </c>
      <c r="Q1264" s="7" t="s">
        <v>2498</v>
      </c>
    </row>
    <row r="1265" spans="1:17" ht="14.25" thickBot="1">
      <c r="A1265" s="1" t="s">
        <v>1353</v>
      </c>
      <c r="B1265" s="3">
        <v>1</v>
      </c>
      <c r="C1265" s="1" t="s">
        <v>2154</v>
      </c>
      <c r="D1265" s="1" t="str">
        <f t="shared" si="92"/>
        <v>项链</v>
      </c>
      <c r="E1265" s="1">
        <f>INDEX([1]游戏类型定义!$C$20:$C$29,MATCH(D1265,[1]!装备部位,0))</f>
        <v>10</v>
      </c>
      <c r="F1265" s="1">
        <v>4</v>
      </c>
      <c r="G1265" s="1">
        <f t="shared" si="93"/>
        <v>60</v>
      </c>
      <c r="H1265" s="10">
        <v>0</v>
      </c>
      <c r="I1265" s="1">
        <v>60000</v>
      </c>
      <c r="J1265" s="1">
        <v>50</v>
      </c>
      <c r="K1265" s="1">
        <v>500</v>
      </c>
      <c r="L1265" s="1">
        <v>32500</v>
      </c>
      <c r="M1265" s="1" t="s">
        <v>1980</v>
      </c>
      <c r="N1265" s="1" t="s">
        <v>1436</v>
      </c>
      <c r="O1265" s="1">
        <v>0</v>
      </c>
      <c r="P1265" s="1" t="s">
        <v>2082</v>
      </c>
      <c r="Q1265" s="7" t="s">
        <v>2499</v>
      </c>
    </row>
    <row r="1266" spans="1:17" ht="14.25" thickBot="1">
      <c r="A1266" s="1" t="s">
        <v>1354</v>
      </c>
      <c r="B1266" s="3">
        <v>1</v>
      </c>
      <c r="C1266" s="9" t="s">
        <v>2297</v>
      </c>
      <c r="D1266" s="1" t="str">
        <f t="shared" si="92"/>
        <v>主手武器</v>
      </c>
      <c r="E1266" s="1">
        <f>INDEX([1]游戏类型定义!$C$20:$C$29,MATCH(D1266,[1]!装备部位,0))</f>
        <v>5</v>
      </c>
      <c r="F1266" s="1">
        <v>4</v>
      </c>
      <c r="G1266" s="1">
        <f t="shared" si="93"/>
        <v>60</v>
      </c>
      <c r="H1266" s="10" t="s">
        <v>2320</v>
      </c>
      <c r="I1266" s="1">
        <v>60000</v>
      </c>
      <c r="J1266" s="1">
        <v>50</v>
      </c>
      <c r="K1266" s="1">
        <v>500</v>
      </c>
      <c r="L1266" s="1">
        <v>32500</v>
      </c>
      <c r="M1266" s="1" t="s">
        <v>1981</v>
      </c>
      <c r="N1266" s="1" t="s">
        <v>1437</v>
      </c>
      <c r="O1266" s="1">
        <v>0</v>
      </c>
      <c r="P1266" s="1" t="s">
        <v>2082</v>
      </c>
      <c r="Q1266" s="7" t="s">
        <v>2500</v>
      </c>
    </row>
    <row r="1267" spans="1:17" ht="14.25" thickBot="1">
      <c r="A1267" s="1" t="s">
        <v>1355</v>
      </c>
      <c r="B1267" s="3">
        <v>1</v>
      </c>
      <c r="C1267" s="9" t="s">
        <v>2286</v>
      </c>
      <c r="D1267" s="1" t="str">
        <f t="shared" si="92"/>
        <v>主手武器</v>
      </c>
      <c r="E1267" s="1">
        <f>INDEX([1]游戏类型定义!$C$20:$C$29,MATCH(D1267,[1]!装备部位,0))</f>
        <v>5</v>
      </c>
      <c r="F1267" s="1">
        <v>4</v>
      </c>
      <c r="G1267" s="1">
        <f t="shared" si="93"/>
        <v>60</v>
      </c>
      <c r="H1267" s="10" t="s">
        <v>2320</v>
      </c>
      <c r="I1267" s="1">
        <v>63000</v>
      </c>
      <c r="J1267" s="1">
        <v>50</v>
      </c>
      <c r="K1267" s="1">
        <v>500</v>
      </c>
      <c r="L1267" s="1">
        <v>35000</v>
      </c>
      <c r="M1267" s="1" t="s">
        <v>1982</v>
      </c>
      <c r="N1267" s="1" t="s">
        <v>1437</v>
      </c>
      <c r="O1267" s="1">
        <v>0</v>
      </c>
      <c r="P1267" s="1" t="s">
        <v>2082</v>
      </c>
      <c r="Q1267" s="7" t="s">
        <v>2501</v>
      </c>
    </row>
    <row r="1268" spans="1:17" ht="14.25" thickBot="1">
      <c r="A1268" s="1" t="s">
        <v>1356</v>
      </c>
      <c r="B1268" s="3">
        <v>1</v>
      </c>
      <c r="C1268" s="9" t="s">
        <v>2288</v>
      </c>
      <c r="D1268" s="1" t="str">
        <f t="shared" si="92"/>
        <v>副手武器</v>
      </c>
      <c r="E1268" s="1">
        <f>INDEX([1]游戏类型定义!$C$20:$C$29,MATCH(D1268,[1]!装备部位,0))</f>
        <v>6</v>
      </c>
      <c r="F1268" s="1">
        <v>4</v>
      </c>
      <c r="G1268" s="1">
        <f t="shared" si="93"/>
        <v>60</v>
      </c>
      <c r="H1268" s="10" t="s">
        <v>2320</v>
      </c>
      <c r="I1268" s="1">
        <v>60000</v>
      </c>
      <c r="J1268" s="1">
        <v>50</v>
      </c>
      <c r="K1268" s="1">
        <v>500</v>
      </c>
      <c r="L1268" s="1">
        <v>32500</v>
      </c>
      <c r="M1268" s="1" t="s">
        <v>1983</v>
      </c>
      <c r="N1268" s="1" t="s">
        <v>1437</v>
      </c>
      <c r="O1268" s="1">
        <v>0</v>
      </c>
      <c r="P1268" s="1" t="s">
        <v>2082</v>
      </c>
      <c r="Q1268" s="7" t="s">
        <v>2502</v>
      </c>
    </row>
    <row r="1269" spans="1:17" ht="14.25" thickBot="1">
      <c r="A1269" s="1" t="s">
        <v>1357</v>
      </c>
      <c r="B1269" s="2">
        <v>0</v>
      </c>
      <c r="C1269" s="9" t="s">
        <v>2044</v>
      </c>
      <c r="D1269" s="1" t="str">
        <f t="shared" si="92"/>
        <v>副手武器</v>
      </c>
      <c r="E1269" s="1">
        <f>INDEX([1]游戏类型定义!$C$20:$C$29,MATCH(D1269,[1]!装备部位,0))</f>
        <v>6</v>
      </c>
      <c r="F1269" s="1">
        <v>4</v>
      </c>
      <c r="G1269" s="1">
        <f t="shared" si="93"/>
        <v>60</v>
      </c>
      <c r="H1269" s="10" t="s">
        <v>2320</v>
      </c>
      <c r="I1269" s="1">
        <v>63000</v>
      </c>
      <c r="J1269" s="1">
        <v>50</v>
      </c>
      <c r="K1269" s="1">
        <v>500</v>
      </c>
      <c r="L1269" s="1">
        <v>35000</v>
      </c>
      <c r="M1269" s="1" t="s">
        <v>1984</v>
      </c>
      <c r="N1269" s="1" t="s">
        <v>1437</v>
      </c>
      <c r="O1269" s="1">
        <v>0</v>
      </c>
      <c r="P1269" s="1" t="s">
        <v>2082</v>
      </c>
      <c r="Q1269" s="7" t="s">
        <v>2058</v>
      </c>
    </row>
    <row r="1270" spans="1:17" ht="14.25" thickBot="1">
      <c r="A1270" s="1" t="s">
        <v>1358</v>
      </c>
      <c r="B1270" s="3">
        <v>1</v>
      </c>
      <c r="C1270" s="1" t="s">
        <v>2289</v>
      </c>
      <c r="D1270" s="1" t="str">
        <f t="shared" si="92"/>
        <v>主手武器</v>
      </c>
      <c r="E1270" s="1">
        <f>INDEX([1]游戏类型定义!$C$20:$C$29,MATCH(D1270,[1]!装备部位,0))</f>
        <v>5</v>
      </c>
      <c r="F1270" s="1">
        <v>4</v>
      </c>
      <c r="G1270" s="1">
        <f t="shared" si="93"/>
        <v>60</v>
      </c>
      <c r="H1270" s="10" t="s">
        <v>2321</v>
      </c>
      <c r="I1270" s="1">
        <v>60000</v>
      </c>
      <c r="J1270" s="1">
        <v>50</v>
      </c>
      <c r="K1270" s="1">
        <v>500</v>
      </c>
      <c r="L1270" s="1">
        <v>32500</v>
      </c>
      <c r="M1270" s="1" t="s">
        <v>1981</v>
      </c>
      <c r="N1270" s="1" t="s">
        <v>1437</v>
      </c>
      <c r="O1270" s="1">
        <v>0</v>
      </c>
      <c r="P1270" s="1" t="s">
        <v>2082</v>
      </c>
      <c r="Q1270" s="7" t="s">
        <v>2503</v>
      </c>
    </row>
    <row r="1271" spans="1:17" ht="14.25" thickBot="1">
      <c r="A1271" s="1" t="s">
        <v>1359</v>
      </c>
      <c r="B1271" s="2">
        <v>0</v>
      </c>
      <c r="C1271" s="1" t="s">
        <v>2040</v>
      </c>
      <c r="D1271" s="1" t="str">
        <f t="shared" si="92"/>
        <v>主手武器</v>
      </c>
      <c r="E1271" s="1">
        <f>INDEX([1]游戏类型定义!$C$20:$C$29,MATCH(D1271,[1]!装备部位,0))</f>
        <v>5</v>
      </c>
      <c r="F1271" s="1">
        <v>4</v>
      </c>
      <c r="G1271" s="1">
        <f t="shared" si="93"/>
        <v>60</v>
      </c>
      <c r="H1271" s="10" t="s">
        <v>2321</v>
      </c>
      <c r="I1271" s="1">
        <v>63000</v>
      </c>
      <c r="J1271" s="1">
        <v>50</v>
      </c>
      <c r="K1271" s="1">
        <v>500</v>
      </c>
      <c r="L1271" s="1">
        <v>35000</v>
      </c>
      <c r="M1271" s="1" t="s">
        <v>1982</v>
      </c>
      <c r="N1271" s="1" t="s">
        <v>1437</v>
      </c>
      <c r="O1271" s="1">
        <v>0</v>
      </c>
      <c r="P1271" s="1" t="s">
        <v>2082</v>
      </c>
      <c r="Q1271" s="7" t="s">
        <v>2059</v>
      </c>
    </row>
    <row r="1272" spans="1:17" ht="14.25" thickBot="1">
      <c r="A1272" s="1" t="s">
        <v>1360</v>
      </c>
      <c r="B1272" s="3">
        <v>1</v>
      </c>
      <c r="C1272" s="9" t="s">
        <v>2292</v>
      </c>
      <c r="D1272" s="1" t="str">
        <f t="shared" si="92"/>
        <v>副手武器</v>
      </c>
      <c r="E1272" s="1">
        <f>INDEX([1]游戏类型定义!$C$20:$C$29,MATCH(D1272,[1]!装备部位,0))</f>
        <v>6</v>
      </c>
      <c r="F1272" s="1">
        <v>4</v>
      </c>
      <c r="G1272" s="1">
        <f t="shared" si="93"/>
        <v>60</v>
      </c>
      <c r="H1272" s="10" t="s">
        <v>2321</v>
      </c>
      <c r="I1272" s="1">
        <v>60000</v>
      </c>
      <c r="J1272" s="1">
        <v>50</v>
      </c>
      <c r="K1272" s="1">
        <v>500</v>
      </c>
      <c r="L1272" s="1">
        <v>32500</v>
      </c>
      <c r="M1272" s="1" t="s">
        <v>1985</v>
      </c>
      <c r="N1272" s="1" t="s">
        <v>1437</v>
      </c>
      <c r="O1272" s="1">
        <v>0</v>
      </c>
      <c r="P1272" s="1" t="s">
        <v>2082</v>
      </c>
      <c r="Q1272" s="7" t="s">
        <v>2504</v>
      </c>
    </row>
    <row r="1273" spans="1:17" ht="14.25" thickBot="1">
      <c r="A1273" s="1" t="s">
        <v>1361</v>
      </c>
      <c r="B1273" s="2">
        <v>0</v>
      </c>
      <c r="C1273" s="9" t="s">
        <v>2042</v>
      </c>
      <c r="D1273" s="1" t="str">
        <f t="shared" si="92"/>
        <v>副手武器</v>
      </c>
      <c r="E1273" s="1">
        <f>INDEX([1]游戏类型定义!$C$20:$C$29,MATCH(D1273,[1]!装备部位,0))</f>
        <v>6</v>
      </c>
      <c r="F1273" s="1">
        <v>4</v>
      </c>
      <c r="G1273" s="1">
        <f t="shared" si="93"/>
        <v>60</v>
      </c>
      <c r="H1273" s="10" t="s">
        <v>2321</v>
      </c>
      <c r="I1273" s="1">
        <v>63000</v>
      </c>
      <c r="J1273" s="1">
        <v>50</v>
      </c>
      <c r="K1273" s="1">
        <v>500</v>
      </c>
      <c r="L1273" s="1">
        <v>35000</v>
      </c>
      <c r="M1273" s="1" t="s">
        <v>1986</v>
      </c>
      <c r="N1273" s="1" t="s">
        <v>1437</v>
      </c>
      <c r="O1273" s="1">
        <v>0</v>
      </c>
      <c r="P1273" s="1" t="s">
        <v>2082</v>
      </c>
      <c r="Q1273" s="7" t="s">
        <v>2060</v>
      </c>
    </row>
    <row r="1274" spans="1:17" ht="14.25" thickBot="1">
      <c r="A1274" s="1" t="s">
        <v>1362</v>
      </c>
      <c r="B1274" s="3">
        <v>1</v>
      </c>
      <c r="C1274" s="9" t="s">
        <v>2291</v>
      </c>
      <c r="D1274" s="1" t="str">
        <f t="shared" si="92"/>
        <v>主手武器</v>
      </c>
      <c r="E1274" s="1">
        <f>INDEX([1]游戏类型定义!$C$20:$C$29,MATCH(D1274,[1]!装备部位,0))</f>
        <v>5</v>
      </c>
      <c r="F1274" s="1">
        <v>4</v>
      </c>
      <c r="G1274" s="1">
        <f t="shared" si="93"/>
        <v>60</v>
      </c>
      <c r="H1274" s="10" t="s">
        <v>2322</v>
      </c>
      <c r="I1274" s="1">
        <v>60000</v>
      </c>
      <c r="J1274" s="1">
        <v>50</v>
      </c>
      <c r="K1274" s="1">
        <v>500</v>
      </c>
      <c r="L1274" s="1">
        <v>32500</v>
      </c>
      <c r="M1274" s="1" t="s">
        <v>1981</v>
      </c>
      <c r="N1274" s="1" t="s">
        <v>1437</v>
      </c>
      <c r="O1274" s="1">
        <v>0</v>
      </c>
      <c r="P1274" s="1" t="s">
        <v>2082</v>
      </c>
      <c r="Q1274" s="7" t="s">
        <v>2505</v>
      </c>
    </row>
    <row r="1275" spans="1:17" ht="14.25" thickBot="1">
      <c r="A1275" s="1" t="s">
        <v>1363</v>
      </c>
      <c r="B1275" s="2">
        <v>0</v>
      </c>
      <c r="C1275" s="9" t="s">
        <v>2295</v>
      </c>
      <c r="D1275" s="1" t="str">
        <f t="shared" si="92"/>
        <v>主手武器</v>
      </c>
      <c r="E1275" s="1">
        <f>INDEX([1]游戏类型定义!$C$20:$C$29,MATCH(D1275,[1]!装备部位,0))</f>
        <v>5</v>
      </c>
      <c r="F1275" s="1">
        <v>4</v>
      </c>
      <c r="G1275" s="1">
        <f t="shared" si="93"/>
        <v>60</v>
      </c>
      <c r="H1275" s="10" t="s">
        <v>2322</v>
      </c>
      <c r="I1275" s="1">
        <v>63000</v>
      </c>
      <c r="J1275" s="1">
        <v>50</v>
      </c>
      <c r="K1275" s="1">
        <v>500</v>
      </c>
      <c r="L1275" s="1">
        <v>35000</v>
      </c>
      <c r="M1275" s="1" t="s">
        <v>1982</v>
      </c>
      <c r="N1275" s="1" t="s">
        <v>1437</v>
      </c>
      <c r="O1275" s="1">
        <v>0</v>
      </c>
      <c r="P1275" s="1" t="s">
        <v>2082</v>
      </c>
      <c r="Q1275" s="7" t="s">
        <v>2061</v>
      </c>
    </row>
    <row r="1276" spans="1:17" ht="14.25" thickBot="1">
      <c r="A1276" s="1" t="s">
        <v>1364</v>
      </c>
      <c r="B1276" s="3">
        <v>1</v>
      </c>
      <c r="C1276" s="9" t="s">
        <v>2296</v>
      </c>
      <c r="D1276" s="1" t="str">
        <f t="shared" ref="D1276:D1295" si="94">D946</f>
        <v>副手武器</v>
      </c>
      <c r="E1276" s="1">
        <f>INDEX([1]游戏类型定义!$C$20:$C$29,MATCH(D1276,[1]!装备部位,0))</f>
        <v>6</v>
      </c>
      <c r="F1276" s="1">
        <v>4</v>
      </c>
      <c r="G1276" s="1">
        <f t="shared" ref="G1276:G1295" si="95">G946</f>
        <v>60</v>
      </c>
      <c r="H1276" s="10" t="s">
        <v>2322</v>
      </c>
      <c r="I1276" s="1">
        <v>60000</v>
      </c>
      <c r="J1276" s="1">
        <v>50</v>
      </c>
      <c r="K1276" s="1">
        <v>500</v>
      </c>
      <c r="L1276" s="1">
        <v>32500</v>
      </c>
      <c r="M1276" s="1" t="s">
        <v>1987</v>
      </c>
      <c r="N1276" s="1" t="s">
        <v>1437</v>
      </c>
      <c r="O1276" s="1">
        <v>0</v>
      </c>
      <c r="P1276" s="1" t="s">
        <v>2082</v>
      </c>
      <c r="Q1276" s="7" t="s">
        <v>2506</v>
      </c>
    </row>
    <row r="1277" spans="1:17" ht="14.25" thickBot="1">
      <c r="A1277" s="1" t="s">
        <v>1365</v>
      </c>
      <c r="B1277" s="2">
        <v>0</v>
      </c>
      <c r="C1277" s="9" t="s">
        <v>2050</v>
      </c>
      <c r="D1277" s="1" t="str">
        <f t="shared" si="94"/>
        <v>副手武器</v>
      </c>
      <c r="E1277" s="1">
        <f>INDEX([1]游戏类型定义!$C$20:$C$29,MATCH(D1277,[1]!装备部位,0))</f>
        <v>6</v>
      </c>
      <c r="F1277" s="1">
        <v>4</v>
      </c>
      <c r="G1277" s="1">
        <f t="shared" si="95"/>
        <v>60</v>
      </c>
      <c r="H1277" s="10" t="s">
        <v>2322</v>
      </c>
      <c r="I1277" s="1">
        <v>63000</v>
      </c>
      <c r="J1277" s="1">
        <v>50</v>
      </c>
      <c r="K1277" s="1">
        <v>500</v>
      </c>
      <c r="L1277" s="1">
        <v>35000</v>
      </c>
      <c r="M1277" s="1" t="s">
        <v>1988</v>
      </c>
      <c r="N1277" s="1" t="s">
        <v>1437</v>
      </c>
      <c r="O1277" s="1">
        <v>0</v>
      </c>
      <c r="P1277" s="1" t="s">
        <v>2082</v>
      </c>
      <c r="Q1277" s="7" t="s">
        <v>2062</v>
      </c>
    </row>
    <row r="1278" spans="1:17" ht="14.25" thickBot="1">
      <c r="A1278" s="1" t="s">
        <v>1366</v>
      </c>
      <c r="B1278" s="3">
        <v>1</v>
      </c>
      <c r="C1278" s="1" t="s">
        <v>2171</v>
      </c>
      <c r="D1278" s="1" t="str">
        <f t="shared" si="94"/>
        <v>胸甲</v>
      </c>
      <c r="E1278" s="1">
        <f>INDEX([1]游戏类型定义!$C$20:$C$29,MATCH(D1278,[1]!装备部位,0))</f>
        <v>4</v>
      </c>
      <c r="F1278" s="1">
        <v>4</v>
      </c>
      <c r="G1278" s="1">
        <f t="shared" si="95"/>
        <v>60</v>
      </c>
      <c r="H1278" s="10">
        <v>0</v>
      </c>
      <c r="I1278" s="1">
        <v>60000</v>
      </c>
      <c r="J1278" s="1">
        <v>50</v>
      </c>
      <c r="K1278" s="1">
        <v>500</v>
      </c>
      <c r="L1278" s="1">
        <v>32500</v>
      </c>
      <c r="M1278" s="1" t="s">
        <v>1989</v>
      </c>
      <c r="N1278" s="1" t="s">
        <v>1436</v>
      </c>
      <c r="O1278" s="1">
        <v>0</v>
      </c>
      <c r="P1278" s="1" t="s">
        <v>2082</v>
      </c>
      <c r="Q1278" s="7" t="s">
        <v>2507</v>
      </c>
    </row>
    <row r="1279" spans="1:17" ht="14.25" thickBot="1">
      <c r="A1279" s="1" t="s">
        <v>1367</v>
      </c>
      <c r="B1279" s="2">
        <v>0</v>
      </c>
      <c r="C1279" s="1" t="s">
        <v>2172</v>
      </c>
      <c r="D1279" s="1" t="str">
        <f t="shared" si="94"/>
        <v>胸甲</v>
      </c>
      <c r="E1279" s="1">
        <f>INDEX([1]游戏类型定义!$C$20:$C$29,MATCH(D1279,[1]!装备部位,0))</f>
        <v>4</v>
      </c>
      <c r="F1279" s="1">
        <v>4</v>
      </c>
      <c r="G1279" s="1">
        <f t="shared" si="95"/>
        <v>60</v>
      </c>
      <c r="H1279" s="10">
        <v>0</v>
      </c>
      <c r="I1279" s="1">
        <v>63000</v>
      </c>
      <c r="J1279" s="1">
        <v>50</v>
      </c>
      <c r="K1279" s="1">
        <v>500</v>
      </c>
      <c r="L1279" s="1">
        <v>35000</v>
      </c>
      <c r="M1279" s="1" t="s">
        <v>1990</v>
      </c>
      <c r="N1279" s="1" t="s">
        <v>1436</v>
      </c>
      <c r="O1279" s="1">
        <v>0</v>
      </c>
      <c r="P1279" s="1" t="s">
        <v>2082</v>
      </c>
      <c r="Q1279" s="7" t="s">
        <v>2063</v>
      </c>
    </row>
    <row r="1280" spans="1:17" ht="14.25" thickBot="1">
      <c r="A1280" s="1" t="s">
        <v>1368</v>
      </c>
      <c r="B1280" s="3">
        <v>1</v>
      </c>
      <c r="C1280" s="1" t="s">
        <v>2191</v>
      </c>
      <c r="D1280" s="1" t="str">
        <f t="shared" si="94"/>
        <v>护腿</v>
      </c>
      <c r="E1280" s="1">
        <f>INDEX([1]游戏类型定义!$C$20:$C$29,MATCH(D1280,[1]!装备部位,0))</f>
        <v>7</v>
      </c>
      <c r="F1280" s="1">
        <v>4</v>
      </c>
      <c r="G1280" s="1">
        <f t="shared" si="95"/>
        <v>60</v>
      </c>
      <c r="H1280" s="10">
        <v>0</v>
      </c>
      <c r="I1280" s="1">
        <v>60000</v>
      </c>
      <c r="J1280" s="1">
        <v>50</v>
      </c>
      <c r="K1280" s="1">
        <v>500</v>
      </c>
      <c r="L1280" s="1">
        <v>32500</v>
      </c>
      <c r="M1280" s="1" t="s">
        <v>1991</v>
      </c>
      <c r="N1280" s="1" t="s">
        <v>1436</v>
      </c>
      <c r="O1280" s="1">
        <v>0</v>
      </c>
      <c r="P1280" s="1" t="s">
        <v>2082</v>
      </c>
      <c r="Q1280" s="7" t="s">
        <v>2508</v>
      </c>
    </row>
    <row r="1281" spans="1:17" ht="14.25" thickBot="1">
      <c r="A1281" s="1" t="s">
        <v>1369</v>
      </c>
      <c r="B1281" s="3">
        <v>1</v>
      </c>
      <c r="C1281" s="1" t="s">
        <v>2190</v>
      </c>
      <c r="D1281" s="1" t="str">
        <f t="shared" si="94"/>
        <v>护腿</v>
      </c>
      <c r="E1281" s="1">
        <f>INDEX([1]游戏类型定义!$C$20:$C$29,MATCH(D1281,[1]!装备部位,0))</f>
        <v>7</v>
      </c>
      <c r="F1281" s="1">
        <v>4</v>
      </c>
      <c r="G1281" s="1">
        <f t="shared" si="95"/>
        <v>60</v>
      </c>
      <c r="H1281" s="10">
        <v>0</v>
      </c>
      <c r="I1281" s="1">
        <v>63000</v>
      </c>
      <c r="J1281" s="1">
        <v>50</v>
      </c>
      <c r="K1281" s="1">
        <v>500</v>
      </c>
      <c r="L1281" s="1">
        <v>35000</v>
      </c>
      <c r="M1281" s="1" t="s">
        <v>1992</v>
      </c>
      <c r="N1281" s="1" t="s">
        <v>1436</v>
      </c>
      <c r="O1281" s="1">
        <v>0</v>
      </c>
      <c r="P1281" s="1" t="s">
        <v>2082</v>
      </c>
      <c r="Q1281" s="7" t="s">
        <v>2509</v>
      </c>
    </row>
    <row r="1282" spans="1:17" ht="14.25" thickBot="1">
      <c r="A1282" s="1" t="s">
        <v>1370</v>
      </c>
      <c r="B1282" s="3">
        <v>1</v>
      </c>
      <c r="C1282" s="1" t="s">
        <v>2107</v>
      </c>
      <c r="D1282" s="1" t="str">
        <f t="shared" si="94"/>
        <v>头盔</v>
      </c>
      <c r="E1282" s="1">
        <f>INDEX([1]游戏类型定义!$C$20:$C$29,MATCH(D1282,[1]!装备部位,0))</f>
        <v>1</v>
      </c>
      <c r="F1282" s="1">
        <v>4</v>
      </c>
      <c r="G1282" s="1">
        <f t="shared" si="95"/>
        <v>65</v>
      </c>
      <c r="H1282" s="10">
        <v>0</v>
      </c>
      <c r="I1282" s="1">
        <v>65000</v>
      </c>
      <c r="J1282" s="1">
        <v>50</v>
      </c>
      <c r="K1282" s="1">
        <v>500</v>
      </c>
      <c r="L1282" s="1">
        <v>35000</v>
      </c>
      <c r="M1282" s="1" t="s">
        <v>1993</v>
      </c>
      <c r="N1282" s="1" t="s">
        <v>1438</v>
      </c>
      <c r="O1282" s="1">
        <v>0</v>
      </c>
      <c r="P1282" s="1" t="s">
        <v>2083</v>
      </c>
      <c r="Q1282" s="7" t="s">
        <v>2510</v>
      </c>
    </row>
    <row r="1283" spans="1:17" ht="14.25" thickBot="1">
      <c r="A1283" s="1" t="s">
        <v>1371</v>
      </c>
      <c r="B1283" s="3">
        <v>1</v>
      </c>
      <c r="C1283" s="1" t="s">
        <v>2118</v>
      </c>
      <c r="D1283" s="1" t="str">
        <f t="shared" si="94"/>
        <v>戒指</v>
      </c>
      <c r="E1283" s="1">
        <f>INDEX([1]游戏类型定义!$C$20:$C$29,MATCH(D1283,[1]!装备部位,0))</f>
        <v>2</v>
      </c>
      <c r="F1283" s="1">
        <v>4</v>
      </c>
      <c r="G1283" s="1">
        <f t="shared" si="95"/>
        <v>65</v>
      </c>
      <c r="H1283" s="10">
        <v>0</v>
      </c>
      <c r="I1283" s="1">
        <v>65000</v>
      </c>
      <c r="J1283" s="1">
        <v>50</v>
      </c>
      <c r="K1283" s="1">
        <v>500</v>
      </c>
      <c r="L1283" s="1">
        <v>35000</v>
      </c>
      <c r="M1283" s="1" t="s">
        <v>1994</v>
      </c>
      <c r="N1283" s="1" t="s">
        <v>1438</v>
      </c>
      <c r="O1283" s="1">
        <v>0</v>
      </c>
      <c r="P1283" s="1" t="s">
        <v>2083</v>
      </c>
      <c r="Q1283" s="7" t="s">
        <v>2511</v>
      </c>
    </row>
    <row r="1284" spans="1:17" ht="14.25" thickBot="1">
      <c r="A1284" s="1" t="s">
        <v>1372</v>
      </c>
      <c r="B1284" s="3">
        <v>1</v>
      </c>
      <c r="C1284" s="1" t="s">
        <v>2097</v>
      </c>
      <c r="D1284" s="1" t="str">
        <f t="shared" si="94"/>
        <v>腰带</v>
      </c>
      <c r="E1284" s="1">
        <f>INDEX([1]游戏类型定义!$C$20:$C$29,MATCH(D1284,[1]!装备部位,0))</f>
        <v>3</v>
      </c>
      <c r="F1284" s="1">
        <v>4</v>
      </c>
      <c r="G1284" s="1">
        <f t="shared" si="95"/>
        <v>65</v>
      </c>
      <c r="H1284" s="10">
        <v>0</v>
      </c>
      <c r="I1284" s="1">
        <v>65000</v>
      </c>
      <c r="J1284" s="1">
        <v>50</v>
      </c>
      <c r="K1284" s="1">
        <v>500</v>
      </c>
      <c r="L1284" s="1">
        <v>35000</v>
      </c>
      <c r="M1284" s="1" t="s">
        <v>1995</v>
      </c>
      <c r="N1284" s="1" t="s">
        <v>1438</v>
      </c>
      <c r="O1284" s="1">
        <v>0</v>
      </c>
      <c r="P1284" s="1" t="s">
        <v>2083</v>
      </c>
      <c r="Q1284" s="7" t="s">
        <v>2512</v>
      </c>
    </row>
    <row r="1285" spans="1:17" ht="14.25" thickBot="1">
      <c r="A1285" s="1" t="s">
        <v>1373</v>
      </c>
      <c r="B1285" s="3">
        <v>1</v>
      </c>
      <c r="C1285" s="1" t="s">
        <v>2139</v>
      </c>
      <c r="D1285" s="1" t="str">
        <f t="shared" si="94"/>
        <v>鞋子</v>
      </c>
      <c r="E1285" s="1">
        <f>INDEX([1]游戏类型定义!$C$20:$C$29,MATCH(D1285,[1]!装备部位,0))</f>
        <v>8</v>
      </c>
      <c r="F1285" s="1">
        <v>4</v>
      </c>
      <c r="G1285" s="1">
        <f t="shared" si="95"/>
        <v>65</v>
      </c>
      <c r="H1285" s="10">
        <v>0</v>
      </c>
      <c r="I1285" s="1">
        <v>65000</v>
      </c>
      <c r="J1285" s="1">
        <v>50</v>
      </c>
      <c r="K1285" s="1">
        <v>500</v>
      </c>
      <c r="L1285" s="1">
        <v>35000</v>
      </c>
      <c r="M1285" s="1" t="s">
        <v>1996</v>
      </c>
      <c r="N1285" s="1" t="s">
        <v>1438</v>
      </c>
      <c r="O1285" s="1">
        <v>0</v>
      </c>
      <c r="P1285" s="1" t="s">
        <v>2083</v>
      </c>
      <c r="Q1285" s="7" t="s">
        <v>2513</v>
      </c>
    </row>
    <row r="1286" spans="1:17" ht="14.25" thickBot="1">
      <c r="A1286" s="1" t="s">
        <v>1374</v>
      </c>
      <c r="B1286" s="3">
        <v>1</v>
      </c>
      <c r="C1286" s="1" t="s">
        <v>2144</v>
      </c>
      <c r="D1286" s="1" t="str">
        <f t="shared" si="94"/>
        <v>手套</v>
      </c>
      <c r="E1286" s="1">
        <f>INDEX([1]游戏类型定义!$C$20:$C$29,MATCH(D1286,[1]!装备部位,0))</f>
        <v>9</v>
      </c>
      <c r="F1286" s="1">
        <v>4</v>
      </c>
      <c r="G1286" s="1">
        <f t="shared" si="95"/>
        <v>65</v>
      </c>
      <c r="H1286" s="10">
        <v>0</v>
      </c>
      <c r="I1286" s="1">
        <v>65000</v>
      </c>
      <c r="J1286" s="1">
        <v>50</v>
      </c>
      <c r="K1286" s="1">
        <v>500</v>
      </c>
      <c r="L1286" s="1">
        <v>35000</v>
      </c>
      <c r="M1286" s="1" t="s">
        <v>1997</v>
      </c>
      <c r="N1286" s="1" t="s">
        <v>1438</v>
      </c>
      <c r="O1286" s="1">
        <v>0</v>
      </c>
      <c r="P1286" s="1" t="s">
        <v>2083</v>
      </c>
      <c r="Q1286" s="7" t="s">
        <v>2514</v>
      </c>
    </row>
    <row r="1287" spans="1:17" ht="14.25" thickBot="1">
      <c r="A1287" s="1" t="s">
        <v>1375</v>
      </c>
      <c r="B1287" s="3">
        <v>1</v>
      </c>
      <c r="C1287" s="1" t="s">
        <v>2155</v>
      </c>
      <c r="D1287" s="1" t="str">
        <f t="shared" si="94"/>
        <v>项链</v>
      </c>
      <c r="E1287" s="1">
        <f>INDEX([1]游戏类型定义!$C$20:$C$29,MATCH(D1287,[1]!装备部位,0))</f>
        <v>10</v>
      </c>
      <c r="F1287" s="1">
        <v>4</v>
      </c>
      <c r="G1287" s="1">
        <f t="shared" si="95"/>
        <v>65</v>
      </c>
      <c r="H1287" s="10">
        <v>0</v>
      </c>
      <c r="I1287" s="1">
        <v>65000</v>
      </c>
      <c r="J1287" s="1">
        <v>50</v>
      </c>
      <c r="K1287" s="1">
        <v>500</v>
      </c>
      <c r="L1287" s="1">
        <v>35000</v>
      </c>
      <c r="M1287" s="1" t="s">
        <v>1998</v>
      </c>
      <c r="N1287" s="1" t="s">
        <v>1438</v>
      </c>
      <c r="O1287" s="1">
        <v>0</v>
      </c>
      <c r="P1287" s="1" t="s">
        <v>2083</v>
      </c>
      <c r="Q1287" s="7" t="s">
        <v>2515</v>
      </c>
    </row>
    <row r="1288" spans="1:17" ht="14.25" thickBot="1">
      <c r="A1288" s="1" t="s">
        <v>1376</v>
      </c>
      <c r="B1288" s="3">
        <v>1</v>
      </c>
      <c r="C1288" s="9" t="s">
        <v>2287</v>
      </c>
      <c r="D1288" s="1" t="str">
        <f t="shared" si="94"/>
        <v>主手武器</v>
      </c>
      <c r="E1288" s="1">
        <f>INDEX([1]游戏类型定义!$C$20:$C$29,MATCH(D1288,[1]!装备部位,0))</f>
        <v>5</v>
      </c>
      <c r="F1288" s="1">
        <v>4</v>
      </c>
      <c r="G1288" s="1">
        <f t="shared" si="95"/>
        <v>65</v>
      </c>
      <c r="H1288" s="10" t="s">
        <v>2320</v>
      </c>
      <c r="I1288" s="1">
        <v>65000</v>
      </c>
      <c r="J1288" s="1">
        <v>50</v>
      </c>
      <c r="K1288" s="1">
        <v>500</v>
      </c>
      <c r="L1288" s="1">
        <v>35000</v>
      </c>
      <c r="M1288" s="1" t="s">
        <v>2028</v>
      </c>
      <c r="N1288" s="1" t="s">
        <v>1439</v>
      </c>
      <c r="O1288" s="1">
        <v>0</v>
      </c>
      <c r="P1288" s="1" t="s">
        <v>2083</v>
      </c>
      <c r="Q1288" s="7" t="s">
        <v>2516</v>
      </c>
    </row>
    <row r="1289" spans="1:17" ht="14.25" thickBot="1">
      <c r="A1289" s="1" t="s">
        <v>1377</v>
      </c>
      <c r="B1289" s="2">
        <v>0</v>
      </c>
      <c r="C1289" s="9" t="s">
        <v>2298</v>
      </c>
      <c r="D1289" s="1" t="str">
        <f t="shared" si="94"/>
        <v>主手武器</v>
      </c>
      <c r="E1289" s="1">
        <f>INDEX([1]游戏类型定义!$C$20:$C$29,MATCH(D1289,[1]!装备部位,0))</f>
        <v>5</v>
      </c>
      <c r="F1289" s="1">
        <v>4</v>
      </c>
      <c r="G1289" s="1">
        <f t="shared" si="95"/>
        <v>65</v>
      </c>
      <c r="H1289" s="10" t="s">
        <v>2320</v>
      </c>
      <c r="I1289" s="1">
        <v>68000</v>
      </c>
      <c r="J1289" s="1">
        <v>50</v>
      </c>
      <c r="K1289" s="1">
        <v>500</v>
      </c>
      <c r="L1289" s="1">
        <v>37500</v>
      </c>
      <c r="M1289" s="1" t="s">
        <v>1999</v>
      </c>
      <c r="N1289" s="1" t="s">
        <v>1439</v>
      </c>
      <c r="O1289" s="1">
        <v>0</v>
      </c>
      <c r="P1289" s="1" t="s">
        <v>2083</v>
      </c>
      <c r="Q1289" s="7" t="s">
        <v>2057</v>
      </c>
    </row>
    <row r="1290" spans="1:17" ht="14.25" thickBot="1">
      <c r="A1290" s="1" t="s">
        <v>1378</v>
      </c>
      <c r="B1290" s="3">
        <v>1</v>
      </c>
      <c r="C1290" s="9" t="s">
        <v>2299</v>
      </c>
      <c r="D1290" s="1" t="str">
        <f t="shared" si="94"/>
        <v>副手武器</v>
      </c>
      <c r="E1290" s="1">
        <f>INDEX([1]游戏类型定义!$C$20:$C$29,MATCH(D1290,[1]!装备部位,0))</f>
        <v>6</v>
      </c>
      <c r="F1290" s="1">
        <v>4</v>
      </c>
      <c r="G1290" s="1">
        <f t="shared" si="95"/>
        <v>65</v>
      </c>
      <c r="H1290" s="10" t="s">
        <v>2320</v>
      </c>
      <c r="I1290" s="1">
        <v>65000</v>
      </c>
      <c r="J1290" s="1">
        <v>50</v>
      </c>
      <c r="K1290" s="1">
        <v>500</v>
      </c>
      <c r="L1290" s="1">
        <v>35000</v>
      </c>
      <c r="M1290" s="1" t="s">
        <v>2000</v>
      </c>
      <c r="N1290" s="1" t="s">
        <v>1439</v>
      </c>
      <c r="O1290" s="1">
        <v>0</v>
      </c>
      <c r="P1290" s="1" t="s">
        <v>2083</v>
      </c>
      <c r="Q1290" s="7" t="s">
        <v>2517</v>
      </c>
    </row>
    <row r="1291" spans="1:17" ht="14.25" thickBot="1">
      <c r="A1291" s="1" t="s">
        <v>1379</v>
      </c>
      <c r="B1291" s="2">
        <v>0</v>
      </c>
      <c r="C1291" s="9" t="s">
        <v>2044</v>
      </c>
      <c r="D1291" s="1" t="str">
        <f t="shared" si="94"/>
        <v>副手武器</v>
      </c>
      <c r="E1291" s="1">
        <f>INDEX([1]游戏类型定义!$C$20:$C$29,MATCH(D1291,[1]!装备部位,0))</f>
        <v>6</v>
      </c>
      <c r="F1291" s="1">
        <v>4</v>
      </c>
      <c r="G1291" s="1">
        <f t="shared" si="95"/>
        <v>65</v>
      </c>
      <c r="H1291" s="10" t="s">
        <v>2320</v>
      </c>
      <c r="I1291" s="1">
        <v>68000</v>
      </c>
      <c r="J1291" s="1">
        <v>50</v>
      </c>
      <c r="K1291" s="1">
        <v>500</v>
      </c>
      <c r="L1291" s="1">
        <v>37500</v>
      </c>
      <c r="M1291" s="1" t="s">
        <v>2000</v>
      </c>
      <c r="N1291" s="1" t="s">
        <v>1439</v>
      </c>
      <c r="O1291" s="1">
        <v>0</v>
      </c>
      <c r="P1291" s="1" t="s">
        <v>2083</v>
      </c>
      <c r="Q1291" s="7" t="s">
        <v>2058</v>
      </c>
    </row>
    <row r="1292" spans="1:17" ht="14.25" thickBot="1">
      <c r="A1292" s="1" t="s">
        <v>1380</v>
      </c>
      <c r="B1292" s="3">
        <v>1</v>
      </c>
      <c r="C1292" s="1" t="s">
        <v>2306</v>
      </c>
      <c r="D1292" s="1" t="str">
        <f t="shared" si="94"/>
        <v>主手武器</v>
      </c>
      <c r="E1292" s="1">
        <f>INDEX([1]游戏类型定义!$C$20:$C$29,MATCH(D1292,[1]!装备部位,0))</f>
        <v>5</v>
      </c>
      <c r="F1292" s="1">
        <v>4</v>
      </c>
      <c r="G1292" s="1">
        <f t="shared" si="95"/>
        <v>65</v>
      </c>
      <c r="H1292" s="10" t="s">
        <v>2321</v>
      </c>
      <c r="I1292" s="1">
        <v>65000</v>
      </c>
      <c r="J1292" s="1">
        <v>50</v>
      </c>
      <c r="K1292" s="1">
        <v>500</v>
      </c>
      <c r="L1292" s="1">
        <v>35000</v>
      </c>
      <c r="M1292" s="1" t="s">
        <v>2028</v>
      </c>
      <c r="N1292" s="1" t="s">
        <v>1439</v>
      </c>
      <c r="O1292" s="1">
        <v>0</v>
      </c>
      <c r="P1292" s="1" t="s">
        <v>2083</v>
      </c>
      <c r="Q1292" s="7" t="s">
        <v>2518</v>
      </c>
    </row>
    <row r="1293" spans="1:17" ht="14.25" thickBot="1">
      <c r="A1293" s="1" t="s">
        <v>1381</v>
      </c>
      <c r="B1293" s="2">
        <v>0</v>
      </c>
      <c r="C1293" s="1" t="s">
        <v>2303</v>
      </c>
      <c r="D1293" s="1" t="str">
        <f t="shared" si="94"/>
        <v>主手武器</v>
      </c>
      <c r="E1293" s="1">
        <f>INDEX([1]游戏类型定义!$C$20:$C$29,MATCH(D1293,[1]!装备部位,0))</f>
        <v>5</v>
      </c>
      <c r="F1293" s="1">
        <v>4</v>
      </c>
      <c r="G1293" s="1">
        <f t="shared" si="95"/>
        <v>65</v>
      </c>
      <c r="H1293" s="10" t="s">
        <v>2321</v>
      </c>
      <c r="I1293" s="1">
        <v>68000</v>
      </c>
      <c r="J1293" s="1">
        <v>50</v>
      </c>
      <c r="K1293" s="1">
        <v>500</v>
      </c>
      <c r="L1293" s="1">
        <v>37500</v>
      </c>
      <c r="M1293" s="1" t="s">
        <v>1999</v>
      </c>
      <c r="N1293" s="1" t="s">
        <v>1439</v>
      </c>
      <c r="O1293" s="1">
        <v>0</v>
      </c>
      <c r="P1293" s="1" t="s">
        <v>2083</v>
      </c>
      <c r="Q1293" s="7" t="s">
        <v>2059</v>
      </c>
    </row>
    <row r="1294" spans="1:17" ht="14.25" thickBot="1">
      <c r="A1294" s="1" t="s">
        <v>1382</v>
      </c>
      <c r="B1294" s="3">
        <v>1</v>
      </c>
      <c r="C1294" s="9" t="s">
        <v>2307</v>
      </c>
      <c r="D1294" s="1" t="str">
        <f t="shared" si="94"/>
        <v>副手武器</v>
      </c>
      <c r="E1294" s="1">
        <f>INDEX([1]游戏类型定义!$C$20:$C$29,MATCH(D1294,[1]!装备部位,0))</f>
        <v>6</v>
      </c>
      <c r="F1294" s="1">
        <v>4</v>
      </c>
      <c r="G1294" s="1">
        <f t="shared" si="95"/>
        <v>65</v>
      </c>
      <c r="H1294" s="10" t="s">
        <v>2321</v>
      </c>
      <c r="I1294" s="1">
        <v>65000</v>
      </c>
      <c r="J1294" s="1">
        <v>50</v>
      </c>
      <c r="K1294" s="1">
        <v>500</v>
      </c>
      <c r="L1294" s="1">
        <v>35000</v>
      </c>
      <c r="M1294" s="1" t="s">
        <v>2001</v>
      </c>
      <c r="N1294" s="1" t="s">
        <v>1439</v>
      </c>
      <c r="O1294" s="1">
        <v>0</v>
      </c>
      <c r="P1294" s="1" t="s">
        <v>2083</v>
      </c>
      <c r="Q1294" s="7" t="s">
        <v>2519</v>
      </c>
    </row>
    <row r="1295" spans="1:17" ht="14.25" thickBot="1">
      <c r="A1295" s="1" t="s">
        <v>1383</v>
      </c>
      <c r="B1295" s="2">
        <v>0</v>
      </c>
      <c r="C1295" s="9" t="s">
        <v>2042</v>
      </c>
      <c r="D1295" s="1" t="str">
        <f t="shared" si="94"/>
        <v>副手武器</v>
      </c>
      <c r="E1295" s="1">
        <f>INDEX([1]游戏类型定义!$C$20:$C$29,MATCH(D1295,[1]!装备部位,0))</f>
        <v>6</v>
      </c>
      <c r="F1295" s="1">
        <v>4</v>
      </c>
      <c r="G1295" s="1">
        <f t="shared" si="95"/>
        <v>65</v>
      </c>
      <c r="H1295" s="10" t="s">
        <v>2321</v>
      </c>
      <c r="I1295" s="1">
        <v>68000</v>
      </c>
      <c r="J1295" s="1">
        <v>50</v>
      </c>
      <c r="K1295" s="1">
        <v>500</v>
      </c>
      <c r="L1295" s="1">
        <v>37500</v>
      </c>
      <c r="M1295" s="1" t="s">
        <v>2001</v>
      </c>
      <c r="N1295" s="1" t="s">
        <v>1439</v>
      </c>
      <c r="O1295" s="1">
        <v>0</v>
      </c>
      <c r="P1295" s="1" t="s">
        <v>2083</v>
      </c>
      <c r="Q1295" s="7" t="s">
        <v>2060</v>
      </c>
    </row>
    <row r="1296" spans="1:17" ht="14.25" thickBot="1">
      <c r="A1296" s="1" t="s">
        <v>1384</v>
      </c>
      <c r="B1296" s="3">
        <v>1</v>
      </c>
      <c r="C1296" s="9" t="s">
        <v>2294</v>
      </c>
      <c r="D1296" s="1" t="str">
        <f t="shared" ref="D1296:D1315" si="96">D966</f>
        <v>主手武器</v>
      </c>
      <c r="E1296" s="1">
        <f>INDEX([1]游戏类型定义!$C$20:$C$29,MATCH(D1296,[1]!装备部位,0))</f>
        <v>5</v>
      </c>
      <c r="F1296" s="1">
        <v>4</v>
      </c>
      <c r="G1296" s="1">
        <f t="shared" ref="G1296:G1315" si="97">G966</f>
        <v>65</v>
      </c>
      <c r="H1296" s="10" t="s">
        <v>2322</v>
      </c>
      <c r="I1296" s="1">
        <v>65000</v>
      </c>
      <c r="J1296" s="1">
        <v>50</v>
      </c>
      <c r="K1296" s="1">
        <v>500</v>
      </c>
      <c r="L1296" s="1">
        <v>35000</v>
      </c>
      <c r="M1296" s="1" t="s">
        <v>2028</v>
      </c>
      <c r="N1296" s="1" t="s">
        <v>1439</v>
      </c>
      <c r="O1296" s="1">
        <v>0</v>
      </c>
      <c r="P1296" s="1" t="s">
        <v>2083</v>
      </c>
      <c r="Q1296" s="7" t="s">
        <v>2520</v>
      </c>
    </row>
    <row r="1297" spans="1:17" ht="14.25" thickBot="1">
      <c r="A1297" s="1" t="s">
        <v>1385</v>
      </c>
      <c r="B1297" s="2">
        <v>0</v>
      </c>
      <c r="C1297" s="9" t="s">
        <v>2048</v>
      </c>
      <c r="D1297" s="1" t="str">
        <f t="shared" si="96"/>
        <v>主手武器</v>
      </c>
      <c r="E1297" s="1">
        <f>INDEX([1]游戏类型定义!$C$20:$C$29,MATCH(D1297,[1]!装备部位,0))</f>
        <v>5</v>
      </c>
      <c r="F1297" s="1">
        <v>4</v>
      </c>
      <c r="G1297" s="1">
        <f t="shared" si="97"/>
        <v>65</v>
      </c>
      <c r="H1297" s="10" t="s">
        <v>2322</v>
      </c>
      <c r="I1297" s="1">
        <v>68000</v>
      </c>
      <c r="J1297" s="1">
        <v>50</v>
      </c>
      <c r="K1297" s="1">
        <v>500</v>
      </c>
      <c r="L1297" s="1">
        <v>37500</v>
      </c>
      <c r="M1297" s="1" t="s">
        <v>1999</v>
      </c>
      <c r="N1297" s="1" t="s">
        <v>1439</v>
      </c>
      <c r="O1297" s="1">
        <v>0</v>
      </c>
      <c r="P1297" s="1" t="s">
        <v>2083</v>
      </c>
      <c r="Q1297" s="7" t="s">
        <v>2061</v>
      </c>
    </row>
    <row r="1298" spans="1:17" ht="14.25" thickBot="1">
      <c r="A1298" s="1" t="s">
        <v>1386</v>
      </c>
      <c r="B1298" s="3">
        <v>1</v>
      </c>
      <c r="C1298" s="9" t="s">
        <v>2284</v>
      </c>
      <c r="D1298" s="1" t="str">
        <f t="shared" si="96"/>
        <v>副手武器</v>
      </c>
      <c r="E1298" s="1">
        <f>INDEX([1]游戏类型定义!$C$20:$C$29,MATCH(D1298,[1]!装备部位,0))</f>
        <v>6</v>
      </c>
      <c r="F1298" s="1">
        <v>4</v>
      </c>
      <c r="G1298" s="1">
        <f t="shared" si="97"/>
        <v>65</v>
      </c>
      <c r="H1298" s="10" t="s">
        <v>2322</v>
      </c>
      <c r="I1298" s="1">
        <v>65000</v>
      </c>
      <c r="J1298" s="1">
        <v>50</v>
      </c>
      <c r="K1298" s="1">
        <v>500</v>
      </c>
      <c r="L1298" s="1">
        <v>35000</v>
      </c>
      <c r="M1298" s="1" t="s">
        <v>2002</v>
      </c>
      <c r="N1298" s="1" t="s">
        <v>1439</v>
      </c>
      <c r="O1298" s="1">
        <v>0</v>
      </c>
      <c r="P1298" s="1" t="s">
        <v>2083</v>
      </c>
      <c r="Q1298" s="7" t="s">
        <v>2521</v>
      </c>
    </row>
    <row r="1299" spans="1:17" ht="14.25" thickBot="1">
      <c r="A1299" s="1" t="s">
        <v>1387</v>
      </c>
      <c r="B1299" s="2">
        <v>0</v>
      </c>
      <c r="C1299" s="9" t="s">
        <v>2050</v>
      </c>
      <c r="D1299" s="1" t="str">
        <f t="shared" si="96"/>
        <v>副手武器</v>
      </c>
      <c r="E1299" s="1">
        <f>INDEX([1]游戏类型定义!$C$20:$C$29,MATCH(D1299,[1]!装备部位,0))</f>
        <v>6</v>
      </c>
      <c r="F1299" s="1">
        <v>4</v>
      </c>
      <c r="G1299" s="1">
        <f t="shared" si="97"/>
        <v>65</v>
      </c>
      <c r="H1299" s="10" t="s">
        <v>2322</v>
      </c>
      <c r="I1299" s="1">
        <v>68000</v>
      </c>
      <c r="J1299" s="1">
        <v>50</v>
      </c>
      <c r="K1299" s="1">
        <v>500</v>
      </c>
      <c r="L1299" s="1">
        <v>37500</v>
      </c>
      <c r="M1299" s="1" t="s">
        <v>2003</v>
      </c>
      <c r="N1299" s="1" t="s">
        <v>1439</v>
      </c>
      <c r="O1299" s="1">
        <v>0</v>
      </c>
      <c r="P1299" s="1" t="s">
        <v>2083</v>
      </c>
      <c r="Q1299" s="7" t="s">
        <v>2062</v>
      </c>
    </row>
    <row r="1300" spans="1:17" ht="14.25" thickBot="1">
      <c r="A1300" s="1" t="s">
        <v>1388</v>
      </c>
      <c r="B1300" s="3">
        <v>1</v>
      </c>
      <c r="C1300" s="1" t="s">
        <v>2175</v>
      </c>
      <c r="D1300" s="1" t="str">
        <f t="shared" si="96"/>
        <v>胸甲</v>
      </c>
      <c r="E1300" s="1">
        <f>INDEX([1]游戏类型定义!$C$20:$C$29,MATCH(D1300,[1]!装备部位,0))</f>
        <v>4</v>
      </c>
      <c r="F1300" s="1">
        <v>4</v>
      </c>
      <c r="G1300" s="1">
        <f t="shared" si="97"/>
        <v>65</v>
      </c>
      <c r="H1300" s="10">
        <v>0</v>
      </c>
      <c r="I1300" s="1">
        <v>65000</v>
      </c>
      <c r="J1300" s="1">
        <v>50</v>
      </c>
      <c r="K1300" s="1">
        <v>500</v>
      </c>
      <c r="L1300" s="1">
        <v>35000</v>
      </c>
      <c r="M1300" s="1" t="s">
        <v>2004</v>
      </c>
      <c r="N1300" s="1" t="s">
        <v>1438</v>
      </c>
      <c r="O1300" s="1">
        <v>0</v>
      </c>
      <c r="P1300" s="1" t="s">
        <v>2083</v>
      </c>
      <c r="Q1300" s="7" t="s">
        <v>2522</v>
      </c>
    </row>
    <row r="1301" spans="1:17" ht="14.25" thickBot="1">
      <c r="A1301" s="1" t="s">
        <v>1389</v>
      </c>
      <c r="B1301" s="2">
        <v>0</v>
      </c>
      <c r="C1301" s="1" t="s">
        <v>2030</v>
      </c>
      <c r="D1301" s="1" t="str">
        <f t="shared" si="96"/>
        <v>胸甲</v>
      </c>
      <c r="E1301" s="1">
        <f>INDEX([1]游戏类型定义!$C$20:$C$29,MATCH(D1301,[1]!装备部位,0))</f>
        <v>4</v>
      </c>
      <c r="F1301" s="1">
        <v>4</v>
      </c>
      <c r="G1301" s="1">
        <f t="shared" si="97"/>
        <v>65</v>
      </c>
      <c r="H1301" s="10">
        <v>0</v>
      </c>
      <c r="I1301" s="1">
        <v>68000</v>
      </c>
      <c r="J1301" s="1">
        <v>50</v>
      </c>
      <c r="K1301" s="1">
        <v>500</v>
      </c>
      <c r="L1301" s="1">
        <v>37500</v>
      </c>
      <c r="M1301" s="1" t="s">
        <v>2004</v>
      </c>
      <c r="N1301" s="1" t="s">
        <v>1438</v>
      </c>
      <c r="O1301" s="1">
        <v>0</v>
      </c>
      <c r="P1301" s="1" t="s">
        <v>2083</v>
      </c>
      <c r="Q1301" s="7" t="s">
        <v>2063</v>
      </c>
    </row>
    <row r="1302" spans="1:17" ht="14.25" thickBot="1">
      <c r="A1302" s="1" t="s">
        <v>1390</v>
      </c>
      <c r="B1302" s="3">
        <v>1</v>
      </c>
      <c r="C1302" s="1" t="s">
        <v>2192</v>
      </c>
      <c r="D1302" s="1" t="str">
        <f t="shared" si="96"/>
        <v>护腿</v>
      </c>
      <c r="E1302" s="1">
        <f>INDEX([1]游戏类型定义!$C$20:$C$29,MATCH(D1302,[1]!装备部位,0))</f>
        <v>7</v>
      </c>
      <c r="F1302" s="1">
        <v>4</v>
      </c>
      <c r="G1302" s="1">
        <f t="shared" si="97"/>
        <v>65</v>
      </c>
      <c r="H1302" s="10">
        <v>0</v>
      </c>
      <c r="I1302" s="1">
        <v>65000</v>
      </c>
      <c r="J1302" s="1">
        <v>50</v>
      </c>
      <c r="K1302" s="1">
        <v>500</v>
      </c>
      <c r="L1302" s="1">
        <v>35000</v>
      </c>
      <c r="M1302" s="1" t="s">
        <v>2005</v>
      </c>
      <c r="N1302" s="1" t="s">
        <v>1438</v>
      </c>
      <c r="O1302" s="1">
        <v>0</v>
      </c>
      <c r="P1302" s="1" t="s">
        <v>2083</v>
      </c>
      <c r="Q1302" s="7" t="s">
        <v>2523</v>
      </c>
    </row>
    <row r="1303" spans="1:17" ht="14.25" thickBot="1">
      <c r="A1303" s="1" t="s">
        <v>1391</v>
      </c>
      <c r="B1303" s="2">
        <v>0</v>
      </c>
      <c r="C1303" s="1" t="s">
        <v>2038</v>
      </c>
      <c r="D1303" s="1" t="str">
        <f t="shared" si="96"/>
        <v>护腿</v>
      </c>
      <c r="E1303" s="1">
        <f>INDEX([1]游戏类型定义!$C$20:$C$29,MATCH(D1303,[1]!装备部位,0))</f>
        <v>7</v>
      </c>
      <c r="F1303" s="1">
        <v>4</v>
      </c>
      <c r="G1303" s="1">
        <f t="shared" si="97"/>
        <v>65</v>
      </c>
      <c r="H1303" s="10">
        <v>0</v>
      </c>
      <c r="I1303" s="1">
        <v>68000</v>
      </c>
      <c r="J1303" s="1">
        <v>50</v>
      </c>
      <c r="K1303" s="1">
        <v>500</v>
      </c>
      <c r="L1303" s="1">
        <v>37500</v>
      </c>
      <c r="M1303" s="1" t="s">
        <v>2005</v>
      </c>
      <c r="N1303" s="1" t="s">
        <v>1438</v>
      </c>
      <c r="O1303" s="1">
        <v>0</v>
      </c>
      <c r="P1303" s="1" t="s">
        <v>2083</v>
      </c>
      <c r="Q1303" s="7" t="s">
        <v>2064</v>
      </c>
    </row>
    <row r="1304" spans="1:17" ht="14.25" thickBot="1">
      <c r="A1304" s="1" t="s">
        <v>1392</v>
      </c>
      <c r="B1304" s="2">
        <v>0</v>
      </c>
      <c r="C1304" s="1" t="s">
        <v>2130</v>
      </c>
      <c r="D1304" s="1" t="str">
        <f t="shared" si="96"/>
        <v>头盔</v>
      </c>
      <c r="E1304" s="1">
        <f>INDEX([1]游戏类型定义!$C$20:$C$29,MATCH(D1304,[1]!装备部位,0))</f>
        <v>1</v>
      </c>
      <c r="F1304" s="1">
        <v>4</v>
      </c>
      <c r="G1304" s="1">
        <f t="shared" si="97"/>
        <v>70</v>
      </c>
      <c r="H1304" s="10">
        <v>0</v>
      </c>
      <c r="I1304" s="1">
        <v>70000</v>
      </c>
      <c r="J1304" s="1">
        <v>50</v>
      </c>
      <c r="K1304" s="1">
        <v>500</v>
      </c>
      <c r="L1304" s="1">
        <v>37500</v>
      </c>
      <c r="M1304" s="1" t="s">
        <v>1798</v>
      </c>
      <c r="N1304" s="1" t="s">
        <v>1440</v>
      </c>
      <c r="O1304" s="1">
        <v>0</v>
      </c>
      <c r="P1304" s="1" t="s">
        <v>2084</v>
      </c>
      <c r="Q1304" s="7" t="s">
        <v>2051</v>
      </c>
    </row>
    <row r="1305" spans="1:17" ht="14.25" thickBot="1">
      <c r="A1305" s="1" t="s">
        <v>1393</v>
      </c>
      <c r="B1305" s="2">
        <v>0</v>
      </c>
      <c r="C1305" s="1" t="s">
        <v>2119</v>
      </c>
      <c r="D1305" s="1" t="str">
        <f t="shared" si="96"/>
        <v>戒指</v>
      </c>
      <c r="E1305" s="1">
        <f>INDEX([1]游戏类型定义!$C$20:$C$29,MATCH(D1305,[1]!装备部位,0))</f>
        <v>2</v>
      </c>
      <c r="F1305" s="1">
        <v>4</v>
      </c>
      <c r="G1305" s="1">
        <f t="shared" si="97"/>
        <v>70</v>
      </c>
      <c r="H1305" s="10">
        <v>0</v>
      </c>
      <c r="I1305" s="1">
        <v>70000</v>
      </c>
      <c r="J1305" s="1">
        <v>50</v>
      </c>
      <c r="K1305" s="1">
        <v>500</v>
      </c>
      <c r="L1305" s="1">
        <v>37500</v>
      </c>
      <c r="M1305" s="1" t="s">
        <v>2006</v>
      </c>
      <c r="N1305" s="1" t="s">
        <v>1440</v>
      </c>
      <c r="O1305" s="1">
        <v>0</v>
      </c>
      <c r="P1305" s="1" t="s">
        <v>2084</v>
      </c>
      <c r="Q1305" s="7" t="s">
        <v>2052</v>
      </c>
    </row>
    <row r="1306" spans="1:17" ht="14.25" thickBot="1">
      <c r="A1306" s="1" t="s">
        <v>1394</v>
      </c>
      <c r="B1306" s="2">
        <v>0</v>
      </c>
      <c r="C1306" s="1" t="s">
        <v>2129</v>
      </c>
      <c r="D1306" s="1" t="str">
        <f t="shared" si="96"/>
        <v>腰带</v>
      </c>
      <c r="E1306" s="1">
        <f>INDEX([1]游戏类型定义!$C$20:$C$29,MATCH(D1306,[1]!装备部位,0))</f>
        <v>3</v>
      </c>
      <c r="F1306" s="1">
        <v>4</v>
      </c>
      <c r="G1306" s="1">
        <f t="shared" si="97"/>
        <v>70</v>
      </c>
      <c r="H1306" s="10">
        <v>0</v>
      </c>
      <c r="I1306" s="1">
        <v>70000</v>
      </c>
      <c r="J1306" s="1">
        <v>50</v>
      </c>
      <c r="K1306" s="1">
        <v>500</v>
      </c>
      <c r="L1306" s="1">
        <v>37500</v>
      </c>
      <c r="M1306" s="1" t="s">
        <v>2007</v>
      </c>
      <c r="N1306" s="1" t="s">
        <v>1440</v>
      </c>
      <c r="O1306" s="1">
        <v>0</v>
      </c>
      <c r="P1306" s="1" t="s">
        <v>2084</v>
      </c>
      <c r="Q1306" s="7" t="s">
        <v>2053</v>
      </c>
    </row>
    <row r="1307" spans="1:17" ht="14.25" thickBot="1">
      <c r="A1307" s="1" t="s">
        <v>1395</v>
      </c>
      <c r="B1307" s="2">
        <v>0</v>
      </c>
      <c r="C1307" s="1" t="s">
        <v>2131</v>
      </c>
      <c r="D1307" s="1" t="str">
        <f t="shared" si="96"/>
        <v>鞋子</v>
      </c>
      <c r="E1307" s="1">
        <f>INDEX([1]游戏类型定义!$C$20:$C$29,MATCH(D1307,[1]!装备部位,0))</f>
        <v>8</v>
      </c>
      <c r="F1307" s="1">
        <v>4</v>
      </c>
      <c r="G1307" s="1">
        <f t="shared" si="97"/>
        <v>70</v>
      </c>
      <c r="H1307" s="10">
        <v>0</v>
      </c>
      <c r="I1307" s="1">
        <v>70000</v>
      </c>
      <c r="J1307" s="1">
        <v>50</v>
      </c>
      <c r="K1307" s="1">
        <v>500</v>
      </c>
      <c r="L1307" s="1">
        <v>37500</v>
      </c>
      <c r="M1307" s="1" t="s">
        <v>2008</v>
      </c>
      <c r="N1307" s="1" t="s">
        <v>1440</v>
      </c>
      <c r="O1307" s="1">
        <v>0</v>
      </c>
      <c r="P1307" s="1" t="s">
        <v>2084</v>
      </c>
      <c r="Q1307" s="7" t="s">
        <v>2054</v>
      </c>
    </row>
    <row r="1308" spans="1:17" ht="14.25" thickBot="1">
      <c r="A1308" s="1" t="s">
        <v>1396</v>
      </c>
      <c r="B1308" s="2">
        <v>0</v>
      </c>
      <c r="C1308" s="1" t="s">
        <v>2145</v>
      </c>
      <c r="D1308" s="1" t="str">
        <f t="shared" si="96"/>
        <v>手套</v>
      </c>
      <c r="E1308" s="1">
        <f>INDEX([1]游戏类型定义!$C$20:$C$29,MATCH(D1308,[1]!装备部位,0))</f>
        <v>9</v>
      </c>
      <c r="F1308" s="1">
        <v>4</v>
      </c>
      <c r="G1308" s="1">
        <f t="shared" si="97"/>
        <v>70</v>
      </c>
      <c r="H1308" s="10">
        <v>0</v>
      </c>
      <c r="I1308" s="1">
        <v>70000</v>
      </c>
      <c r="J1308" s="1">
        <v>50</v>
      </c>
      <c r="K1308" s="1">
        <v>500</v>
      </c>
      <c r="L1308" s="1">
        <v>37500</v>
      </c>
      <c r="M1308" s="1" t="s">
        <v>2009</v>
      </c>
      <c r="N1308" s="1" t="s">
        <v>1440</v>
      </c>
      <c r="O1308" s="1">
        <v>0</v>
      </c>
      <c r="P1308" s="1" t="s">
        <v>2084</v>
      </c>
      <c r="Q1308" s="7" t="s">
        <v>2055</v>
      </c>
    </row>
    <row r="1309" spans="1:17" ht="14.25" thickBot="1">
      <c r="A1309" s="1" t="s">
        <v>1397</v>
      </c>
      <c r="B1309" s="2">
        <v>0</v>
      </c>
      <c r="C1309" s="1" t="s">
        <v>2156</v>
      </c>
      <c r="D1309" s="1" t="str">
        <f t="shared" si="96"/>
        <v>项链</v>
      </c>
      <c r="E1309" s="1">
        <f>INDEX([1]游戏类型定义!$C$20:$C$29,MATCH(D1309,[1]!装备部位,0))</f>
        <v>10</v>
      </c>
      <c r="F1309" s="1">
        <v>4</v>
      </c>
      <c r="G1309" s="1">
        <f t="shared" si="97"/>
        <v>70</v>
      </c>
      <c r="H1309" s="10">
        <v>0</v>
      </c>
      <c r="I1309" s="1">
        <v>70000</v>
      </c>
      <c r="J1309" s="1">
        <v>50</v>
      </c>
      <c r="K1309" s="1">
        <v>500</v>
      </c>
      <c r="L1309" s="1">
        <v>37500</v>
      </c>
      <c r="M1309" s="1" t="s">
        <v>1803</v>
      </c>
      <c r="N1309" s="1" t="s">
        <v>1440</v>
      </c>
      <c r="O1309" s="1">
        <v>0</v>
      </c>
      <c r="P1309" s="1" t="s">
        <v>2084</v>
      </c>
      <c r="Q1309" s="7" t="s">
        <v>2056</v>
      </c>
    </row>
    <row r="1310" spans="1:17" ht="14.25" thickBot="1">
      <c r="A1310" s="1" t="s">
        <v>1398</v>
      </c>
      <c r="B1310" s="3">
        <v>1</v>
      </c>
      <c r="C1310" s="9" t="s">
        <v>2298</v>
      </c>
      <c r="D1310" s="1" t="str">
        <f t="shared" si="96"/>
        <v>主手武器</v>
      </c>
      <c r="E1310" s="1">
        <f>INDEX([1]游戏类型定义!$C$20:$C$29,MATCH(D1310,[1]!装备部位,0))</f>
        <v>5</v>
      </c>
      <c r="F1310" s="1">
        <v>4</v>
      </c>
      <c r="G1310" s="1">
        <f t="shared" si="97"/>
        <v>70</v>
      </c>
      <c r="H1310" s="10" t="s">
        <v>2320</v>
      </c>
      <c r="I1310" s="1">
        <v>70000</v>
      </c>
      <c r="J1310" s="1">
        <v>50</v>
      </c>
      <c r="K1310" s="1">
        <v>500</v>
      </c>
      <c r="L1310" s="1">
        <v>37500</v>
      </c>
      <c r="M1310" s="1" t="s">
        <v>2029</v>
      </c>
      <c r="N1310" s="1" t="s">
        <v>1441</v>
      </c>
      <c r="O1310" s="1">
        <v>0</v>
      </c>
      <c r="P1310" s="1" t="s">
        <v>2084</v>
      </c>
      <c r="Q1310" s="7" t="s">
        <v>2524</v>
      </c>
    </row>
    <row r="1311" spans="1:17" ht="14.25" thickBot="1">
      <c r="A1311" s="1" t="s">
        <v>1399</v>
      </c>
      <c r="B1311" s="2">
        <v>0</v>
      </c>
      <c r="C1311" s="9" t="s">
        <v>2309</v>
      </c>
      <c r="D1311" s="1" t="str">
        <f t="shared" si="96"/>
        <v>主手武器</v>
      </c>
      <c r="E1311" s="1">
        <f>INDEX([1]游戏类型定义!$C$20:$C$29,MATCH(D1311,[1]!装备部位,0))</f>
        <v>5</v>
      </c>
      <c r="F1311" s="1">
        <v>4</v>
      </c>
      <c r="G1311" s="1">
        <f t="shared" si="97"/>
        <v>70</v>
      </c>
      <c r="H1311" s="10" t="s">
        <v>2320</v>
      </c>
      <c r="I1311" s="1">
        <v>73000</v>
      </c>
      <c r="J1311" s="1">
        <v>50</v>
      </c>
      <c r="K1311" s="1">
        <v>500</v>
      </c>
      <c r="L1311" s="1">
        <v>40000</v>
      </c>
      <c r="M1311" s="1" t="s">
        <v>2029</v>
      </c>
      <c r="N1311" s="1" t="s">
        <v>1441</v>
      </c>
      <c r="O1311" s="1">
        <v>0</v>
      </c>
      <c r="P1311" s="1" t="s">
        <v>2084</v>
      </c>
      <c r="Q1311" s="7" t="s">
        <v>2057</v>
      </c>
    </row>
    <row r="1312" spans="1:17" ht="14.25" thickBot="1">
      <c r="A1312" s="1" t="s">
        <v>1400</v>
      </c>
      <c r="B1312" s="3">
        <v>1</v>
      </c>
      <c r="C1312" s="9" t="s">
        <v>2310</v>
      </c>
      <c r="D1312" s="1" t="str">
        <f t="shared" si="96"/>
        <v>副手武器</v>
      </c>
      <c r="E1312" s="1">
        <f>INDEX([1]游戏类型定义!$C$20:$C$29,MATCH(D1312,[1]!装备部位,0))</f>
        <v>6</v>
      </c>
      <c r="F1312" s="1">
        <v>4</v>
      </c>
      <c r="G1312" s="1">
        <f t="shared" si="97"/>
        <v>70</v>
      </c>
      <c r="H1312" s="10" t="s">
        <v>2320</v>
      </c>
      <c r="I1312" s="1">
        <v>70000</v>
      </c>
      <c r="J1312" s="1">
        <v>50</v>
      </c>
      <c r="K1312" s="1">
        <v>500</v>
      </c>
      <c r="L1312" s="1">
        <v>37500</v>
      </c>
      <c r="M1312" s="1" t="s">
        <v>2010</v>
      </c>
      <c r="N1312" s="1" t="s">
        <v>1441</v>
      </c>
      <c r="O1312" s="1">
        <v>0</v>
      </c>
      <c r="P1312" s="1" t="s">
        <v>2084</v>
      </c>
      <c r="Q1312" s="7" t="s">
        <v>2525</v>
      </c>
    </row>
    <row r="1313" spans="1:17" ht="14.25" thickBot="1">
      <c r="A1313" s="1" t="s">
        <v>1401</v>
      </c>
      <c r="B1313" s="2">
        <v>0</v>
      </c>
      <c r="C1313" s="9" t="s">
        <v>2308</v>
      </c>
      <c r="D1313" s="1" t="str">
        <f t="shared" si="96"/>
        <v>副手武器</v>
      </c>
      <c r="E1313" s="1">
        <f>INDEX([1]游戏类型定义!$C$20:$C$29,MATCH(D1313,[1]!装备部位,0))</f>
        <v>6</v>
      </c>
      <c r="F1313" s="1">
        <v>4</v>
      </c>
      <c r="G1313" s="1">
        <f t="shared" si="97"/>
        <v>70</v>
      </c>
      <c r="H1313" s="10" t="s">
        <v>2320</v>
      </c>
      <c r="I1313" s="1">
        <v>73000</v>
      </c>
      <c r="J1313" s="1">
        <v>50</v>
      </c>
      <c r="K1313" s="1">
        <v>500</v>
      </c>
      <c r="L1313" s="1">
        <v>40000</v>
      </c>
      <c r="M1313" s="1" t="s">
        <v>2010</v>
      </c>
      <c r="N1313" s="1" t="s">
        <v>1441</v>
      </c>
      <c r="O1313" s="1">
        <v>0</v>
      </c>
      <c r="P1313" s="1" t="s">
        <v>2084</v>
      </c>
      <c r="Q1313" s="7" t="s">
        <v>2058</v>
      </c>
    </row>
    <row r="1314" spans="1:17" ht="14.25" thickBot="1">
      <c r="A1314" s="1" t="s">
        <v>1402</v>
      </c>
      <c r="B1314" s="3">
        <v>1</v>
      </c>
      <c r="C1314" s="1" t="s">
        <v>2303</v>
      </c>
      <c r="D1314" s="1" t="str">
        <f t="shared" si="96"/>
        <v>主手武器</v>
      </c>
      <c r="E1314" s="1">
        <f>INDEX([1]游戏类型定义!$C$20:$C$29,MATCH(D1314,[1]!装备部位,0))</f>
        <v>5</v>
      </c>
      <c r="F1314" s="1">
        <v>4</v>
      </c>
      <c r="G1314" s="1">
        <f t="shared" si="97"/>
        <v>70</v>
      </c>
      <c r="H1314" s="10" t="s">
        <v>2321</v>
      </c>
      <c r="I1314" s="1">
        <v>70000</v>
      </c>
      <c r="J1314" s="1">
        <v>50</v>
      </c>
      <c r="K1314" s="1">
        <v>500</v>
      </c>
      <c r="L1314" s="1">
        <v>37500</v>
      </c>
      <c r="M1314" s="1" t="s">
        <v>2029</v>
      </c>
      <c r="N1314" s="1" t="s">
        <v>1441</v>
      </c>
      <c r="O1314" s="1">
        <v>0</v>
      </c>
      <c r="P1314" s="1" t="s">
        <v>2084</v>
      </c>
      <c r="Q1314" s="7" t="s">
        <v>2526</v>
      </c>
    </row>
    <row r="1315" spans="1:17" ht="14.25" thickBot="1">
      <c r="A1315" s="1" t="s">
        <v>1403</v>
      </c>
      <c r="B1315" s="2">
        <v>0</v>
      </c>
      <c r="C1315" s="1" t="s">
        <v>2302</v>
      </c>
      <c r="D1315" s="1" t="str">
        <f t="shared" si="96"/>
        <v>主手武器</v>
      </c>
      <c r="E1315" s="1">
        <f>INDEX([1]游戏类型定义!$C$20:$C$29,MATCH(D1315,[1]!装备部位,0))</f>
        <v>5</v>
      </c>
      <c r="F1315" s="1">
        <v>4</v>
      </c>
      <c r="G1315" s="1">
        <f t="shared" si="97"/>
        <v>70</v>
      </c>
      <c r="H1315" s="10" t="s">
        <v>2321</v>
      </c>
      <c r="I1315" s="1">
        <v>73000</v>
      </c>
      <c r="J1315" s="1">
        <v>50</v>
      </c>
      <c r="K1315" s="1">
        <v>500</v>
      </c>
      <c r="L1315" s="1">
        <v>40000</v>
      </c>
      <c r="M1315" s="1" t="s">
        <v>2029</v>
      </c>
      <c r="N1315" s="1" t="s">
        <v>1441</v>
      </c>
      <c r="O1315" s="1">
        <v>0</v>
      </c>
      <c r="P1315" s="1" t="s">
        <v>2084</v>
      </c>
      <c r="Q1315" s="7" t="s">
        <v>2059</v>
      </c>
    </row>
    <row r="1316" spans="1:17" ht="14.25" thickBot="1">
      <c r="A1316" s="1" t="s">
        <v>1404</v>
      </c>
      <c r="B1316" s="3">
        <v>1</v>
      </c>
      <c r="C1316" s="9" t="s">
        <v>2293</v>
      </c>
      <c r="D1316" s="1" t="str">
        <f t="shared" ref="D1316:D1335" si="98">D986</f>
        <v>副手武器</v>
      </c>
      <c r="E1316" s="1">
        <f>INDEX([1]游戏类型定义!$C$20:$C$29,MATCH(D1316,[1]!装备部位,0))</f>
        <v>6</v>
      </c>
      <c r="F1316" s="1">
        <v>4</v>
      </c>
      <c r="G1316" s="1">
        <f t="shared" ref="G1316:G1335" si="99">G986</f>
        <v>70</v>
      </c>
      <c r="H1316" s="10" t="s">
        <v>2321</v>
      </c>
      <c r="I1316" s="1">
        <v>70000</v>
      </c>
      <c r="J1316" s="1">
        <v>50</v>
      </c>
      <c r="K1316" s="1">
        <v>500</v>
      </c>
      <c r="L1316" s="1">
        <v>37500</v>
      </c>
      <c r="M1316" s="1" t="s">
        <v>2011</v>
      </c>
      <c r="N1316" s="1" t="s">
        <v>1441</v>
      </c>
      <c r="O1316" s="1">
        <v>0</v>
      </c>
      <c r="P1316" s="1" t="s">
        <v>2084</v>
      </c>
      <c r="Q1316" s="7" t="s">
        <v>2527</v>
      </c>
    </row>
    <row r="1317" spans="1:17" ht="14.25" thickBot="1">
      <c r="A1317" s="1" t="s">
        <v>1405</v>
      </c>
      <c r="B1317" s="2">
        <v>0</v>
      </c>
      <c r="C1317" s="9" t="s">
        <v>2042</v>
      </c>
      <c r="D1317" s="1" t="str">
        <f t="shared" si="98"/>
        <v>副手武器</v>
      </c>
      <c r="E1317" s="1">
        <f>INDEX([1]游戏类型定义!$C$20:$C$29,MATCH(D1317,[1]!装备部位,0))</f>
        <v>6</v>
      </c>
      <c r="F1317" s="1">
        <v>4</v>
      </c>
      <c r="G1317" s="1">
        <f t="shared" si="99"/>
        <v>70</v>
      </c>
      <c r="H1317" s="10" t="s">
        <v>2321</v>
      </c>
      <c r="I1317" s="1">
        <v>73000</v>
      </c>
      <c r="J1317" s="1">
        <v>50</v>
      </c>
      <c r="K1317" s="1">
        <v>500</v>
      </c>
      <c r="L1317" s="1">
        <v>40000</v>
      </c>
      <c r="M1317" s="1" t="s">
        <v>2011</v>
      </c>
      <c r="N1317" s="1" t="s">
        <v>1441</v>
      </c>
      <c r="O1317" s="1">
        <v>0</v>
      </c>
      <c r="P1317" s="1" t="s">
        <v>2084</v>
      </c>
      <c r="Q1317" s="7" t="s">
        <v>2060</v>
      </c>
    </row>
    <row r="1318" spans="1:17" ht="14.25" thickBot="1">
      <c r="A1318" s="1" t="s">
        <v>1406</v>
      </c>
      <c r="B1318" s="3">
        <v>1</v>
      </c>
      <c r="C1318" s="9" t="s">
        <v>2300</v>
      </c>
      <c r="D1318" s="1" t="str">
        <f t="shared" si="98"/>
        <v>主手武器</v>
      </c>
      <c r="E1318" s="1">
        <f>INDEX([1]游戏类型定义!$C$20:$C$29,MATCH(D1318,[1]!装备部位,0))</f>
        <v>5</v>
      </c>
      <c r="F1318" s="1">
        <v>4</v>
      </c>
      <c r="G1318" s="1">
        <f t="shared" si="99"/>
        <v>70</v>
      </c>
      <c r="H1318" s="10" t="s">
        <v>2322</v>
      </c>
      <c r="I1318" s="1">
        <v>70000</v>
      </c>
      <c r="J1318" s="1">
        <v>50</v>
      </c>
      <c r="K1318" s="1">
        <v>500</v>
      </c>
      <c r="L1318" s="1">
        <v>37500</v>
      </c>
      <c r="M1318" s="1" t="s">
        <v>2029</v>
      </c>
      <c r="N1318" s="1" t="s">
        <v>1441</v>
      </c>
      <c r="O1318" s="1">
        <v>0</v>
      </c>
      <c r="P1318" s="1" t="s">
        <v>2084</v>
      </c>
      <c r="Q1318" s="7" t="s">
        <v>2528</v>
      </c>
    </row>
    <row r="1319" spans="1:17" ht="14.25" thickBot="1">
      <c r="A1319" s="1" t="s">
        <v>1407</v>
      </c>
      <c r="B1319" s="2">
        <v>0</v>
      </c>
      <c r="C1319" s="9" t="s">
        <v>2301</v>
      </c>
      <c r="D1319" s="1" t="str">
        <f t="shared" si="98"/>
        <v>主手武器</v>
      </c>
      <c r="E1319" s="1">
        <f>INDEX([1]游戏类型定义!$C$20:$C$29,MATCH(D1319,[1]!装备部位,0))</f>
        <v>5</v>
      </c>
      <c r="F1319" s="1">
        <v>4</v>
      </c>
      <c r="G1319" s="1">
        <f t="shared" si="99"/>
        <v>70</v>
      </c>
      <c r="H1319" s="10" t="s">
        <v>2322</v>
      </c>
      <c r="I1319" s="1">
        <v>73000</v>
      </c>
      <c r="J1319" s="1">
        <v>50</v>
      </c>
      <c r="K1319" s="1">
        <v>500</v>
      </c>
      <c r="L1319" s="1">
        <v>40000</v>
      </c>
      <c r="M1319" s="1" t="s">
        <v>2029</v>
      </c>
      <c r="N1319" s="1" t="s">
        <v>1441</v>
      </c>
      <c r="O1319" s="1">
        <v>0</v>
      </c>
      <c r="P1319" s="1" t="s">
        <v>2084</v>
      </c>
      <c r="Q1319" s="7" t="s">
        <v>2061</v>
      </c>
    </row>
    <row r="1320" spans="1:17" ht="14.25" thickBot="1">
      <c r="A1320" s="1" t="s">
        <v>1408</v>
      </c>
      <c r="B1320" s="3">
        <v>1</v>
      </c>
      <c r="C1320" s="9" t="s">
        <v>2304</v>
      </c>
      <c r="D1320" s="1" t="str">
        <f t="shared" si="98"/>
        <v>副手武器</v>
      </c>
      <c r="E1320" s="1">
        <f>INDEX([1]游戏类型定义!$C$20:$C$29,MATCH(D1320,[1]!装备部位,0))</f>
        <v>6</v>
      </c>
      <c r="F1320" s="1">
        <v>4</v>
      </c>
      <c r="G1320" s="1">
        <f t="shared" si="99"/>
        <v>70</v>
      </c>
      <c r="H1320" s="10" t="s">
        <v>2322</v>
      </c>
      <c r="I1320" s="1">
        <v>70000</v>
      </c>
      <c r="J1320" s="1">
        <v>50</v>
      </c>
      <c r="K1320" s="1">
        <v>500</v>
      </c>
      <c r="L1320" s="1">
        <v>37500</v>
      </c>
      <c r="M1320" s="1" t="s">
        <v>2012</v>
      </c>
      <c r="N1320" s="1" t="s">
        <v>1441</v>
      </c>
      <c r="O1320" s="1">
        <v>0</v>
      </c>
      <c r="P1320" s="1" t="s">
        <v>2084</v>
      </c>
      <c r="Q1320" s="7" t="s">
        <v>2529</v>
      </c>
    </row>
    <row r="1321" spans="1:17" ht="14.25" thickBot="1">
      <c r="A1321" s="1" t="s">
        <v>1409</v>
      </c>
      <c r="B1321" s="2">
        <v>0</v>
      </c>
      <c r="C1321" s="9" t="s">
        <v>2305</v>
      </c>
      <c r="D1321" s="1" t="str">
        <f t="shared" si="98"/>
        <v>副手武器</v>
      </c>
      <c r="E1321" s="1">
        <f>INDEX([1]游戏类型定义!$C$20:$C$29,MATCH(D1321,[1]!装备部位,0))</f>
        <v>6</v>
      </c>
      <c r="F1321" s="1">
        <v>4</v>
      </c>
      <c r="G1321" s="1">
        <f t="shared" si="99"/>
        <v>70</v>
      </c>
      <c r="H1321" s="10" t="s">
        <v>2322</v>
      </c>
      <c r="I1321" s="1">
        <v>73000</v>
      </c>
      <c r="J1321" s="1">
        <v>50</v>
      </c>
      <c r="K1321" s="1">
        <v>500</v>
      </c>
      <c r="L1321" s="1">
        <v>40000</v>
      </c>
      <c r="M1321" s="1" t="s">
        <v>2013</v>
      </c>
      <c r="N1321" s="1" t="s">
        <v>1441</v>
      </c>
      <c r="O1321" s="1">
        <v>0</v>
      </c>
      <c r="P1321" s="1" t="s">
        <v>2084</v>
      </c>
      <c r="Q1321" s="7" t="s">
        <v>2062</v>
      </c>
    </row>
    <row r="1322" spans="1:17" ht="14.25" thickBot="1">
      <c r="A1322" s="1" t="s">
        <v>1410</v>
      </c>
      <c r="B1322" s="2">
        <v>0</v>
      </c>
      <c r="C1322" s="1" t="s">
        <v>2176</v>
      </c>
      <c r="D1322" s="1" t="str">
        <f t="shared" si="98"/>
        <v>胸甲</v>
      </c>
      <c r="E1322" s="1">
        <f>INDEX([1]游戏类型定义!$C$20:$C$29,MATCH(D1322,[1]!装备部位,0))</f>
        <v>4</v>
      </c>
      <c r="F1322" s="1">
        <v>4</v>
      </c>
      <c r="G1322" s="1">
        <f t="shared" si="99"/>
        <v>70</v>
      </c>
      <c r="H1322" s="10">
        <v>0</v>
      </c>
      <c r="I1322" s="1">
        <v>70000</v>
      </c>
      <c r="J1322" s="1">
        <v>50</v>
      </c>
      <c r="K1322" s="1">
        <v>500</v>
      </c>
      <c r="L1322" s="1">
        <v>37500</v>
      </c>
      <c r="M1322" s="1" t="s">
        <v>1812</v>
      </c>
      <c r="N1322" s="1" t="s">
        <v>1440</v>
      </c>
      <c r="O1322" s="1">
        <v>0</v>
      </c>
      <c r="P1322" s="1" t="s">
        <v>2084</v>
      </c>
      <c r="Q1322" s="7" t="s">
        <v>2063</v>
      </c>
    </row>
    <row r="1323" spans="1:17" ht="14.25" thickBot="1">
      <c r="A1323" s="1" t="s">
        <v>1411</v>
      </c>
      <c r="B1323" s="2">
        <v>0</v>
      </c>
      <c r="C1323" s="1" t="s">
        <v>2173</v>
      </c>
      <c r="D1323" s="1" t="str">
        <f t="shared" si="98"/>
        <v>胸甲</v>
      </c>
      <c r="E1323" s="1">
        <f>INDEX([1]游戏类型定义!$C$20:$C$29,MATCH(D1323,[1]!装备部位,0))</f>
        <v>4</v>
      </c>
      <c r="F1323" s="1">
        <v>4</v>
      </c>
      <c r="G1323" s="1">
        <f t="shared" si="99"/>
        <v>70</v>
      </c>
      <c r="H1323" s="10">
        <v>0</v>
      </c>
      <c r="I1323" s="1">
        <v>73000</v>
      </c>
      <c r="J1323" s="1">
        <v>50</v>
      </c>
      <c r="K1323" s="1">
        <v>500</v>
      </c>
      <c r="L1323" s="1">
        <v>40000</v>
      </c>
      <c r="M1323" s="1" t="s">
        <v>1812</v>
      </c>
      <c r="N1323" s="1" t="s">
        <v>1440</v>
      </c>
      <c r="O1323" s="1">
        <v>0</v>
      </c>
      <c r="P1323" s="1" t="s">
        <v>2084</v>
      </c>
      <c r="Q1323" s="7" t="s">
        <v>2063</v>
      </c>
    </row>
    <row r="1324" spans="1:17" ht="14.25" thickBot="1">
      <c r="A1324" s="1" t="s">
        <v>1412</v>
      </c>
      <c r="B1324" s="2">
        <v>0</v>
      </c>
      <c r="C1324" s="1" t="s">
        <v>2193</v>
      </c>
      <c r="D1324" s="1" t="str">
        <f t="shared" si="98"/>
        <v>护腿</v>
      </c>
      <c r="E1324" s="1">
        <f>INDEX([1]游戏类型定义!$C$20:$C$29,MATCH(D1324,[1]!装备部位,0))</f>
        <v>7</v>
      </c>
      <c r="F1324" s="1">
        <v>4</v>
      </c>
      <c r="G1324" s="1">
        <f t="shared" si="99"/>
        <v>70</v>
      </c>
      <c r="H1324" s="10">
        <v>0</v>
      </c>
      <c r="I1324" s="1">
        <v>70000</v>
      </c>
      <c r="J1324" s="1">
        <v>50</v>
      </c>
      <c r="K1324" s="1">
        <v>500</v>
      </c>
      <c r="L1324" s="1">
        <v>37500</v>
      </c>
      <c r="M1324" s="1" t="s">
        <v>1812</v>
      </c>
      <c r="N1324" s="1" t="s">
        <v>1440</v>
      </c>
      <c r="O1324" s="1">
        <v>0</v>
      </c>
      <c r="P1324" s="1" t="s">
        <v>2084</v>
      </c>
      <c r="Q1324" s="7" t="s">
        <v>2064</v>
      </c>
    </row>
    <row r="1325" spans="1:17" ht="14.25" thickBot="1">
      <c r="A1325" s="1" t="s">
        <v>1413</v>
      </c>
      <c r="B1325" s="2">
        <v>0</v>
      </c>
      <c r="C1325" s="1" t="s">
        <v>2194</v>
      </c>
      <c r="D1325" s="1" t="str">
        <f t="shared" si="98"/>
        <v>护腿</v>
      </c>
      <c r="E1325" s="1">
        <f>INDEX([1]游戏类型定义!$C$20:$C$29,MATCH(D1325,[1]!装备部位,0))</f>
        <v>7</v>
      </c>
      <c r="F1325" s="1">
        <v>4</v>
      </c>
      <c r="G1325" s="1">
        <f t="shared" si="99"/>
        <v>70</v>
      </c>
      <c r="H1325" s="10">
        <v>0</v>
      </c>
      <c r="I1325" s="1">
        <v>73000</v>
      </c>
      <c r="J1325" s="1">
        <v>50</v>
      </c>
      <c r="K1325" s="1">
        <v>500</v>
      </c>
      <c r="L1325" s="1">
        <v>40000</v>
      </c>
      <c r="M1325" s="1" t="s">
        <v>1812</v>
      </c>
      <c r="N1325" s="1" t="s">
        <v>1440</v>
      </c>
      <c r="O1325" s="1">
        <v>0</v>
      </c>
      <c r="P1325" s="1" t="s">
        <v>2084</v>
      </c>
      <c r="Q1325" s="7" t="s">
        <v>2064</v>
      </c>
    </row>
    <row r="1326" spans="1:17" ht="14.25" thickBot="1">
      <c r="A1326" s="1" t="s">
        <v>1442</v>
      </c>
      <c r="B1326" s="2">
        <v>0</v>
      </c>
      <c r="C1326" s="1" t="s">
        <v>2031</v>
      </c>
      <c r="D1326" s="1" t="str">
        <f t="shared" si="98"/>
        <v>头盔</v>
      </c>
      <c r="E1326" s="1">
        <f>INDEX([1]游戏类型定义!$C$20:$C$29,MATCH(D1326,[1]!装备部位,0))</f>
        <v>1</v>
      </c>
      <c r="F1326" s="1">
        <v>5</v>
      </c>
      <c r="G1326" s="1">
        <f t="shared" si="99"/>
        <v>1</v>
      </c>
      <c r="H1326" s="10">
        <v>0</v>
      </c>
      <c r="I1326" s="1">
        <v>2000</v>
      </c>
      <c r="J1326" s="1">
        <v>150</v>
      </c>
      <c r="K1326" s="1">
        <v>1500</v>
      </c>
      <c r="L1326" s="1">
        <v>0</v>
      </c>
      <c r="M1326" s="1" t="s">
        <v>1798</v>
      </c>
      <c r="N1326" s="1" t="s">
        <v>1414</v>
      </c>
      <c r="O1326" s="1">
        <v>0</v>
      </c>
      <c r="P1326" s="1" t="s">
        <v>2070</v>
      </c>
      <c r="Q1326" s="7" t="s">
        <v>2051</v>
      </c>
    </row>
    <row r="1327" spans="1:17" ht="14.25" thickBot="1">
      <c r="A1327" s="1" t="s">
        <v>1443</v>
      </c>
      <c r="B1327" s="2">
        <v>0</v>
      </c>
      <c r="C1327" s="1" t="s">
        <v>2032</v>
      </c>
      <c r="D1327" s="1" t="str">
        <f t="shared" si="98"/>
        <v>戒指</v>
      </c>
      <c r="E1327" s="1">
        <f>INDEX([1]游戏类型定义!$C$20:$C$29,MATCH(D1327,[1]!装备部位,0))</f>
        <v>2</v>
      </c>
      <c r="F1327" s="1">
        <v>5</v>
      </c>
      <c r="G1327" s="1">
        <f t="shared" si="99"/>
        <v>1</v>
      </c>
      <c r="H1327" s="10">
        <v>0</v>
      </c>
      <c r="I1327" s="1">
        <v>2000</v>
      </c>
      <c r="J1327" s="1">
        <v>150</v>
      </c>
      <c r="K1327" s="1">
        <v>1500</v>
      </c>
      <c r="L1327" s="1">
        <v>0</v>
      </c>
      <c r="M1327" s="1" t="s">
        <v>1799</v>
      </c>
      <c r="N1327" s="1" t="s">
        <v>1414</v>
      </c>
      <c r="O1327" s="1">
        <v>0</v>
      </c>
      <c r="P1327" s="1" t="s">
        <v>2070</v>
      </c>
      <c r="Q1327" s="7" t="s">
        <v>2052</v>
      </c>
    </row>
    <row r="1328" spans="1:17" ht="14.25" thickBot="1">
      <c r="A1328" s="1" t="s">
        <v>1444</v>
      </c>
      <c r="B1328" s="2">
        <v>0</v>
      </c>
      <c r="C1328" s="1" t="s">
        <v>2033</v>
      </c>
      <c r="D1328" s="1" t="str">
        <f t="shared" si="98"/>
        <v>腰带</v>
      </c>
      <c r="E1328" s="1">
        <f>INDEX([1]游戏类型定义!$C$20:$C$29,MATCH(D1328,[1]!装备部位,0))</f>
        <v>3</v>
      </c>
      <c r="F1328" s="1">
        <v>5</v>
      </c>
      <c r="G1328" s="1">
        <f t="shared" si="99"/>
        <v>1</v>
      </c>
      <c r="H1328" s="10">
        <v>0</v>
      </c>
      <c r="I1328" s="1">
        <v>2000</v>
      </c>
      <c r="J1328" s="1">
        <v>150</v>
      </c>
      <c r="K1328" s="1">
        <v>1500</v>
      </c>
      <c r="L1328" s="1">
        <v>0</v>
      </c>
      <c r="M1328" s="1" t="s">
        <v>1800</v>
      </c>
      <c r="N1328" s="1" t="s">
        <v>1414</v>
      </c>
      <c r="O1328" s="1">
        <v>0</v>
      </c>
      <c r="P1328" s="1" t="s">
        <v>2070</v>
      </c>
      <c r="Q1328" s="7" t="s">
        <v>2053</v>
      </c>
    </row>
    <row r="1329" spans="1:17" ht="14.25" thickBot="1">
      <c r="A1329" s="1" t="s">
        <v>1445</v>
      </c>
      <c r="B1329" s="3">
        <v>1</v>
      </c>
      <c r="C1329" s="1" t="s">
        <v>2036</v>
      </c>
      <c r="D1329" s="1" t="str">
        <f t="shared" si="98"/>
        <v>鞋子</v>
      </c>
      <c r="E1329" s="1">
        <f>INDEX([1]游戏类型定义!$C$20:$C$29,MATCH(D1329,[1]!装备部位,0))</f>
        <v>8</v>
      </c>
      <c r="F1329" s="1">
        <v>5</v>
      </c>
      <c r="G1329" s="1">
        <f t="shared" si="99"/>
        <v>1</v>
      </c>
      <c r="H1329" s="10">
        <v>0</v>
      </c>
      <c r="I1329" s="1">
        <v>2000</v>
      </c>
      <c r="J1329" s="1">
        <v>150</v>
      </c>
      <c r="K1329" s="1">
        <v>1500</v>
      </c>
      <c r="L1329" s="1">
        <v>0</v>
      </c>
      <c r="M1329" s="1" t="s">
        <v>1801</v>
      </c>
      <c r="N1329" s="1" t="s">
        <v>1414</v>
      </c>
      <c r="O1329" s="1">
        <v>0</v>
      </c>
      <c r="P1329" s="1" t="s">
        <v>2070</v>
      </c>
      <c r="Q1329" s="7" t="s">
        <v>2054</v>
      </c>
    </row>
    <row r="1330" spans="1:17" ht="14.25" thickBot="1">
      <c r="A1330" s="1" t="s">
        <v>1446</v>
      </c>
      <c r="B1330" s="3">
        <v>1</v>
      </c>
      <c r="C1330" s="1" t="s">
        <v>2035</v>
      </c>
      <c r="D1330" s="1" t="str">
        <f t="shared" si="98"/>
        <v>手套</v>
      </c>
      <c r="E1330" s="1">
        <f>INDEX([1]游戏类型定义!$C$20:$C$29,MATCH(D1330,[1]!装备部位,0))</f>
        <v>9</v>
      </c>
      <c r="F1330" s="1">
        <v>5</v>
      </c>
      <c r="G1330" s="1">
        <f t="shared" si="99"/>
        <v>1</v>
      </c>
      <c r="H1330" s="10">
        <v>0</v>
      </c>
      <c r="I1330" s="1">
        <v>2000</v>
      </c>
      <c r="J1330" s="1">
        <v>150</v>
      </c>
      <c r="K1330" s="1">
        <v>1500</v>
      </c>
      <c r="L1330" s="1">
        <v>0</v>
      </c>
      <c r="M1330" s="1" t="s">
        <v>1802</v>
      </c>
      <c r="N1330" s="1" t="s">
        <v>1414</v>
      </c>
      <c r="O1330" s="1">
        <v>0</v>
      </c>
      <c r="P1330" s="1" t="s">
        <v>2070</v>
      </c>
      <c r="Q1330" s="7" t="s">
        <v>2055</v>
      </c>
    </row>
    <row r="1331" spans="1:17" ht="14.25" thickBot="1">
      <c r="A1331" s="1" t="s">
        <v>1447</v>
      </c>
      <c r="B1331" s="2">
        <v>0</v>
      </c>
      <c r="C1331" s="1" t="s">
        <v>2034</v>
      </c>
      <c r="D1331" s="1" t="str">
        <f t="shared" si="98"/>
        <v>项链</v>
      </c>
      <c r="E1331" s="1">
        <f>INDEX([1]游戏类型定义!$C$20:$C$29,MATCH(D1331,[1]!装备部位,0))</f>
        <v>10</v>
      </c>
      <c r="F1331" s="1">
        <v>5</v>
      </c>
      <c r="G1331" s="1">
        <f t="shared" si="99"/>
        <v>1</v>
      </c>
      <c r="H1331" s="10">
        <v>0</v>
      </c>
      <c r="I1331" s="1">
        <v>2000</v>
      </c>
      <c r="J1331" s="1">
        <v>150</v>
      </c>
      <c r="K1331" s="1">
        <v>1500</v>
      </c>
      <c r="L1331" s="1">
        <v>0</v>
      </c>
      <c r="M1331" s="1" t="s">
        <v>1803</v>
      </c>
      <c r="N1331" s="1" t="s">
        <v>1414</v>
      </c>
      <c r="O1331" s="1">
        <v>0</v>
      </c>
      <c r="P1331" s="1" t="s">
        <v>2070</v>
      </c>
      <c r="Q1331" s="7" t="s">
        <v>2056</v>
      </c>
    </row>
    <row r="1332" spans="1:17" ht="14.25" thickBot="1">
      <c r="A1332" s="1" t="s">
        <v>1448</v>
      </c>
      <c r="B1332" s="3">
        <v>1</v>
      </c>
      <c r="C1332" s="9" t="s">
        <v>2045</v>
      </c>
      <c r="D1332" s="1" t="str">
        <f t="shared" si="98"/>
        <v>主手武器</v>
      </c>
      <c r="E1332" s="1">
        <f>INDEX([1]游戏类型定义!$C$20:$C$29,MATCH(D1332,[1]!装备部位,0))</f>
        <v>5</v>
      </c>
      <c r="F1332" s="1">
        <v>5</v>
      </c>
      <c r="G1332" s="1">
        <f t="shared" si="99"/>
        <v>1</v>
      </c>
      <c r="H1332" s="10" t="s">
        <v>2320</v>
      </c>
      <c r="I1332" s="1">
        <v>2000</v>
      </c>
      <c r="J1332" s="1">
        <v>150</v>
      </c>
      <c r="K1332" s="1">
        <v>1500</v>
      </c>
      <c r="L1332" s="1">
        <v>0</v>
      </c>
      <c r="M1332" s="1" t="s">
        <v>2014</v>
      </c>
      <c r="N1332" s="1" t="s">
        <v>1769</v>
      </c>
      <c r="O1332" s="1">
        <v>0</v>
      </c>
      <c r="P1332" s="1" t="s">
        <v>2070</v>
      </c>
      <c r="Q1332" s="7" t="s">
        <v>2057</v>
      </c>
    </row>
    <row r="1333" spans="1:17" ht="14.25" thickBot="1">
      <c r="A1333" s="1" t="s">
        <v>1449</v>
      </c>
      <c r="B1333" s="3">
        <v>1</v>
      </c>
      <c r="C1333" s="9" t="s">
        <v>2046</v>
      </c>
      <c r="D1333" s="1" t="str">
        <f t="shared" si="98"/>
        <v>主手武器</v>
      </c>
      <c r="E1333" s="1">
        <f>INDEX([1]游戏类型定义!$C$20:$C$29,MATCH(D1333,[1]!装备部位,0))</f>
        <v>5</v>
      </c>
      <c r="F1333" s="1">
        <v>5</v>
      </c>
      <c r="G1333" s="1">
        <f t="shared" si="99"/>
        <v>1</v>
      </c>
      <c r="H1333" s="10" t="s">
        <v>2320</v>
      </c>
      <c r="I1333" s="1">
        <v>8000</v>
      </c>
      <c r="J1333" s="1">
        <v>150</v>
      </c>
      <c r="K1333" s="1">
        <v>1500</v>
      </c>
      <c r="L1333" s="1">
        <v>0</v>
      </c>
      <c r="M1333" s="1" t="s">
        <v>2015</v>
      </c>
      <c r="N1333" s="1" t="s">
        <v>1769</v>
      </c>
      <c r="O1333" s="1">
        <v>0</v>
      </c>
      <c r="P1333" s="1" t="s">
        <v>2070</v>
      </c>
      <c r="Q1333" s="7" t="s">
        <v>2325</v>
      </c>
    </row>
    <row r="1334" spans="1:17" ht="14.25" thickBot="1">
      <c r="A1334" s="1" t="s">
        <v>1450</v>
      </c>
      <c r="B1334" s="3">
        <v>1</v>
      </c>
      <c r="C1334" s="9" t="s">
        <v>2043</v>
      </c>
      <c r="D1334" s="1" t="str">
        <f t="shared" si="98"/>
        <v>副手武器</v>
      </c>
      <c r="E1334" s="1">
        <f>INDEX([1]游戏类型定义!$C$20:$C$29,MATCH(D1334,[1]!装备部位,0))</f>
        <v>6</v>
      </c>
      <c r="F1334" s="1">
        <v>5</v>
      </c>
      <c r="G1334" s="1">
        <f t="shared" si="99"/>
        <v>1</v>
      </c>
      <c r="H1334" s="10" t="s">
        <v>2320</v>
      </c>
      <c r="I1334" s="1">
        <v>2000</v>
      </c>
      <c r="J1334" s="1">
        <v>150</v>
      </c>
      <c r="K1334" s="1">
        <v>1500</v>
      </c>
      <c r="L1334" s="1">
        <v>0</v>
      </c>
      <c r="M1334" s="1" t="s">
        <v>1804</v>
      </c>
      <c r="N1334" s="1" t="s">
        <v>1769</v>
      </c>
      <c r="O1334" s="1">
        <v>0</v>
      </c>
      <c r="P1334" s="1" t="s">
        <v>2070</v>
      </c>
      <c r="Q1334" s="7" t="s">
        <v>2058</v>
      </c>
    </row>
    <row r="1335" spans="1:17" ht="14.25" thickBot="1">
      <c r="A1335" s="1" t="s">
        <v>1451</v>
      </c>
      <c r="B1335" s="2">
        <v>0</v>
      </c>
      <c r="C1335" s="9" t="s">
        <v>2044</v>
      </c>
      <c r="D1335" s="1" t="str">
        <f t="shared" si="98"/>
        <v>副手武器</v>
      </c>
      <c r="E1335" s="1">
        <f>INDEX([1]游戏类型定义!$C$20:$C$29,MATCH(D1335,[1]!装备部位,0))</f>
        <v>6</v>
      </c>
      <c r="F1335" s="1">
        <v>5</v>
      </c>
      <c r="G1335" s="1">
        <f t="shared" si="99"/>
        <v>1</v>
      </c>
      <c r="H1335" s="10" t="s">
        <v>2320</v>
      </c>
      <c r="I1335" s="1">
        <v>8000</v>
      </c>
      <c r="J1335" s="1">
        <v>150</v>
      </c>
      <c r="K1335" s="1">
        <v>1500</v>
      </c>
      <c r="L1335" s="1">
        <v>0</v>
      </c>
      <c r="M1335" s="1" t="s">
        <v>1805</v>
      </c>
      <c r="N1335" s="1" t="s">
        <v>1769</v>
      </c>
      <c r="O1335" s="1">
        <v>0</v>
      </c>
      <c r="P1335" s="1" t="s">
        <v>2070</v>
      </c>
      <c r="Q1335" s="7" t="s">
        <v>2058</v>
      </c>
    </row>
    <row r="1336" spans="1:17" ht="14.25" thickBot="1">
      <c r="A1336" s="1" t="s">
        <v>1452</v>
      </c>
      <c r="B1336" s="3">
        <v>1</v>
      </c>
      <c r="C1336" s="1" t="s">
        <v>2039</v>
      </c>
      <c r="D1336" s="1" t="str">
        <f t="shared" ref="D1336:D1355" si="100">D1006</f>
        <v>主手武器</v>
      </c>
      <c r="E1336" s="1">
        <f>INDEX([1]游戏类型定义!$C$20:$C$29,MATCH(D1336,[1]!装备部位,0))</f>
        <v>5</v>
      </c>
      <c r="F1336" s="1">
        <v>5</v>
      </c>
      <c r="G1336" s="1">
        <f t="shared" ref="G1336:G1355" si="101">G1006</f>
        <v>1</v>
      </c>
      <c r="H1336" s="10" t="s">
        <v>2321</v>
      </c>
      <c r="I1336" s="1">
        <v>2000</v>
      </c>
      <c r="J1336" s="1">
        <v>150</v>
      </c>
      <c r="K1336" s="1">
        <v>1500</v>
      </c>
      <c r="L1336" s="1">
        <v>0</v>
      </c>
      <c r="M1336" s="1" t="s">
        <v>2014</v>
      </c>
      <c r="N1336" s="1" t="s">
        <v>1769</v>
      </c>
      <c r="O1336" s="1">
        <v>0</v>
      </c>
      <c r="P1336" s="1" t="s">
        <v>2070</v>
      </c>
      <c r="Q1336" s="7" t="s">
        <v>2059</v>
      </c>
    </row>
    <row r="1337" spans="1:17" ht="14.25" thickBot="1">
      <c r="A1337" s="1" t="s">
        <v>1453</v>
      </c>
      <c r="B1337" s="3">
        <v>1</v>
      </c>
      <c r="C1337" s="1" t="s">
        <v>2040</v>
      </c>
      <c r="D1337" s="1" t="str">
        <f t="shared" si="100"/>
        <v>主手武器</v>
      </c>
      <c r="E1337" s="1">
        <f>INDEX([1]游戏类型定义!$C$20:$C$29,MATCH(D1337,[1]!装备部位,0))</f>
        <v>5</v>
      </c>
      <c r="F1337" s="1">
        <v>5</v>
      </c>
      <c r="G1337" s="1">
        <f t="shared" si="101"/>
        <v>1</v>
      </c>
      <c r="H1337" s="10" t="s">
        <v>2321</v>
      </c>
      <c r="I1337" s="1">
        <v>8000</v>
      </c>
      <c r="J1337" s="1">
        <v>150</v>
      </c>
      <c r="K1337" s="1">
        <v>1500</v>
      </c>
      <c r="L1337" s="1">
        <v>0</v>
      </c>
      <c r="M1337" s="1" t="s">
        <v>2015</v>
      </c>
      <c r="N1337" s="1" t="s">
        <v>1769</v>
      </c>
      <c r="O1337" s="1">
        <v>0</v>
      </c>
      <c r="P1337" s="1" t="s">
        <v>2070</v>
      </c>
      <c r="Q1337" s="7" t="s">
        <v>2326</v>
      </c>
    </row>
    <row r="1338" spans="1:17" ht="14.25" thickBot="1">
      <c r="A1338" s="1" t="s">
        <v>1454</v>
      </c>
      <c r="B1338" s="3">
        <v>1</v>
      </c>
      <c r="C1338" s="9" t="s">
        <v>2041</v>
      </c>
      <c r="D1338" s="1" t="str">
        <f t="shared" si="100"/>
        <v>副手武器</v>
      </c>
      <c r="E1338" s="1">
        <f>INDEX([1]游戏类型定义!$C$20:$C$29,MATCH(D1338,[1]!装备部位,0))</f>
        <v>6</v>
      </c>
      <c r="F1338" s="1">
        <v>5</v>
      </c>
      <c r="G1338" s="1">
        <f t="shared" si="101"/>
        <v>1</v>
      </c>
      <c r="H1338" s="10" t="s">
        <v>2321</v>
      </c>
      <c r="I1338" s="1">
        <v>2000</v>
      </c>
      <c r="J1338" s="1">
        <v>150</v>
      </c>
      <c r="K1338" s="1">
        <v>1500</v>
      </c>
      <c r="L1338" s="1">
        <v>0</v>
      </c>
      <c r="M1338" s="1" t="s">
        <v>1806</v>
      </c>
      <c r="N1338" s="1" t="s">
        <v>1769</v>
      </c>
      <c r="O1338" s="1">
        <v>0</v>
      </c>
      <c r="P1338" s="1" t="s">
        <v>2070</v>
      </c>
      <c r="Q1338" s="7" t="s">
        <v>2060</v>
      </c>
    </row>
    <row r="1339" spans="1:17" ht="14.25" thickBot="1">
      <c r="A1339" s="1" t="s">
        <v>1455</v>
      </c>
      <c r="B1339" s="2">
        <v>0</v>
      </c>
      <c r="C1339" s="9" t="s">
        <v>2042</v>
      </c>
      <c r="D1339" s="1" t="str">
        <f t="shared" si="100"/>
        <v>副手武器</v>
      </c>
      <c r="E1339" s="1">
        <f>INDEX([1]游戏类型定义!$C$20:$C$29,MATCH(D1339,[1]!装备部位,0))</f>
        <v>6</v>
      </c>
      <c r="F1339" s="1">
        <v>5</v>
      </c>
      <c r="G1339" s="1">
        <f t="shared" si="101"/>
        <v>1</v>
      </c>
      <c r="H1339" s="10" t="s">
        <v>2321</v>
      </c>
      <c r="I1339" s="1">
        <v>8000</v>
      </c>
      <c r="J1339" s="1">
        <v>150</v>
      </c>
      <c r="K1339" s="1">
        <v>1500</v>
      </c>
      <c r="L1339" s="1">
        <v>0</v>
      </c>
      <c r="M1339" s="1" t="s">
        <v>1807</v>
      </c>
      <c r="N1339" s="1" t="s">
        <v>1769</v>
      </c>
      <c r="O1339" s="1">
        <v>0</v>
      </c>
      <c r="P1339" s="1" t="s">
        <v>2070</v>
      </c>
      <c r="Q1339" s="7" t="s">
        <v>2060</v>
      </c>
    </row>
    <row r="1340" spans="1:17" ht="14.25" thickBot="1">
      <c r="A1340" s="1" t="s">
        <v>1456</v>
      </c>
      <c r="B1340" s="3">
        <v>1</v>
      </c>
      <c r="C1340" s="9" t="s">
        <v>2047</v>
      </c>
      <c r="D1340" s="1" t="str">
        <f t="shared" si="100"/>
        <v>主手武器</v>
      </c>
      <c r="E1340" s="1">
        <f>INDEX([1]游戏类型定义!$C$20:$C$29,MATCH(D1340,[1]!装备部位,0))</f>
        <v>5</v>
      </c>
      <c r="F1340" s="1">
        <v>5</v>
      </c>
      <c r="G1340" s="1">
        <f t="shared" si="101"/>
        <v>1</v>
      </c>
      <c r="H1340" s="10" t="s">
        <v>2322</v>
      </c>
      <c r="I1340" s="1">
        <v>2000</v>
      </c>
      <c r="J1340" s="1">
        <v>150</v>
      </c>
      <c r="K1340" s="1">
        <v>1500</v>
      </c>
      <c r="L1340" s="1">
        <v>0</v>
      </c>
      <c r="M1340" s="1" t="s">
        <v>2014</v>
      </c>
      <c r="N1340" s="1" t="s">
        <v>1769</v>
      </c>
      <c r="O1340" s="1">
        <v>0</v>
      </c>
      <c r="P1340" s="1" t="s">
        <v>2070</v>
      </c>
      <c r="Q1340" s="7" t="s">
        <v>2061</v>
      </c>
    </row>
    <row r="1341" spans="1:17" ht="14.25" thickBot="1">
      <c r="A1341" s="1" t="s">
        <v>1457</v>
      </c>
      <c r="B1341" s="3">
        <v>1</v>
      </c>
      <c r="C1341" s="9" t="s">
        <v>2048</v>
      </c>
      <c r="D1341" s="1" t="str">
        <f t="shared" si="100"/>
        <v>主手武器</v>
      </c>
      <c r="E1341" s="1">
        <f>INDEX([1]游戏类型定义!$C$20:$C$29,MATCH(D1341,[1]!装备部位,0))</f>
        <v>5</v>
      </c>
      <c r="F1341" s="1">
        <v>5</v>
      </c>
      <c r="G1341" s="1">
        <f t="shared" si="101"/>
        <v>1</v>
      </c>
      <c r="H1341" s="10" t="s">
        <v>2322</v>
      </c>
      <c r="I1341" s="1">
        <v>8000</v>
      </c>
      <c r="J1341" s="1">
        <v>150</v>
      </c>
      <c r="K1341" s="1">
        <v>1500</v>
      </c>
      <c r="L1341" s="1">
        <v>0</v>
      </c>
      <c r="M1341" s="1" t="s">
        <v>2015</v>
      </c>
      <c r="N1341" s="1" t="s">
        <v>1769</v>
      </c>
      <c r="O1341" s="1">
        <v>0</v>
      </c>
      <c r="P1341" s="1" t="s">
        <v>2070</v>
      </c>
      <c r="Q1341" s="7" t="s">
        <v>2327</v>
      </c>
    </row>
    <row r="1342" spans="1:17" ht="14.25" thickBot="1">
      <c r="A1342" s="1" t="s">
        <v>1458</v>
      </c>
      <c r="B1342" s="3">
        <v>1</v>
      </c>
      <c r="C1342" s="9" t="s">
        <v>2049</v>
      </c>
      <c r="D1342" s="1" t="str">
        <f t="shared" si="100"/>
        <v>副手武器</v>
      </c>
      <c r="E1342" s="1">
        <f>INDEX([1]游戏类型定义!$C$20:$C$29,MATCH(D1342,[1]!装备部位,0))</f>
        <v>6</v>
      </c>
      <c r="F1342" s="1">
        <v>5</v>
      </c>
      <c r="G1342" s="1">
        <f t="shared" si="101"/>
        <v>1</v>
      </c>
      <c r="H1342" s="10" t="s">
        <v>2322</v>
      </c>
      <c r="I1342" s="1">
        <v>2000</v>
      </c>
      <c r="J1342" s="1">
        <v>150</v>
      </c>
      <c r="K1342" s="1">
        <v>1500</v>
      </c>
      <c r="L1342" s="1">
        <v>0</v>
      </c>
      <c r="M1342" s="1" t="s">
        <v>1808</v>
      </c>
      <c r="N1342" s="1" t="s">
        <v>1769</v>
      </c>
      <c r="O1342" s="1">
        <v>0</v>
      </c>
      <c r="P1342" s="1" t="s">
        <v>2070</v>
      </c>
      <c r="Q1342" s="7" t="s">
        <v>2062</v>
      </c>
    </row>
    <row r="1343" spans="1:17" ht="14.25" thickBot="1">
      <c r="A1343" s="1" t="s">
        <v>1459</v>
      </c>
      <c r="B1343" s="2">
        <v>0</v>
      </c>
      <c r="C1343" s="9" t="s">
        <v>2050</v>
      </c>
      <c r="D1343" s="1" t="str">
        <f t="shared" si="100"/>
        <v>副手武器</v>
      </c>
      <c r="E1343" s="1">
        <f>INDEX([1]游戏类型定义!$C$20:$C$29,MATCH(D1343,[1]!装备部位,0))</f>
        <v>6</v>
      </c>
      <c r="F1343" s="1">
        <v>5</v>
      </c>
      <c r="G1343" s="1">
        <f t="shared" si="101"/>
        <v>1</v>
      </c>
      <c r="H1343" s="10" t="s">
        <v>2322</v>
      </c>
      <c r="I1343" s="1">
        <v>8000</v>
      </c>
      <c r="J1343" s="1">
        <v>150</v>
      </c>
      <c r="K1343" s="1">
        <v>1500</v>
      </c>
      <c r="L1343" s="1">
        <v>0</v>
      </c>
      <c r="M1343" s="1" t="s">
        <v>1809</v>
      </c>
      <c r="N1343" s="1" t="s">
        <v>1769</v>
      </c>
      <c r="O1343" s="1">
        <v>0</v>
      </c>
      <c r="P1343" s="1" t="s">
        <v>2070</v>
      </c>
      <c r="Q1343" s="7" t="s">
        <v>2062</v>
      </c>
    </row>
    <row r="1344" spans="1:17" ht="14.25" thickBot="1">
      <c r="A1344" s="1" t="s">
        <v>1460</v>
      </c>
      <c r="B1344" s="3">
        <v>1</v>
      </c>
      <c r="C1344" s="1" t="s">
        <v>2030</v>
      </c>
      <c r="D1344" s="1" t="str">
        <f t="shared" si="100"/>
        <v>胸甲</v>
      </c>
      <c r="E1344" s="1">
        <f>INDEX([1]游戏类型定义!$C$20:$C$29,MATCH(D1344,[1]!装备部位,0))</f>
        <v>4</v>
      </c>
      <c r="F1344" s="1">
        <v>5</v>
      </c>
      <c r="G1344" s="1">
        <f t="shared" si="101"/>
        <v>1</v>
      </c>
      <c r="H1344" s="10">
        <v>0</v>
      </c>
      <c r="I1344" s="1">
        <v>2000</v>
      </c>
      <c r="J1344" s="1">
        <v>150</v>
      </c>
      <c r="K1344" s="1">
        <v>1500</v>
      </c>
      <c r="L1344" s="1">
        <v>0</v>
      </c>
      <c r="M1344" s="1" t="s">
        <v>1810</v>
      </c>
      <c r="N1344" s="1" t="s">
        <v>1414</v>
      </c>
      <c r="O1344" s="1">
        <v>0</v>
      </c>
      <c r="P1344" s="1" t="s">
        <v>2070</v>
      </c>
      <c r="Q1344" s="7" t="s">
        <v>2063</v>
      </c>
    </row>
    <row r="1345" spans="1:17" ht="14.25" thickBot="1">
      <c r="A1345" s="1" t="s">
        <v>1461</v>
      </c>
      <c r="B1345" s="2">
        <v>0</v>
      </c>
      <c r="C1345" s="1" t="s">
        <v>2030</v>
      </c>
      <c r="D1345" s="1" t="str">
        <f t="shared" si="100"/>
        <v>胸甲</v>
      </c>
      <c r="E1345" s="1">
        <f>INDEX([1]游戏类型定义!$C$20:$C$29,MATCH(D1345,[1]!装备部位,0))</f>
        <v>4</v>
      </c>
      <c r="F1345" s="1">
        <v>5</v>
      </c>
      <c r="G1345" s="1">
        <f t="shared" si="101"/>
        <v>1</v>
      </c>
      <c r="H1345" s="10">
        <v>0</v>
      </c>
      <c r="I1345" s="1">
        <v>8000</v>
      </c>
      <c r="J1345" s="1">
        <v>150</v>
      </c>
      <c r="K1345" s="1">
        <v>1500</v>
      </c>
      <c r="L1345" s="1">
        <v>0</v>
      </c>
      <c r="M1345" s="1" t="s">
        <v>1811</v>
      </c>
      <c r="N1345" s="1" t="s">
        <v>1414</v>
      </c>
      <c r="O1345" s="1">
        <v>0</v>
      </c>
      <c r="P1345" s="1" t="s">
        <v>2070</v>
      </c>
      <c r="Q1345" s="7" t="s">
        <v>2063</v>
      </c>
    </row>
    <row r="1346" spans="1:17" ht="14.25" thickBot="1">
      <c r="A1346" s="1" t="s">
        <v>1462</v>
      </c>
      <c r="B1346" s="2">
        <v>0</v>
      </c>
      <c r="C1346" s="1" t="s">
        <v>2037</v>
      </c>
      <c r="D1346" s="1" t="str">
        <f t="shared" si="100"/>
        <v>护腿</v>
      </c>
      <c r="E1346" s="1">
        <f>INDEX([1]游戏类型定义!$C$20:$C$29,MATCH(D1346,[1]!装备部位,0))</f>
        <v>7</v>
      </c>
      <c r="F1346" s="1">
        <v>5</v>
      </c>
      <c r="G1346" s="1">
        <f t="shared" si="101"/>
        <v>1</v>
      </c>
      <c r="H1346" s="10">
        <v>0</v>
      </c>
      <c r="I1346" s="1">
        <v>2000</v>
      </c>
      <c r="J1346" s="1">
        <v>150</v>
      </c>
      <c r="K1346" s="1">
        <v>1500</v>
      </c>
      <c r="L1346" s="1">
        <v>0</v>
      </c>
      <c r="M1346" s="1" t="s">
        <v>1812</v>
      </c>
      <c r="N1346" s="1" t="s">
        <v>1414</v>
      </c>
      <c r="O1346" s="1">
        <v>0</v>
      </c>
      <c r="P1346" s="1" t="s">
        <v>2070</v>
      </c>
      <c r="Q1346" s="7" t="s">
        <v>2064</v>
      </c>
    </row>
    <row r="1347" spans="1:17" ht="14.25" thickBot="1">
      <c r="A1347" s="1" t="s">
        <v>1463</v>
      </c>
      <c r="B1347" s="2">
        <v>0</v>
      </c>
      <c r="C1347" s="1" t="s">
        <v>2038</v>
      </c>
      <c r="D1347" s="1" t="str">
        <f t="shared" si="100"/>
        <v>护腿</v>
      </c>
      <c r="E1347" s="1">
        <f>INDEX([1]游戏类型定义!$C$20:$C$29,MATCH(D1347,[1]!装备部位,0))</f>
        <v>7</v>
      </c>
      <c r="F1347" s="1">
        <v>5</v>
      </c>
      <c r="G1347" s="1">
        <f t="shared" si="101"/>
        <v>1</v>
      </c>
      <c r="H1347" s="10">
        <v>0</v>
      </c>
      <c r="I1347" s="1">
        <v>8000</v>
      </c>
      <c r="J1347" s="1">
        <v>150</v>
      </c>
      <c r="K1347" s="1">
        <v>1500</v>
      </c>
      <c r="L1347" s="1">
        <v>0</v>
      </c>
      <c r="M1347" s="1" t="s">
        <v>1813</v>
      </c>
      <c r="N1347" s="1" t="s">
        <v>1414</v>
      </c>
      <c r="O1347" s="1">
        <v>0</v>
      </c>
      <c r="P1347" s="1" t="s">
        <v>2070</v>
      </c>
      <c r="Q1347" s="7" t="s">
        <v>2064</v>
      </c>
    </row>
    <row r="1348" spans="1:17" ht="14.25" thickBot="1">
      <c r="A1348" s="1" t="s">
        <v>1464</v>
      </c>
      <c r="B1348" s="3">
        <v>1</v>
      </c>
      <c r="C1348" s="1" t="s">
        <v>2031</v>
      </c>
      <c r="D1348" s="1" t="str">
        <f t="shared" si="100"/>
        <v>头盔</v>
      </c>
      <c r="E1348" s="1">
        <f>INDEX([1]游戏类型定义!$C$20:$C$29,MATCH(D1348,[1]!装备部位,0))</f>
        <v>1</v>
      </c>
      <c r="F1348" s="1">
        <v>5</v>
      </c>
      <c r="G1348" s="1">
        <f t="shared" si="101"/>
        <v>5</v>
      </c>
      <c r="H1348" s="10">
        <v>0</v>
      </c>
      <c r="I1348" s="1">
        <v>10000</v>
      </c>
      <c r="J1348" s="1">
        <v>150</v>
      </c>
      <c r="K1348" s="1">
        <v>1500</v>
      </c>
      <c r="L1348" s="1">
        <v>0</v>
      </c>
      <c r="M1348" s="1" t="s">
        <v>1814</v>
      </c>
      <c r="N1348" s="1" t="s">
        <v>1770</v>
      </c>
      <c r="O1348" s="1">
        <v>0</v>
      </c>
      <c r="P1348" s="1" t="s">
        <v>2071</v>
      </c>
      <c r="Q1348" s="7" t="s">
        <v>2051</v>
      </c>
    </row>
    <row r="1349" spans="1:17" ht="14.25" thickBot="1">
      <c r="A1349" s="1" t="s">
        <v>1465</v>
      </c>
      <c r="B1349" s="3">
        <v>1</v>
      </c>
      <c r="C1349" s="1" t="s">
        <v>2032</v>
      </c>
      <c r="D1349" s="1" t="str">
        <f t="shared" si="100"/>
        <v>戒指</v>
      </c>
      <c r="E1349" s="1">
        <f>INDEX([1]游戏类型定义!$C$20:$C$29,MATCH(D1349,[1]!装备部位,0))</f>
        <v>2</v>
      </c>
      <c r="F1349" s="1">
        <v>5</v>
      </c>
      <c r="G1349" s="1">
        <f t="shared" si="101"/>
        <v>5</v>
      </c>
      <c r="H1349" s="10">
        <v>0</v>
      </c>
      <c r="I1349" s="1">
        <v>10000</v>
      </c>
      <c r="J1349" s="1">
        <v>150</v>
      </c>
      <c r="K1349" s="1">
        <v>1500</v>
      </c>
      <c r="L1349" s="1">
        <v>0</v>
      </c>
      <c r="M1349" s="1" t="s">
        <v>1815</v>
      </c>
      <c r="N1349" s="1" t="s">
        <v>1770</v>
      </c>
      <c r="O1349" s="1">
        <v>0</v>
      </c>
      <c r="P1349" s="1" t="s">
        <v>2071</v>
      </c>
      <c r="Q1349" s="7" t="s">
        <v>2052</v>
      </c>
    </row>
    <row r="1350" spans="1:17" ht="14.25" thickBot="1">
      <c r="A1350" s="1" t="s">
        <v>1466</v>
      </c>
      <c r="B1350" s="3">
        <v>1</v>
      </c>
      <c r="C1350" s="1" t="s">
        <v>2033</v>
      </c>
      <c r="D1350" s="1" t="str">
        <f t="shared" si="100"/>
        <v>腰带</v>
      </c>
      <c r="E1350" s="1">
        <f>INDEX([1]游戏类型定义!$C$20:$C$29,MATCH(D1350,[1]!装备部位,0))</f>
        <v>3</v>
      </c>
      <c r="F1350" s="1">
        <v>5</v>
      </c>
      <c r="G1350" s="1">
        <f t="shared" si="101"/>
        <v>5</v>
      </c>
      <c r="H1350" s="10">
        <v>0</v>
      </c>
      <c r="I1350" s="1">
        <v>10000</v>
      </c>
      <c r="J1350" s="1">
        <v>150</v>
      </c>
      <c r="K1350" s="1">
        <v>1500</v>
      </c>
      <c r="L1350" s="1">
        <v>0</v>
      </c>
      <c r="M1350" s="1" t="s">
        <v>2324</v>
      </c>
      <c r="N1350" s="1" t="s">
        <v>1770</v>
      </c>
      <c r="O1350" s="1">
        <v>0</v>
      </c>
      <c r="P1350" s="1" t="s">
        <v>2071</v>
      </c>
      <c r="Q1350" s="7" t="s">
        <v>2053</v>
      </c>
    </row>
    <row r="1351" spans="1:17" ht="14.25" thickBot="1">
      <c r="A1351" s="1" t="s">
        <v>1467</v>
      </c>
      <c r="B1351" s="2">
        <v>0</v>
      </c>
      <c r="C1351" s="1" t="s">
        <v>2036</v>
      </c>
      <c r="D1351" s="1" t="str">
        <f t="shared" si="100"/>
        <v>鞋子</v>
      </c>
      <c r="E1351" s="1">
        <f>INDEX([1]游戏类型定义!$C$20:$C$29,MATCH(D1351,[1]!装备部位,0))</f>
        <v>8</v>
      </c>
      <c r="F1351" s="1">
        <v>5</v>
      </c>
      <c r="G1351" s="1">
        <f t="shared" si="101"/>
        <v>5</v>
      </c>
      <c r="H1351" s="10">
        <v>0</v>
      </c>
      <c r="I1351" s="1">
        <v>10000</v>
      </c>
      <c r="J1351" s="1">
        <v>150</v>
      </c>
      <c r="K1351" s="1">
        <v>1500</v>
      </c>
      <c r="L1351" s="1">
        <v>0</v>
      </c>
      <c r="M1351" s="1" t="s">
        <v>1816</v>
      </c>
      <c r="N1351" s="1" t="s">
        <v>1770</v>
      </c>
      <c r="O1351" s="1">
        <v>0</v>
      </c>
      <c r="P1351" s="1" t="s">
        <v>2071</v>
      </c>
      <c r="Q1351" s="7" t="s">
        <v>2054</v>
      </c>
    </row>
    <row r="1352" spans="1:17" ht="14.25" thickBot="1">
      <c r="A1352" s="1" t="s">
        <v>1468</v>
      </c>
      <c r="B1352" s="2">
        <v>0</v>
      </c>
      <c r="C1352" s="1" t="s">
        <v>2035</v>
      </c>
      <c r="D1352" s="1" t="str">
        <f t="shared" si="100"/>
        <v>手套</v>
      </c>
      <c r="E1352" s="1">
        <f>INDEX([1]游戏类型定义!$C$20:$C$29,MATCH(D1352,[1]!装备部位,0))</f>
        <v>9</v>
      </c>
      <c r="F1352" s="1">
        <v>5</v>
      </c>
      <c r="G1352" s="1">
        <f t="shared" si="101"/>
        <v>5</v>
      </c>
      <c r="H1352" s="10">
        <v>0</v>
      </c>
      <c r="I1352" s="1">
        <v>10000</v>
      </c>
      <c r="J1352" s="1">
        <v>150</v>
      </c>
      <c r="K1352" s="1">
        <v>1500</v>
      </c>
      <c r="L1352" s="1">
        <v>0</v>
      </c>
      <c r="M1352" s="1" t="s">
        <v>1817</v>
      </c>
      <c r="N1352" s="1" t="s">
        <v>1770</v>
      </c>
      <c r="O1352" s="1">
        <v>0</v>
      </c>
      <c r="P1352" s="1" t="s">
        <v>2071</v>
      </c>
      <c r="Q1352" s="7" t="s">
        <v>2055</v>
      </c>
    </row>
    <row r="1353" spans="1:17" ht="14.25" thickBot="1">
      <c r="A1353" s="1" t="s">
        <v>1469</v>
      </c>
      <c r="B1353" s="3">
        <v>1</v>
      </c>
      <c r="C1353" s="1" t="s">
        <v>2034</v>
      </c>
      <c r="D1353" s="1" t="str">
        <f t="shared" si="100"/>
        <v>项链</v>
      </c>
      <c r="E1353" s="1">
        <f>INDEX([1]游戏类型定义!$C$20:$C$29,MATCH(D1353,[1]!装备部位,0))</f>
        <v>10</v>
      </c>
      <c r="F1353" s="1">
        <v>5</v>
      </c>
      <c r="G1353" s="1">
        <f t="shared" si="101"/>
        <v>5</v>
      </c>
      <c r="H1353" s="10">
        <v>0</v>
      </c>
      <c r="I1353" s="1">
        <v>10000</v>
      </c>
      <c r="J1353" s="1">
        <v>150</v>
      </c>
      <c r="K1353" s="1">
        <v>1500</v>
      </c>
      <c r="L1353" s="1">
        <v>0</v>
      </c>
      <c r="M1353" s="1" t="s">
        <v>1818</v>
      </c>
      <c r="N1353" s="1" t="s">
        <v>1770</v>
      </c>
      <c r="O1353" s="1">
        <v>0</v>
      </c>
      <c r="P1353" s="1" t="s">
        <v>2071</v>
      </c>
      <c r="Q1353" s="7" t="s">
        <v>2056</v>
      </c>
    </row>
    <row r="1354" spans="1:17" ht="14.25" thickBot="1">
      <c r="A1354" s="1" t="s">
        <v>1470</v>
      </c>
      <c r="B1354" s="3">
        <v>1</v>
      </c>
      <c r="C1354" s="9" t="s">
        <v>2195</v>
      </c>
      <c r="D1354" s="1" t="str">
        <f t="shared" si="100"/>
        <v>主手武器</v>
      </c>
      <c r="E1354" s="1">
        <f>INDEX([1]游戏类型定义!$C$20:$C$29,MATCH(D1354,[1]!装备部位,0))</f>
        <v>5</v>
      </c>
      <c r="F1354" s="1">
        <v>5</v>
      </c>
      <c r="G1354" s="1">
        <f t="shared" si="101"/>
        <v>5</v>
      </c>
      <c r="H1354" s="10" t="s">
        <v>2320</v>
      </c>
      <c r="I1354" s="1">
        <v>10000</v>
      </c>
      <c r="J1354" s="1">
        <v>150</v>
      </c>
      <c r="K1354" s="1">
        <v>1500</v>
      </c>
      <c r="L1354" s="1">
        <v>0</v>
      </c>
      <c r="M1354" s="1" t="s">
        <v>1819</v>
      </c>
      <c r="N1354" s="1" t="s">
        <v>1771</v>
      </c>
      <c r="O1354" s="1">
        <v>0</v>
      </c>
      <c r="P1354" s="1" t="s">
        <v>2071</v>
      </c>
      <c r="Q1354" s="7" t="s">
        <v>2328</v>
      </c>
    </row>
    <row r="1355" spans="1:17" ht="14.25" thickBot="1">
      <c r="A1355" s="1" t="s">
        <v>1471</v>
      </c>
      <c r="B1355" s="3">
        <v>1</v>
      </c>
      <c r="C1355" s="9" t="s">
        <v>2197</v>
      </c>
      <c r="D1355" s="1" t="str">
        <f t="shared" si="100"/>
        <v>主手武器</v>
      </c>
      <c r="E1355" s="1">
        <f>INDEX([1]游戏类型定义!$C$20:$C$29,MATCH(D1355,[1]!装备部位,0))</f>
        <v>5</v>
      </c>
      <c r="F1355" s="1">
        <v>5</v>
      </c>
      <c r="G1355" s="1">
        <f t="shared" si="101"/>
        <v>5</v>
      </c>
      <c r="H1355" s="10" t="s">
        <v>2320</v>
      </c>
      <c r="I1355" s="1">
        <v>16000</v>
      </c>
      <c r="J1355" s="1">
        <v>150</v>
      </c>
      <c r="K1355" s="1">
        <v>1500</v>
      </c>
      <c r="L1355" s="1">
        <v>0</v>
      </c>
      <c r="M1355" s="1" t="s">
        <v>2016</v>
      </c>
      <c r="N1355" s="1" t="s">
        <v>1771</v>
      </c>
      <c r="O1355" s="1">
        <v>0</v>
      </c>
      <c r="P1355" s="1" t="s">
        <v>2071</v>
      </c>
      <c r="Q1355" s="7" t="s">
        <v>2329</v>
      </c>
    </row>
    <row r="1356" spans="1:17" ht="14.25" thickBot="1">
      <c r="A1356" s="1" t="s">
        <v>1472</v>
      </c>
      <c r="B1356" s="3">
        <v>1</v>
      </c>
      <c r="C1356" s="9" t="s">
        <v>2086</v>
      </c>
      <c r="D1356" s="1" t="str">
        <f t="shared" ref="D1356:D1375" si="102">D1026</f>
        <v>副手武器</v>
      </c>
      <c r="E1356" s="1">
        <f>INDEX([1]游戏类型定义!$C$20:$C$29,MATCH(D1356,[1]!装备部位,0))</f>
        <v>6</v>
      </c>
      <c r="F1356" s="1">
        <v>5</v>
      </c>
      <c r="G1356" s="1">
        <f t="shared" ref="G1356:G1375" si="103">G1026</f>
        <v>5</v>
      </c>
      <c r="H1356" s="10" t="s">
        <v>2320</v>
      </c>
      <c r="I1356" s="1">
        <v>10000</v>
      </c>
      <c r="J1356" s="1">
        <v>150</v>
      </c>
      <c r="K1356" s="1">
        <v>1500</v>
      </c>
      <c r="L1356" s="1">
        <v>0</v>
      </c>
      <c r="M1356" s="1" t="s">
        <v>1820</v>
      </c>
      <c r="N1356" s="1" t="s">
        <v>1771</v>
      </c>
      <c r="O1356" s="1">
        <v>0</v>
      </c>
      <c r="P1356" s="1" t="s">
        <v>2071</v>
      </c>
      <c r="Q1356" s="7" t="s">
        <v>2330</v>
      </c>
    </row>
    <row r="1357" spans="1:17" ht="14.25" thickBot="1">
      <c r="A1357" s="1" t="s">
        <v>1473</v>
      </c>
      <c r="B1357" s="2">
        <v>0</v>
      </c>
      <c r="C1357" s="9" t="s">
        <v>2044</v>
      </c>
      <c r="D1357" s="1" t="str">
        <f t="shared" si="102"/>
        <v>副手武器</v>
      </c>
      <c r="E1357" s="1">
        <f>INDEX([1]游戏类型定义!$C$20:$C$29,MATCH(D1357,[1]!装备部位,0))</f>
        <v>6</v>
      </c>
      <c r="F1357" s="1">
        <v>5</v>
      </c>
      <c r="G1357" s="1">
        <f t="shared" si="103"/>
        <v>5</v>
      </c>
      <c r="H1357" s="10" t="s">
        <v>2320</v>
      </c>
      <c r="I1357" s="1">
        <v>16000</v>
      </c>
      <c r="J1357" s="1">
        <v>150</v>
      </c>
      <c r="K1357" s="1">
        <v>1500</v>
      </c>
      <c r="L1357" s="1">
        <v>0</v>
      </c>
      <c r="M1357" s="1" t="s">
        <v>1821</v>
      </c>
      <c r="N1357" s="1" t="s">
        <v>1771</v>
      </c>
      <c r="O1357" s="1">
        <v>0</v>
      </c>
      <c r="P1357" s="1" t="s">
        <v>2071</v>
      </c>
      <c r="Q1357" s="7" t="s">
        <v>2058</v>
      </c>
    </row>
    <row r="1358" spans="1:17" ht="14.25" thickBot="1">
      <c r="A1358" s="1" t="s">
        <v>1474</v>
      </c>
      <c r="B1358" s="3">
        <v>1</v>
      </c>
      <c r="C1358" s="1" t="s">
        <v>2201</v>
      </c>
      <c r="D1358" s="1" t="str">
        <f t="shared" si="102"/>
        <v>主手武器</v>
      </c>
      <c r="E1358" s="1">
        <f>INDEX([1]游戏类型定义!$C$20:$C$29,MATCH(D1358,[1]!装备部位,0))</f>
        <v>5</v>
      </c>
      <c r="F1358" s="1">
        <v>5</v>
      </c>
      <c r="G1358" s="1">
        <f t="shared" si="103"/>
        <v>5</v>
      </c>
      <c r="H1358" s="10" t="s">
        <v>2321</v>
      </c>
      <c r="I1358" s="1">
        <v>10000</v>
      </c>
      <c r="J1358" s="1">
        <v>150</v>
      </c>
      <c r="K1358" s="1">
        <v>1500</v>
      </c>
      <c r="L1358" s="1">
        <v>0</v>
      </c>
      <c r="M1358" s="1" t="s">
        <v>1819</v>
      </c>
      <c r="N1358" s="1" t="s">
        <v>1771</v>
      </c>
      <c r="O1358" s="1">
        <v>0</v>
      </c>
      <c r="P1358" s="1" t="s">
        <v>2071</v>
      </c>
      <c r="Q1358" s="7" t="s">
        <v>2530</v>
      </c>
    </row>
    <row r="1359" spans="1:17" ht="14.25" thickBot="1">
      <c r="A1359" s="1" t="s">
        <v>1475</v>
      </c>
      <c r="B1359" s="3">
        <v>1</v>
      </c>
      <c r="C1359" s="1" t="s">
        <v>2202</v>
      </c>
      <c r="D1359" s="1" t="str">
        <f t="shared" si="102"/>
        <v>主手武器</v>
      </c>
      <c r="E1359" s="1">
        <f>INDEX([1]游戏类型定义!$C$20:$C$29,MATCH(D1359,[1]!装备部位,0))</f>
        <v>5</v>
      </c>
      <c r="F1359" s="1">
        <v>5</v>
      </c>
      <c r="G1359" s="1">
        <f t="shared" si="103"/>
        <v>5</v>
      </c>
      <c r="H1359" s="10" t="s">
        <v>2321</v>
      </c>
      <c r="I1359" s="1">
        <v>16000</v>
      </c>
      <c r="J1359" s="1">
        <v>150</v>
      </c>
      <c r="K1359" s="1">
        <v>1500</v>
      </c>
      <c r="L1359" s="1">
        <v>0</v>
      </c>
      <c r="M1359" s="1" t="s">
        <v>2016</v>
      </c>
      <c r="N1359" s="1" t="s">
        <v>1771</v>
      </c>
      <c r="O1359" s="1">
        <v>0</v>
      </c>
      <c r="P1359" s="1" t="s">
        <v>2071</v>
      </c>
      <c r="Q1359" s="7" t="s">
        <v>2531</v>
      </c>
    </row>
    <row r="1360" spans="1:17" ht="14.25" thickBot="1">
      <c r="A1360" s="1" t="s">
        <v>1476</v>
      </c>
      <c r="B1360" s="3">
        <v>1</v>
      </c>
      <c r="C1360" s="9" t="s">
        <v>2203</v>
      </c>
      <c r="D1360" s="1" t="str">
        <f t="shared" si="102"/>
        <v>副手武器</v>
      </c>
      <c r="E1360" s="1">
        <f>INDEX([1]游戏类型定义!$C$20:$C$29,MATCH(D1360,[1]!装备部位,0))</f>
        <v>6</v>
      </c>
      <c r="F1360" s="1">
        <v>5</v>
      </c>
      <c r="G1360" s="1">
        <f t="shared" si="103"/>
        <v>5</v>
      </c>
      <c r="H1360" s="10" t="s">
        <v>2321</v>
      </c>
      <c r="I1360" s="1">
        <v>10000</v>
      </c>
      <c r="J1360" s="1">
        <v>150</v>
      </c>
      <c r="K1360" s="1">
        <v>1500</v>
      </c>
      <c r="L1360" s="1">
        <v>0</v>
      </c>
      <c r="M1360" s="1" t="s">
        <v>1822</v>
      </c>
      <c r="N1360" s="1" t="s">
        <v>1771</v>
      </c>
      <c r="O1360" s="1">
        <v>0</v>
      </c>
      <c r="P1360" s="1" t="s">
        <v>2071</v>
      </c>
      <c r="Q1360" s="7" t="s">
        <v>2331</v>
      </c>
    </row>
    <row r="1361" spans="1:17" ht="14.25" thickBot="1">
      <c r="A1361" s="1" t="s">
        <v>1477</v>
      </c>
      <c r="B1361" s="2">
        <v>0</v>
      </c>
      <c r="C1361" s="9" t="s">
        <v>2042</v>
      </c>
      <c r="D1361" s="1" t="str">
        <f t="shared" si="102"/>
        <v>副手武器</v>
      </c>
      <c r="E1361" s="1">
        <f>INDEX([1]游戏类型定义!$C$20:$C$29,MATCH(D1361,[1]!装备部位,0))</f>
        <v>6</v>
      </c>
      <c r="F1361" s="1">
        <v>5</v>
      </c>
      <c r="G1361" s="1">
        <f t="shared" si="103"/>
        <v>5</v>
      </c>
      <c r="H1361" s="10" t="s">
        <v>2321</v>
      </c>
      <c r="I1361" s="1">
        <v>16000</v>
      </c>
      <c r="J1361" s="1">
        <v>150</v>
      </c>
      <c r="K1361" s="1">
        <v>1500</v>
      </c>
      <c r="L1361" s="1">
        <v>0</v>
      </c>
      <c r="M1361" s="1" t="s">
        <v>1823</v>
      </c>
      <c r="N1361" s="1" t="s">
        <v>1771</v>
      </c>
      <c r="O1361" s="1">
        <v>0</v>
      </c>
      <c r="P1361" s="1" t="s">
        <v>2071</v>
      </c>
      <c r="Q1361" s="7" t="s">
        <v>2060</v>
      </c>
    </row>
    <row r="1362" spans="1:17" ht="14.25" thickBot="1">
      <c r="A1362" s="1" t="s">
        <v>1478</v>
      </c>
      <c r="B1362" s="3">
        <v>1</v>
      </c>
      <c r="C1362" s="9" t="s">
        <v>2204</v>
      </c>
      <c r="D1362" s="1" t="str">
        <f t="shared" si="102"/>
        <v>主手武器</v>
      </c>
      <c r="E1362" s="1">
        <f>INDEX([1]游戏类型定义!$C$20:$C$29,MATCH(D1362,[1]!装备部位,0))</f>
        <v>5</v>
      </c>
      <c r="F1362" s="1">
        <v>5</v>
      </c>
      <c r="G1362" s="1">
        <f t="shared" si="103"/>
        <v>5</v>
      </c>
      <c r="H1362" s="10" t="s">
        <v>2322</v>
      </c>
      <c r="I1362" s="1">
        <v>10000</v>
      </c>
      <c r="J1362" s="1">
        <v>150</v>
      </c>
      <c r="K1362" s="1">
        <v>1500</v>
      </c>
      <c r="L1362" s="1">
        <v>0</v>
      </c>
      <c r="M1362" s="1" t="s">
        <v>1819</v>
      </c>
      <c r="N1362" s="1" t="s">
        <v>1771</v>
      </c>
      <c r="O1362" s="1">
        <v>0</v>
      </c>
      <c r="P1362" s="1" t="s">
        <v>2071</v>
      </c>
      <c r="Q1362" s="7" t="s">
        <v>2332</v>
      </c>
    </row>
    <row r="1363" spans="1:17" ht="14.25" thickBot="1">
      <c r="A1363" s="1" t="s">
        <v>1479</v>
      </c>
      <c r="B1363" s="3">
        <v>1</v>
      </c>
      <c r="C1363" s="9" t="s">
        <v>2205</v>
      </c>
      <c r="D1363" s="1" t="str">
        <f t="shared" si="102"/>
        <v>主手武器</v>
      </c>
      <c r="E1363" s="1">
        <f>INDEX([1]游戏类型定义!$C$20:$C$29,MATCH(D1363,[1]!装备部位,0))</f>
        <v>5</v>
      </c>
      <c r="F1363" s="1">
        <v>5</v>
      </c>
      <c r="G1363" s="1">
        <f t="shared" si="103"/>
        <v>5</v>
      </c>
      <c r="H1363" s="10" t="s">
        <v>2322</v>
      </c>
      <c r="I1363" s="1">
        <v>16000</v>
      </c>
      <c r="J1363" s="1">
        <v>150</v>
      </c>
      <c r="K1363" s="1">
        <v>1500</v>
      </c>
      <c r="L1363" s="1">
        <v>0</v>
      </c>
      <c r="M1363" s="1" t="s">
        <v>2016</v>
      </c>
      <c r="N1363" s="1" t="s">
        <v>1771</v>
      </c>
      <c r="O1363" s="1">
        <v>0</v>
      </c>
      <c r="P1363" s="1" t="s">
        <v>2071</v>
      </c>
      <c r="Q1363" s="7" t="s">
        <v>2333</v>
      </c>
    </row>
    <row r="1364" spans="1:17" ht="14.25" thickBot="1">
      <c r="A1364" s="1" t="s">
        <v>1480</v>
      </c>
      <c r="B1364" s="3">
        <v>1</v>
      </c>
      <c r="C1364" s="9" t="s">
        <v>2206</v>
      </c>
      <c r="D1364" s="1" t="str">
        <f t="shared" si="102"/>
        <v>副手武器</v>
      </c>
      <c r="E1364" s="1">
        <f>INDEX([1]游戏类型定义!$C$20:$C$29,MATCH(D1364,[1]!装备部位,0))</f>
        <v>6</v>
      </c>
      <c r="F1364" s="1">
        <v>5</v>
      </c>
      <c r="G1364" s="1">
        <f t="shared" si="103"/>
        <v>5</v>
      </c>
      <c r="H1364" s="10" t="s">
        <v>2322</v>
      </c>
      <c r="I1364" s="1">
        <v>10000</v>
      </c>
      <c r="J1364" s="1">
        <v>150</v>
      </c>
      <c r="K1364" s="1">
        <v>1500</v>
      </c>
      <c r="L1364" s="1">
        <v>0</v>
      </c>
      <c r="M1364" s="1" t="s">
        <v>1824</v>
      </c>
      <c r="N1364" s="1" t="s">
        <v>1771</v>
      </c>
      <c r="O1364" s="1">
        <v>0</v>
      </c>
      <c r="P1364" s="1" t="s">
        <v>2071</v>
      </c>
      <c r="Q1364" s="7" t="s">
        <v>2334</v>
      </c>
    </row>
    <row r="1365" spans="1:17" ht="14.25" thickBot="1">
      <c r="A1365" s="1" t="s">
        <v>1481</v>
      </c>
      <c r="B1365" s="2">
        <v>0</v>
      </c>
      <c r="C1365" s="9" t="s">
        <v>2050</v>
      </c>
      <c r="D1365" s="1" t="str">
        <f t="shared" si="102"/>
        <v>副手武器</v>
      </c>
      <c r="E1365" s="1">
        <f>INDEX([1]游戏类型定义!$C$20:$C$29,MATCH(D1365,[1]!装备部位,0))</f>
        <v>6</v>
      </c>
      <c r="F1365" s="1">
        <v>5</v>
      </c>
      <c r="G1365" s="1">
        <f t="shared" si="103"/>
        <v>5</v>
      </c>
      <c r="H1365" s="10" t="s">
        <v>2322</v>
      </c>
      <c r="I1365" s="1">
        <v>16000</v>
      </c>
      <c r="J1365" s="1">
        <v>150</v>
      </c>
      <c r="K1365" s="1">
        <v>1500</v>
      </c>
      <c r="L1365" s="1">
        <v>0</v>
      </c>
      <c r="M1365" s="1" t="s">
        <v>1825</v>
      </c>
      <c r="N1365" s="1" t="s">
        <v>1771</v>
      </c>
      <c r="O1365" s="1">
        <v>0</v>
      </c>
      <c r="P1365" s="1" t="s">
        <v>2071</v>
      </c>
      <c r="Q1365" s="7" t="s">
        <v>2062</v>
      </c>
    </row>
    <row r="1366" spans="1:17" ht="14.25" thickBot="1">
      <c r="A1366" s="1" t="s">
        <v>1482</v>
      </c>
      <c r="B1366" s="3">
        <v>1</v>
      </c>
      <c r="C1366" s="1" t="s">
        <v>2157</v>
      </c>
      <c r="D1366" s="1" t="str">
        <f t="shared" si="102"/>
        <v>胸甲</v>
      </c>
      <c r="E1366" s="1">
        <f>INDEX([1]游戏类型定义!$C$20:$C$29,MATCH(D1366,[1]!装备部位,0))</f>
        <v>4</v>
      </c>
      <c r="F1366" s="1">
        <v>5</v>
      </c>
      <c r="G1366" s="1">
        <f t="shared" si="103"/>
        <v>5</v>
      </c>
      <c r="H1366" s="10">
        <v>0</v>
      </c>
      <c r="I1366" s="1">
        <v>10000</v>
      </c>
      <c r="J1366" s="1">
        <v>150</v>
      </c>
      <c r="K1366" s="1">
        <v>1500</v>
      </c>
      <c r="L1366" s="1">
        <v>0</v>
      </c>
      <c r="M1366" s="1" t="s">
        <v>1826</v>
      </c>
      <c r="N1366" s="1" t="s">
        <v>1770</v>
      </c>
      <c r="O1366" s="1">
        <v>0</v>
      </c>
      <c r="P1366" s="1" t="s">
        <v>2071</v>
      </c>
      <c r="Q1366" s="7" t="s">
        <v>2335</v>
      </c>
    </row>
    <row r="1367" spans="1:17" ht="14.25" thickBot="1">
      <c r="A1367" s="1" t="s">
        <v>1483</v>
      </c>
      <c r="B1367" s="3">
        <v>1</v>
      </c>
      <c r="C1367" s="1" t="s">
        <v>2158</v>
      </c>
      <c r="D1367" s="1" t="str">
        <f t="shared" si="102"/>
        <v>胸甲</v>
      </c>
      <c r="E1367" s="1">
        <f>INDEX([1]游戏类型定义!$C$20:$C$29,MATCH(D1367,[1]!装备部位,0))</f>
        <v>4</v>
      </c>
      <c r="F1367" s="1">
        <v>5</v>
      </c>
      <c r="G1367" s="1">
        <f t="shared" si="103"/>
        <v>5</v>
      </c>
      <c r="H1367" s="10">
        <v>0</v>
      </c>
      <c r="I1367" s="1">
        <v>16000</v>
      </c>
      <c r="J1367" s="1">
        <v>150</v>
      </c>
      <c r="K1367" s="1">
        <v>1500</v>
      </c>
      <c r="L1367" s="1">
        <v>0</v>
      </c>
      <c r="M1367" s="1" t="s">
        <v>1827</v>
      </c>
      <c r="N1367" s="1" t="s">
        <v>1770</v>
      </c>
      <c r="O1367" s="1">
        <v>0</v>
      </c>
      <c r="P1367" s="1" t="s">
        <v>2071</v>
      </c>
      <c r="Q1367" s="7" t="s">
        <v>2336</v>
      </c>
    </row>
    <row r="1368" spans="1:17" ht="14.25" thickBot="1">
      <c r="A1368" s="1" t="s">
        <v>1484</v>
      </c>
      <c r="B1368" s="3">
        <v>1</v>
      </c>
      <c r="C1368" s="1" t="s">
        <v>2037</v>
      </c>
      <c r="D1368" s="1" t="str">
        <f t="shared" si="102"/>
        <v>护腿</v>
      </c>
      <c r="E1368" s="1">
        <f>INDEX([1]游戏类型定义!$C$20:$C$29,MATCH(D1368,[1]!装备部位,0))</f>
        <v>7</v>
      </c>
      <c r="F1368" s="1">
        <v>5</v>
      </c>
      <c r="G1368" s="1">
        <f t="shared" si="103"/>
        <v>5</v>
      </c>
      <c r="H1368" s="10">
        <v>0</v>
      </c>
      <c r="I1368" s="1">
        <v>10000</v>
      </c>
      <c r="J1368" s="1">
        <v>150</v>
      </c>
      <c r="K1368" s="1">
        <v>1500</v>
      </c>
      <c r="L1368" s="1">
        <v>0</v>
      </c>
      <c r="M1368" s="1" t="s">
        <v>1810</v>
      </c>
      <c r="N1368" s="1" t="s">
        <v>1770</v>
      </c>
      <c r="O1368" s="1">
        <v>0</v>
      </c>
      <c r="P1368" s="1" t="s">
        <v>2071</v>
      </c>
      <c r="Q1368" s="7" t="s">
        <v>2064</v>
      </c>
    </row>
    <row r="1369" spans="1:17" ht="14.25" thickBot="1">
      <c r="A1369" s="1" t="s">
        <v>1485</v>
      </c>
      <c r="B1369" s="3">
        <v>1</v>
      </c>
      <c r="C1369" s="1" t="s">
        <v>2174</v>
      </c>
      <c r="D1369" s="1" t="str">
        <f t="shared" si="102"/>
        <v>护腿</v>
      </c>
      <c r="E1369" s="1">
        <f>INDEX([1]游戏类型定义!$C$20:$C$29,MATCH(D1369,[1]!装备部位,0))</f>
        <v>7</v>
      </c>
      <c r="F1369" s="1">
        <v>5</v>
      </c>
      <c r="G1369" s="1">
        <f t="shared" si="103"/>
        <v>5</v>
      </c>
      <c r="H1369" s="10">
        <v>0</v>
      </c>
      <c r="I1369" s="1">
        <v>16000</v>
      </c>
      <c r="J1369" s="1">
        <v>150</v>
      </c>
      <c r="K1369" s="1">
        <v>1500</v>
      </c>
      <c r="L1369" s="1">
        <v>0</v>
      </c>
      <c r="M1369" s="1" t="s">
        <v>1828</v>
      </c>
      <c r="N1369" s="1" t="s">
        <v>1770</v>
      </c>
      <c r="O1369" s="1">
        <v>0</v>
      </c>
      <c r="P1369" s="1" t="s">
        <v>2071</v>
      </c>
      <c r="Q1369" s="7" t="s">
        <v>2337</v>
      </c>
    </row>
    <row r="1370" spans="1:17" ht="14.25" thickBot="1">
      <c r="A1370" s="1" t="s">
        <v>1486</v>
      </c>
      <c r="B1370" s="3">
        <v>1</v>
      </c>
      <c r="C1370" s="1" t="s">
        <v>2102</v>
      </c>
      <c r="D1370" s="1" t="str">
        <f t="shared" si="102"/>
        <v>头盔</v>
      </c>
      <c r="E1370" s="1">
        <f>INDEX([1]游戏类型定义!$C$20:$C$29,MATCH(D1370,[1]!装备部位,0))</f>
        <v>1</v>
      </c>
      <c r="F1370" s="1">
        <v>5</v>
      </c>
      <c r="G1370" s="1">
        <f t="shared" si="103"/>
        <v>10</v>
      </c>
      <c r="H1370" s="10">
        <v>0</v>
      </c>
      <c r="I1370" s="1">
        <v>20000</v>
      </c>
      <c r="J1370" s="1">
        <v>150</v>
      </c>
      <c r="K1370" s="1">
        <v>1500</v>
      </c>
      <c r="L1370" s="1">
        <v>7500</v>
      </c>
      <c r="M1370" s="1" t="s">
        <v>1829</v>
      </c>
      <c r="N1370" s="1" t="s">
        <v>1772</v>
      </c>
      <c r="O1370" s="1">
        <v>0</v>
      </c>
      <c r="P1370" s="1" t="s">
        <v>2072</v>
      </c>
      <c r="Q1370" s="7" t="s">
        <v>2338</v>
      </c>
    </row>
    <row r="1371" spans="1:17" ht="14.25" thickBot="1">
      <c r="A1371" s="1" t="s">
        <v>1487</v>
      </c>
      <c r="B1371" s="3">
        <v>1</v>
      </c>
      <c r="C1371" s="1" t="s">
        <v>2108</v>
      </c>
      <c r="D1371" s="1" t="str">
        <f t="shared" si="102"/>
        <v>戒指</v>
      </c>
      <c r="E1371" s="1">
        <f>INDEX([1]游戏类型定义!$C$20:$C$29,MATCH(D1371,[1]!装备部位,0))</f>
        <v>2</v>
      </c>
      <c r="F1371" s="1">
        <v>5</v>
      </c>
      <c r="G1371" s="1">
        <f t="shared" si="103"/>
        <v>10</v>
      </c>
      <c r="H1371" s="10">
        <v>0</v>
      </c>
      <c r="I1371" s="1">
        <v>20000</v>
      </c>
      <c r="J1371" s="1">
        <v>150</v>
      </c>
      <c r="K1371" s="1">
        <v>1500</v>
      </c>
      <c r="L1371" s="1">
        <v>7500</v>
      </c>
      <c r="M1371" s="1" t="s">
        <v>1830</v>
      </c>
      <c r="N1371" s="1" t="s">
        <v>1772</v>
      </c>
      <c r="O1371" s="1">
        <v>0</v>
      </c>
      <c r="P1371" s="1" t="s">
        <v>2072</v>
      </c>
      <c r="Q1371" s="7" t="s">
        <v>2339</v>
      </c>
    </row>
    <row r="1372" spans="1:17" ht="14.25" thickBot="1">
      <c r="A1372" s="1" t="s">
        <v>1488</v>
      </c>
      <c r="B1372" s="3">
        <v>1</v>
      </c>
      <c r="C1372" s="1" t="s">
        <v>2087</v>
      </c>
      <c r="D1372" s="1" t="str">
        <f t="shared" si="102"/>
        <v>腰带</v>
      </c>
      <c r="E1372" s="1">
        <f>INDEX([1]游戏类型定义!$C$20:$C$29,MATCH(D1372,[1]!装备部位,0))</f>
        <v>3</v>
      </c>
      <c r="F1372" s="1">
        <v>5</v>
      </c>
      <c r="G1372" s="1">
        <f t="shared" si="103"/>
        <v>10</v>
      </c>
      <c r="H1372" s="10">
        <v>0</v>
      </c>
      <c r="I1372" s="1">
        <v>20000</v>
      </c>
      <c r="J1372" s="1">
        <v>150</v>
      </c>
      <c r="K1372" s="1">
        <v>1500</v>
      </c>
      <c r="L1372" s="1">
        <v>7500</v>
      </c>
      <c r="M1372" s="1" t="s">
        <v>1831</v>
      </c>
      <c r="N1372" s="1" t="s">
        <v>1772</v>
      </c>
      <c r="O1372" s="1">
        <v>0</v>
      </c>
      <c r="P1372" s="1" t="s">
        <v>2072</v>
      </c>
      <c r="Q1372" s="7" t="s">
        <v>2340</v>
      </c>
    </row>
    <row r="1373" spans="1:17" ht="14.25" thickBot="1">
      <c r="A1373" s="1" t="s">
        <v>1489</v>
      </c>
      <c r="B1373" s="3">
        <v>1</v>
      </c>
      <c r="C1373" s="1" t="s">
        <v>2120</v>
      </c>
      <c r="D1373" s="1" t="str">
        <f t="shared" si="102"/>
        <v>鞋子</v>
      </c>
      <c r="E1373" s="1">
        <f>INDEX([1]游戏类型定义!$C$20:$C$29,MATCH(D1373,[1]!装备部位,0))</f>
        <v>8</v>
      </c>
      <c r="F1373" s="1">
        <v>5</v>
      </c>
      <c r="G1373" s="1">
        <f t="shared" si="103"/>
        <v>10</v>
      </c>
      <c r="H1373" s="10">
        <v>0</v>
      </c>
      <c r="I1373" s="1">
        <v>20000</v>
      </c>
      <c r="J1373" s="1">
        <v>150</v>
      </c>
      <c r="K1373" s="1">
        <v>1500</v>
      </c>
      <c r="L1373" s="1">
        <v>7500</v>
      </c>
      <c r="M1373" s="1" t="s">
        <v>1832</v>
      </c>
      <c r="N1373" s="1" t="s">
        <v>1772</v>
      </c>
      <c r="O1373" s="1">
        <v>0</v>
      </c>
      <c r="P1373" s="1" t="s">
        <v>2072</v>
      </c>
      <c r="Q1373" s="7" t="s">
        <v>2341</v>
      </c>
    </row>
    <row r="1374" spans="1:17" ht="14.25" thickBot="1">
      <c r="A1374" s="1" t="s">
        <v>1490</v>
      </c>
      <c r="B1374" s="3">
        <v>1</v>
      </c>
      <c r="C1374" s="1" t="s">
        <v>2132</v>
      </c>
      <c r="D1374" s="1" t="str">
        <f t="shared" si="102"/>
        <v>手套</v>
      </c>
      <c r="E1374" s="1">
        <f>INDEX([1]游戏类型定义!$C$20:$C$29,MATCH(D1374,[1]!装备部位,0))</f>
        <v>9</v>
      </c>
      <c r="F1374" s="1">
        <v>5</v>
      </c>
      <c r="G1374" s="1">
        <f t="shared" si="103"/>
        <v>10</v>
      </c>
      <c r="H1374" s="10">
        <v>0</v>
      </c>
      <c r="I1374" s="1">
        <v>20000</v>
      </c>
      <c r="J1374" s="1">
        <v>150</v>
      </c>
      <c r="K1374" s="1">
        <v>1500</v>
      </c>
      <c r="L1374" s="1">
        <v>7500</v>
      </c>
      <c r="M1374" s="1" t="s">
        <v>1833</v>
      </c>
      <c r="N1374" s="1" t="s">
        <v>1772</v>
      </c>
      <c r="O1374" s="1">
        <v>0</v>
      </c>
      <c r="P1374" s="1" t="s">
        <v>2072</v>
      </c>
      <c r="Q1374" s="7" t="s">
        <v>2342</v>
      </c>
    </row>
    <row r="1375" spans="1:17" ht="14.25" thickBot="1">
      <c r="A1375" s="1" t="s">
        <v>1491</v>
      </c>
      <c r="B1375" s="2">
        <v>0</v>
      </c>
      <c r="C1375" s="1" t="s">
        <v>2034</v>
      </c>
      <c r="D1375" s="1" t="str">
        <f t="shared" si="102"/>
        <v>项链</v>
      </c>
      <c r="E1375" s="1">
        <f>INDEX([1]游戏类型定义!$C$20:$C$29,MATCH(D1375,[1]!装备部位,0))</f>
        <v>10</v>
      </c>
      <c r="F1375" s="1">
        <v>5</v>
      </c>
      <c r="G1375" s="1">
        <f t="shared" si="103"/>
        <v>10</v>
      </c>
      <c r="H1375" s="10">
        <v>0</v>
      </c>
      <c r="I1375" s="1">
        <v>20000</v>
      </c>
      <c r="J1375" s="1">
        <v>150</v>
      </c>
      <c r="K1375" s="1">
        <v>1500</v>
      </c>
      <c r="L1375" s="1">
        <v>7500</v>
      </c>
      <c r="M1375" s="1" t="s">
        <v>1818</v>
      </c>
      <c r="N1375" s="1" t="s">
        <v>1772</v>
      </c>
      <c r="O1375" s="1">
        <v>0</v>
      </c>
      <c r="P1375" s="1" t="s">
        <v>2072</v>
      </c>
      <c r="Q1375" s="7" t="s">
        <v>2056</v>
      </c>
    </row>
    <row r="1376" spans="1:17" ht="14.25" thickBot="1">
      <c r="A1376" s="1" t="s">
        <v>1492</v>
      </c>
      <c r="B1376" s="3">
        <v>1</v>
      </c>
      <c r="C1376" s="9" t="s">
        <v>2207</v>
      </c>
      <c r="D1376" s="1" t="str">
        <f t="shared" ref="D1376:D1395" si="104">D1046</f>
        <v>主手武器</v>
      </c>
      <c r="E1376" s="1">
        <f>INDEX([1]游戏类型定义!$C$20:$C$29,MATCH(D1376,[1]!装备部位,0))</f>
        <v>5</v>
      </c>
      <c r="F1376" s="1">
        <v>5</v>
      </c>
      <c r="G1376" s="1">
        <f t="shared" ref="G1376:G1395" si="105">G1046</f>
        <v>10</v>
      </c>
      <c r="H1376" s="10" t="s">
        <v>2320</v>
      </c>
      <c r="I1376" s="1">
        <v>20000</v>
      </c>
      <c r="J1376" s="1">
        <v>150</v>
      </c>
      <c r="K1376" s="1">
        <v>1500</v>
      </c>
      <c r="L1376" s="1">
        <v>7500</v>
      </c>
      <c r="M1376" s="1" t="s">
        <v>1834</v>
      </c>
      <c r="N1376" s="1" t="s">
        <v>1773</v>
      </c>
      <c r="O1376" s="1">
        <v>0</v>
      </c>
      <c r="P1376" s="1" t="s">
        <v>2072</v>
      </c>
      <c r="Q1376" s="7" t="s">
        <v>2343</v>
      </c>
    </row>
    <row r="1377" spans="1:17" ht="14.25" thickBot="1">
      <c r="A1377" s="1" t="s">
        <v>1493</v>
      </c>
      <c r="B1377" s="3">
        <v>1</v>
      </c>
      <c r="C1377" s="9" t="s">
        <v>2208</v>
      </c>
      <c r="D1377" s="1" t="str">
        <f t="shared" si="104"/>
        <v>主手武器</v>
      </c>
      <c r="E1377" s="1">
        <f>INDEX([1]游戏类型定义!$C$20:$C$29,MATCH(D1377,[1]!装备部位,0))</f>
        <v>5</v>
      </c>
      <c r="F1377" s="1">
        <v>5</v>
      </c>
      <c r="G1377" s="1">
        <f t="shared" si="105"/>
        <v>10</v>
      </c>
      <c r="H1377" s="10" t="s">
        <v>2320</v>
      </c>
      <c r="I1377" s="1">
        <v>26000</v>
      </c>
      <c r="J1377" s="1">
        <v>150</v>
      </c>
      <c r="K1377" s="1">
        <v>1500</v>
      </c>
      <c r="L1377" s="1">
        <v>10000</v>
      </c>
      <c r="M1377" s="1" t="s">
        <v>1835</v>
      </c>
      <c r="N1377" s="1" t="s">
        <v>1773</v>
      </c>
      <c r="O1377" s="1">
        <v>0</v>
      </c>
      <c r="P1377" s="1" t="s">
        <v>2072</v>
      </c>
      <c r="Q1377" s="7" t="s">
        <v>2344</v>
      </c>
    </row>
    <row r="1378" spans="1:17" ht="14.25" thickBot="1">
      <c r="A1378" s="1" t="s">
        <v>1494</v>
      </c>
      <c r="B1378" s="3">
        <v>1</v>
      </c>
      <c r="C1378" s="9" t="s">
        <v>2199</v>
      </c>
      <c r="D1378" s="1" t="str">
        <f t="shared" si="104"/>
        <v>副手武器</v>
      </c>
      <c r="E1378" s="1">
        <f>INDEX([1]游戏类型定义!$C$20:$C$29,MATCH(D1378,[1]!装备部位,0))</f>
        <v>6</v>
      </c>
      <c r="F1378" s="1">
        <v>5</v>
      </c>
      <c r="G1378" s="1">
        <f t="shared" si="105"/>
        <v>10</v>
      </c>
      <c r="H1378" s="10" t="s">
        <v>2320</v>
      </c>
      <c r="I1378" s="1">
        <v>20000</v>
      </c>
      <c r="J1378" s="1">
        <v>150</v>
      </c>
      <c r="K1378" s="1">
        <v>1500</v>
      </c>
      <c r="L1378" s="1">
        <v>7500</v>
      </c>
      <c r="M1378" s="1" t="s">
        <v>1836</v>
      </c>
      <c r="N1378" s="1" t="s">
        <v>1773</v>
      </c>
      <c r="O1378" s="1">
        <v>0</v>
      </c>
      <c r="P1378" s="1" t="s">
        <v>2072</v>
      </c>
      <c r="Q1378" s="7" t="s">
        <v>2345</v>
      </c>
    </row>
    <row r="1379" spans="1:17" ht="14.25" thickBot="1">
      <c r="A1379" s="1" t="s">
        <v>1495</v>
      </c>
      <c r="B1379" s="2">
        <v>0</v>
      </c>
      <c r="C1379" s="9" t="s">
        <v>2044</v>
      </c>
      <c r="D1379" s="1" t="str">
        <f t="shared" si="104"/>
        <v>副手武器</v>
      </c>
      <c r="E1379" s="1">
        <f>INDEX([1]游戏类型定义!$C$20:$C$29,MATCH(D1379,[1]!装备部位,0))</f>
        <v>6</v>
      </c>
      <c r="F1379" s="1">
        <v>5</v>
      </c>
      <c r="G1379" s="1">
        <f t="shared" si="105"/>
        <v>10</v>
      </c>
      <c r="H1379" s="10" t="s">
        <v>2320</v>
      </c>
      <c r="I1379" s="1">
        <v>26000</v>
      </c>
      <c r="J1379" s="1">
        <v>150</v>
      </c>
      <c r="K1379" s="1">
        <v>1500</v>
      </c>
      <c r="L1379" s="1">
        <v>10000</v>
      </c>
      <c r="M1379" s="1" t="s">
        <v>1837</v>
      </c>
      <c r="N1379" s="1" t="s">
        <v>1773</v>
      </c>
      <c r="O1379" s="1">
        <v>0</v>
      </c>
      <c r="P1379" s="1" t="s">
        <v>2072</v>
      </c>
      <c r="Q1379" s="7" t="s">
        <v>2058</v>
      </c>
    </row>
    <row r="1380" spans="1:17" ht="14.25" thickBot="1">
      <c r="A1380" s="1" t="s">
        <v>1496</v>
      </c>
      <c r="B1380" s="3">
        <v>1</v>
      </c>
      <c r="C1380" s="1" t="s">
        <v>2209</v>
      </c>
      <c r="D1380" s="1" t="str">
        <f t="shared" si="104"/>
        <v>主手武器</v>
      </c>
      <c r="E1380" s="1">
        <f>INDEX([1]游戏类型定义!$C$20:$C$29,MATCH(D1380,[1]!装备部位,0))</f>
        <v>5</v>
      </c>
      <c r="F1380" s="1">
        <v>5</v>
      </c>
      <c r="G1380" s="1">
        <f t="shared" si="105"/>
        <v>10</v>
      </c>
      <c r="H1380" s="10" t="s">
        <v>2321</v>
      </c>
      <c r="I1380" s="1">
        <v>20000</v>
      </c>
      <c r="J1380" s="1">
        <v>150</v>
      </c>
      <c r="K1380" s="1">
        <v>1500</v>
      </c>
      <c r="L1380" s="1">
        <v>7500</v>
      </c>
      <c r="M1380" s="1" t="s">
        <v>1834</v>
      </c>
      <c r="N1380" s="1" t="s">
        <v>1773</v>
      </c>
      <c r="O1380" s="1">
        <v>0</v>
      </c>
      <c r="P1380" s="1" t="s">
        <v>2072</v>
      </c>
      <c r="Q1380" s="7" t="s">
        <v>2346</v>
      </c>
    </row>
    <row r="1381" spans="1:17" ht="14.25" thickBot="1">
      <c r="A1381" s="1" t="s">
        <v>1497</v>
      </c>
      <c r="B1381" s="3">
        <v>1</v>
      </c>
      <c r="C1381" s="1" t="s">
        <v>2210</v>
      </c>
      <c r="D1381" s="1" t="str">
        <f t="shared" si="104"/>
        <v>主手武器</v>
      </c>
      <c r="E1381" s="1">
        <f>INDEX([1]游戏类型定义!$C$20:$C$29,MATCH(D1381,[1]!装备部位,0))</f>
        <v>5</v>
      </c>
      <c r="F1381" s="1">
        <v>5</v>
      </c>
      <c r="G1381" s="1">
        <f t="shared" si="105"/>
        <v>10</v>
      </c>
      <c r="H1381" s="10" t="s">
        <v>2321</v>
      </c>
      <c r="I1381" s="1">
        <v>26000</v>
      </c>
      <c r="J1381" s="1">
        <v>150</v>
      </c>
      <c r="K1381" s="1">
        <v>1500</v>
      </c>
      <c r="L1381" s="1">
        <v>10000</v>
      </c>
      <c r="M1381" s="1" t="s">
        <v>1835</v>
      </c>
      <c r="N1381" s="1" t="s">
        <v>1773</v>
      </c>
      <c r="O1381" s="1">
        <v>0</v>
      </c>
      <c r="P1381" s="1" t="s">
        <v>2072</v>
      </c>
      <c r="Q1381" s="7" t="s">
        <v>2347</v>
      </c>
    </row>
    <row r="1382" spans="1:17" ht="14.25" thickBot="1">
      <c r="A1382" s="1" t="s">
        <v>1498</v>
      </c>
      <c r="B1382" s="3">
        <v>1</v>
      </c>
      <c r="C1382" s="9" t="s">
        <v>2211</v>
      </c>
      <c r="D1382" s="1" t="str">
        <f t="shared" si="104"/>
        <v>副手武器</v>
      </c>
      <c r="E1382" s="1">
        <f>INDEX([1]游戏类型定义!$C$20:$C$29,MATCH(D1382,[1]!装备部位,0))</f>
        <v>6</v>
      </c>
      <c r="F1382" s="1">
        <v>5</v>
      </c>
      <c r="G1382" s="1">
        <f t="shared" si="105"/>
        <v>10</v>
      </c>
      <c r="H1382" s="10" t="s">
        <v>2321</v>
      </c>
      <c r="I1382" s="1">
        <v>20000</v>
      </c>
      <c r="J1382" s="1">
        <v>150</v>
      </c>
      <c r="K1382" s="1">
        <v>1500</v>
      </c>
      <c r="L1382" s="1">
        <v>7500</v>
      </c>
      <c r="M1382" s="1" t="s">
        <v>1838</v>
      </c>
      <c r="N1382" s="1" t="s">
        <v>1773</v>
      </c>
      <c r="O1382" s="1">
        <v>0</v>
      </c>
      <c r="P1382" s="1" t="s">
        <v>2072</v>
      </c>
      <c r="Q1382" s="7" t="s">
        <v>2348</v>
      </c>
    </row>
    <row r="1383" spans="1:17" ht="14.25" thickBot="1">
      <c r="A1383" s="1" t="s">
        <v>1499</v>
      </c>
      <c r="B1383" s="2">
        <v>0</v>
      </c>
      <c r="C1383" s="9" t="s">
        <v>2042</v>
      </c>
      <c r="D1383" s="1" t="str">
        <f t="shared" si="104"/>
        <v>副手武器</v>
      </c>
      <c r="E1383" s="1">
        <f>INDEX([1]游戏类型定义!$C$20:$C$29,MATCH(D1383,[1]!装备部位,0))</f>
        <v>6</v>
      </c>
      <c r="F1383" s="1">
        <v>5</v>
      </c>
      <c r="G1383" s="1">
        <f t="shared" si="105"/>
        <v>10</v>
      </c>
      <c r="H1383" s="10" t="s">
        <v>2321</v>
      </c>
      <c r="I1383" s="1">
        <v>26000</v>
      </c>
      <c r="J1383" s="1">
        <v>150</v>
      </c>
      <c r="K1383" s="1">
        <v>1500</v>
      </c>
      <c r="L1383" s="1">
        <v>10000</v>
      </c>
      <c r="M1383" s="1" t="s">
        <v>1839</v>
      </c>
      <c r="N1383" s="1" t="s">
        <v>1773</v>
      </c>
      <c r="O1383" s="1">
        <v>0</v>
      </c>
      <c r="P1383" s="1" t="s">
        <v>2072</v>
      </c>
      <c r="Q1383" s="7" t="s">
        <v>2060</v>
      </c>
    </row>
    <row r="1384" spans="1:17" ht="14.25" thickBot="1">
      <c r="A1384" s="1" t="s">
        <v>1500</v>
      </c>
      <c r="B1384" s="3">
        <v>1</v>
      </c>
      <c r="C1384" s="9" t="s">
        <v>2213</v>
      </c>
      <c r="D1384" s="1" t="str">
        <f t="shared" si="104"/>
        <v>主手武器</v>
      </c>
      <c r="E1384" s="1">
        <f>INDEX([1]游戏类型定义!$C$20:$C$29,MATCH(D1384,[1]!装备部位,0))</f>
        <v>5</v>
      </c>
      <c r="F1384" s="1">
        <v>5</v>
      </c>
      <c r="G1384" s="1">
        <f t="shared" si="105"/>
        <v>10</v>
      </c>
      <c r="H1384" s="10" t="s">
        <v>2322</v>
      </c>
      <c r="I1384" s="1">
        <v>20000</v>
      </c>
      <c r="J1384" s="1">
        <v>150</v>
      </c>
      <c r="K1384" s="1">
        <v>1500</v>
      </c>
      <c r="L1384" s="1">
        <v>7500</v>
      </c>
      <c r="M1384" s="1" t="s">
        <v>1834</v>
      </c>
      <c r="N1384" s="1" t="s">
        <v>1773</v>
      </c>
      <c r="O1384" s="1">
        <v>0</v>
      </c>
      <c r="P1384" s="1" t="s">
        <v>2072</v>
      </c>
      <c r="Q1384" s="7" t="s">
        <v>2349</v>
      </c>
    </row>
    <row r="1385" spans="1:17" ht="14.25" thickBot="1">
      <c r="A1385" s="1" t="s">
        <v>1501</v>
      </c>
      <c r="B1385" s="3">
        <v>1</v>
      </c>
      <c r="C1385" s="9" t="s">
        <v>2212</v>
      </c>
      <c r="D1385" s="1" t="str">
        <f t="shared" si="104"/>
        <v>主手武器</v>
      </c>
      <c r="E1385" s="1">
        <f>INDEX([1]游戏类型定义!$C$20:$C$29,MATCH(D1385,[1]!装备部位,0))</f>
        <v>5</v>
      </c>
      <c r="F1385" s="1">
        <v>5</v>
      </c>
      <c r="G1385" s="1">
        <f t="shared" si="105"/>
        <v>10</v>
      </c>
      <c r="H1385" s="10" t="s">
        <v>2322</v>
      </c>
      <c r="I1385" s="1">
        <v>26000</v>
      </c>
      <c r="J1385" s="1">
        <v>150</v>
      </c>
      <c r="K1385" s="1">
        <v>1500</v>
      </c>
      <c r="L1385" s="1">
        <v>10000</v>
      </c>
      <c r="M1385" s="1" t="s">
        <v>1835</v>
      </c>
      <c r="N1385" s="1" t="s">
        <v>1773</v>
      </c>
      <c r="O1385" s="1">
        <v>0</v>
      </c>
      <c r="P1385" s="1" t="s">
        <v>2072</v>
      </c>
      <c r="Q1385" s="7" t="s">
        <v>2350</v>
      </c>
    </row>
    <row r="1386" spans="1:17" ht="14.25" thickBot="1">
      <c r="A1386" s="1" t="s">
        <v>1502</v>
      </c>
      <c r="B1386" s="3">
        <v>1</v>
      </c>
      <c r="C1386" s="9" t="s">
        <v>2214</v>
      </c>
      <c r="D1386" s="1" t="str">
        <f t="shared" si="104"/>
        <v>副手武器</v>
      </c>
      <c r="E1386" s="1">
        <f>INDEX([1]游戏类型定义!$C$20:$C$29,MATCH(D1386,[1]!装备部位,0))</f>
        <v>6</v>
      </c>
      <c r="F1386" s="1">
        <v>5</v>
      </c>
      <c r="G1386" s="1">
        <f t="shared" si="105"/>
        <v>10</v>
      </c>
      <c r="H1386" s="10" t="s">
        <v>2322</v>
      </c>
      <c r="I1386" s="1">
        <v>20000</v>
      </c>
      <c r="J1386" s="1">
        <v>150</v>
      </c>
      <c r="K1386" s="1">
        <v>1500</v>
      </c>
      <c r="L1386" s="1">
        <v>7500</v>
      </c>
      <c r="M1386" s="1" t="s">
        <v>1840</v>
      </c>
      <c r="N1386" s="1" t="s">
        <v>1773</v>
      </c>
      <c r="O1386" s="1">
        <v>0</v>
      </c>
      <c r="P1386" s="1" t="s">
        <v>2072</v>
      </c>
      <c r="Q1386" s="7" t="s">
        <v>2351</v>
      </c>
    </row>
    <row r="1387" spans="1:17" ht="14.25" thickBot="1">
      <c r="A1387" s="1" t="s">
        <v>1503</v>
      </c>
      <c r="B1387" s="2">
        <v>0</v>
      </c>
      <c r="C1387" s="9" t="s">
        <v>2050</v>
      </c>
      <c r="D1387" s="1" t="str">
        <f t="shared" si="104"/>
        <v>副手武器</v>
      </c>
      <c r="E1387" s="1">
        <f>INDEX([1]游戏类型定义!$C$20:$C$29,MATCH(D1387,[1]!装备部位,0))</f>
        <v>6</v>
      </c>
      <c r="F1387" s="1">
        <v>5</v>
      </c>
      <c r="G1387" s="1">
        <f t="shared" si="105"/>
        <v>10</v>
      </c>
      <c r="H1387" s="10" t="s">
        <v>2322</v>
      </c>
      <c r="I1387" s="1">
        <v>26000</v>
      </c>
      <c r="J1387" s="1">
        <v>150</v>
      </c>
      <c r="K1387" s="1">
        <v>1500</v>
      </c>
      <c r="L1387" s="1">
        <v>10000</v>
      </c>
      <c r="M1387" s="1" t="s">
        <v>1841</v>
      </c>
      <c r="N1387" s="1" t="s">
        <v>1773</v>
      </c>
      <c r="O1387" s="1">
        <v>0</v>
      </c>
      <c r="P1387" s="1" t="s">
        <v>2072</v>
      </c>
      <c r="Q1387" s="7" t="s">
        <v>2062</v>
      </c>
    </row>
    <row r="1388" spans="1:17" ht="14.25" thickBot="1">
      <c r="A1388" s="1" t="s">
        <v>1504</v>
      </c>
      <c r="B1388" s="3">
        <v>1</v>
      </c>
      <c r="C1388" s="1" t="s">
        <v>2159</v>
      </c>
      <c r="D1388" s="1" t="str">
        <f t="shared" si="104"/>
        <v>胸甲</v>
      </c>
      <c r="E1388" s="1">
        <f>INDEX([1]游戏类型定义!$C$20:$C$29,MATCH(D1388,[1]!装备部位,0))</f>
        <v>4</v>
      </c>
      <c r="F1388" s="1">
        <v>5</v>
      </c>
      <c r="G1388" s="1">
        <f t="shared" si="105"/>
        <v>10</v>
      </c>
      <c r="H1388" s="10">
        <v>0</v>
      </c>
      <c r="I1388" s="1">
        <v>20000</v>
      </c>
      <c r="J1388" s="1">
        <v>150</v>
      </c>
      <c r="K1388" s="1">
        <v>1500</v>
      </c>
      <c r="L1388" s="1">
        <v>7500</v>
      </c>
      <c r="M1388" s="1" t="s">
        <v>1842</v>
      </c>
      <c r="N1388" s="1" t="s">
        <v>1772</v>
      </c>
      <c r="O1388" s="1">
        <v>0</v>
      </c>
      <c r="P1388" s="1" t="s">
        <v>2072</v>
      </c>
      <c r="Q1388" s="7" t="s">
        <v>2336</v>
      </c>
    </row>
    <row r="1389" spans="1:17" ht="14.25" thickBot="1">
      <c r="A1389" s="1" t="s">
        <v>1505</v>
      </c>
      <c r="B1389" s="2">
        <v>0</v>
      </c>
      <c r="C1389" s="1" t="s">
        <v>2030</v>
      </c>
      <c r="D1389" s="1" t="str">
        <f t="shared" si="104"/>
        <v>胸甲</v>
      </c>
      <c r="E1389" s="1">
        <f>INDEX([1]游戏类型定义!$C$20:$C$29,MATCH(D1389,[1]!装备部位,0))</f>
        <v>4</v>
      </c>
      <c r="F1389" s="1">
        <v>5</v>
      </c>
      <c r="G1389" s="1">
        <f t="shared" si="105"/>
        <v>10</v>
      </c>
      <c r="H1389" s="10">
        <v>0</v>
      </c>
      <c r="I1389" s="1">
        <v>26000</v>
      </c>
      <c r="J1389" s="1">
        <v>150</v>
      </c>
      <c r="K1389" s="1">
        <v>1500</v>
      </c>
      <c r="L1389" s="1">
        <v>10000</v>
      </c>
      <c r="M1389" s="1" t="s">
        <v>1843</v>
      </c>
      <c r="N1389" s="1" t="s">
        <v>1772</v>
      </c>
      <c r="O1389" s="1">
        <v>0</v>
      </c>
      <c r="P1389" s="1" t="s">
        <v>2072</v>
      </c>
      <c r="Q1389" s="7" t="s">
        <v>2063</v>
      </c>
    </row>
    <row r="1390" spans="1:17" ht="14.25" thickBot="1">
      <c r="A1390" s="1" t="s">
        <v>1506</v>
      </c>
      <c r="B1390" s="3">
        <v>1</v>
      </c>
      <c r="C1390" s="1" t="s">
        <v>2177</v>
      </c>
      <c r="D1390" s="1" t="str">
        <f t="shared" si="104"/>
        <v>护腿</v>
      </c>
      <c r="E1390" s="1">
        <f>INDEX([1]游戏类型定义!$C$20:$C$29,MATCH(D1390,[1]!装备部位,0))</f>
        <v>7</v>
      </c>
      <c r="F1390" s="1">
        <v>5</v>
      </c>
      <c r="G1390" s="1">
        <f t="shared" si="105"/>
        <v>10</v>
      </c>
      <c r="H1390" s="10">
        <v>0</v>
      </c>
      <c r="I1390" s="1">
        <v>20000</v>
      </c>
      <c r="J1390" s="1">
        <v>150</v>
      </c>
      <c r="K1390" s="1">
        <v>1500</v>
      </c>
      <c r="L1390" s="1">
        <v>7500</v>
      </c>
      <c r="M1390" s="1" t="s">
        <v>1842</v>
      </c>
      <c r="N1390" s="1" t="s">
        <v>1772</v>
      </c>
      <c r="O1390" s="1">
        <v>0</v>
      </c>
      <c r="P1390" s="1" t="s">
        <v>2072</v>
      </c>
      <c r="Q1390" s="7" t="s">
        <v>2352</v>
      </c>
    </row>
    <row r="1391" spans="1:17" ht="14.25" thickBot="1">
      <c r="A1391" s="1" t="s">
        <v>1507</v>
      </c>
      <c r="B1391" s="2">
        <v>0</v>
      </c>
      <c r="C1391" s="1" t="s">
        <v>2038</v>
      </c>
      <c r="D1391" s="1" t="str">
        <f t="shared" si="104"/>
        <v>护腿</v>
      </c>
      <c r="E1391" s="1">
        <f>INDEX([1]游戏类型定义!$C$20:$C$29,MATCH(D1391,[1]!装备部位,0))</f>
        <v>7</v>
      </c>
      <c r="F1391" s="1">
        <v>5</v>
      </c>
      <c r="G1391" s="1">
        <f t="shared" si="105"/>
        <v>10</v>
      </c>
      <c r="H1391" s="10">
        <v>0</v>
      </c>
      <c r="I1391" s="1">
        <v>26000</v>
      </c>
      <c r="J1391" s="1">
        <v>150</v>
      </c>
      <c r="K1391" s="1">
        <v>1500</v>
      </c>
      <c r="L1391" s="1">
        <v>10000</v>
      </c>
      <c r="M1391" s="1" t="s">
        <v>1843</v>
      </c>
      <c r="N1391" s="1" t="s">
        <v>1772</v>
      </c>
      <c r="O1391" s="1">
        <v>0</v>
      </c>
      <c r="P1391" s="1" t="s">
        <v>2072</v>
      </c>
      <c r="Q1391" s="7" t="s">
        <v>2064</v>
      </c>
    </row>
    <row r="1392" spans="1:17" ht="14.25" thickBot="1">
      <c r="A1392" s="1" t="s">
        <v>1508</v>
      </c>
      <c r="B1392" s="2">
        <v>0</v>
      </c>
      <c r="C1392" s="1" t="s">
        <v>2031</v>
      </c>
      <c r="D1392" s="1" t="str">
        <f t="shared" si="104"/>
        <v>头盔</v>
      </c>
      <c r="E1392" s="1">
        <f>INDEX([1]游戏类型定义!$C$20:$C$29,MATCH(D1392,[1]!装备部位,0))</f>
        <v>1</v>
      </c>
      <c r="F1392" s="1">
        <v>5</v>
      </c>
      <c r="G1392" s="1">
        <f t="shared" si="105"/>
        <v>15</v>
      </c>
      <c r="H1392" s="10">
        <v>0</v>
      </c>
      <c r="I1392" s="1">
        <v>30000</v>
      </c>
      <c r="J1392" s="1">
        <v>150</v>
      </c>
      <c r="K1392" s="1">
        <v>1500</v>
      </c>
      <c r="L1392" s="1">
        <v>10000</v>
      </c>
      <c r="M1392" s="1" t="s">
        <v>1829</v>
      </c>
      <c r="N1392" s="1" t="s">
        <v>1774</v>
      </c>
      <c r="O1392" s="1">
        <v>0</v>
      </c>
      <c r="P1392" s="1" t="s">
        <v>2073</v>
      </c>
      <c r="Q1392" s="7" t="s">
        <v>2051</v>
      </c>
    </row>
    <row r="1393" spans="1:17" ht="14.25" thickBot="1">
      <c r="A1393" s="1" t="s">
        <v>1509</v>
      </c>
      <c r="B1393" s="2">
        <v>0</v>
      </c>
      <c r="C1393" s="1" t="s">
        <v>2032</v>
      </c>
      <c r="D1393" s="1" t="str">
        <f t="shared" si="104"/>
        <v>戒指</v>
      </c>
      <c r="E1393" s="1">
        <f>INDEX([1]游戏类型定义!$C$20:$C$29,MATCH(D1393,[1]!装备部位,0))</f>
        <v>2</v>
      </c>
      <c r="F1393" s="1">
        <v>5</v>
      </c>
      <c r="G1393" s="1">
        <f t="shared" si="105"/>
        <v>15</v>
      </c>
      <c r="H1393" s="10">
        <v>0</v>
      </c>
      <c r="I1393" s="1">
        <v>30000</v>
      </c>
      <c r="J1393" s="1">
        <v>150</v>
      </c>
      <c r="K1393" s="1">
        <v>1500</v>
      </c>
      <c r="L1393" s="1">
        <v>10000</v>
      </c>
      <c r="M1393" s="1" t="s">
        <v>1844</v>
      </c>
      <c r="N1393" s="1" t="s">
        <v>1774</v>
      </c>
      <c r="O1393" s="1">
        <v>0</v>
      </c>
      <c r="P1393" s="1" t="s">
        <v>2073</v>
      </c>
      <c r="Q1393" s="7" t="s">
        <v>2052</v>
      </c>
    </row>
    <row r="1394" spans="1:17" ht="14.25" thickBot="1">
      <c r="A1394" s="1" t="s">
        <v>1510</v>
      </c>
      <c r="B1394" s="3">
        <v>1</v>
      </c>
      <c r="C1394" s="1" t="s">
        <v>2088</v>
      </c>
      <c r="D1394" s="1" t="str">
        <f t="shared" si="104"/>
        <v>腰带</v>
      </c>
      <c r="E1394" s="1">
        <f>INDEX([1]游戏类型定义!$C$20:$C$29,MATCH(D1394,[1]!装备部位,0))</f>
        <v>3</v>
      </c>
      <c r="F1394" s="1">
        <v>5</v>
      </c>
      <c r="G1394" s="1">
        <f t="shared" si="105"/>
        <v>15</v>
      </c>
      <c r="H1394" s="10">
        <v>0</v>
      </c>
      <c r="I1394" s="1">
        <v>30000</v>
      </c>
      <c r="J1394" s="1">
        <v>150</v>
      </c>
      <c r="K1394" s="1">
        <v>1500</v>
      </c>
      <c r="L1394" s="1">
        <v>10000</v>
      </c>
      <c r="M1394" s="1" t="s">
        <v>1845</v>
      </c>
      <c r="N1394" s="1" t="s">
        <v>1774</v>
      </c>
      <c r="O1394" s="1">
        <v>0</v>
      </c>
      <c r="P1394" s="1" t="s">
        <v>2073</v>
      </c>
      <c r="Q1394" s="7" t="s">
        <v>2353</v>
      </c>
    </row>
    <row r="1395" spans="1:17" ht="14.25" thickBot="1">
      <c r="A1395" s="1" t="s">
        <v>1511</v>
      </c>
      <c r="B1395" s="3">
        <v>1</v>
      </c>
      <c r="C1395" s="1" t="s">
        <v>2121</v>
      </c>
      <c r="D1395" s="1" t="str">
        <f t="shared" si="104"/>
        <v>鞋子</v>
      </c>
      <c r="E1395" s="1">
        <f>INDEX([1]游戏类型定义!$C$20:$C$29,MATCH(D1395,[1]!装备部位,0))</f>
        <v>8</v>
      </c>
      <c r="F1395" s="1">
        <v>5</v>
      </c>
      <c r="G1395" s="1">
        <f t="shared" si="105"/>
        <v>15</v>
      </c>
      <c r="H1395" s="10">
        <v>0</v>
      </c>
      <c r="I1395" s="1">
        <v>30000</v>
      </c>
      <c r="J1395" s="1">
        <v>150</v>
      </c>
      <c r="K1395" s="1">
        <v>1500</v>
      </c>
      <c r="L1395" s="1">
        <v>10000</v>
      </c>
      <c r="M1395" s="1" t="s">
        <v>1846</v>
      </c>
      <c r="N1395" s="1" t="s">
        <v>1774</v>
      </c>
      <c r="O1395" s="1">
        <v>0</v>
      </c>
      <c r="P1395" s="1" t="s">
        <v>2073</v>
      </c>
      <c r="Q1395" s="7" t="s">
        <v>2354</v>
      </c>
    </row>
    <row r="1396" spans="1:17" ht="14.25" thickBot="1">
      <c r="A1396" s="1" t="s">
        <v>1512</v>
      </c>
      <c r="B1396" s="3">
        <v>1</v>
      </c>
      <c r="C1396" s="1" t="s">
        <v>2133</v>
      </c>
      <c r="D1396" s="1" t="str">
        <f t="shared" ref="D1396:D1415" si="106">D1066</f>
        <v>手套</v>
      </c>
      <c r="E1396" s="1">
        <f>INDEX([1]游戏类型定义!$C$20:$C$29,MATCH(D1396,[1]!装备部位,0))</f>
        <v>9</v>
      </c>
      <c r="F1396" s="1">
        <v>5</v>
      </c>
      <c r="G1396" s="1">
        <f t="shared" ref="G1396:G1415" si="107">G1066</f>
        <v>15</v>
      </c>
      <c r="H1396" s="10">
        <v>0</v>
      </c>
      <c r="I1396" s="1">
        <v>30000</v>
      </c>
      <c r="J1396" s="1">
        <v>150</v>
      </c>
      <c r="K1396" s="1">
        <v>1500</v>
      </c>
      <c r="L1396" s="1">
        <v>10000</v>
      </c>
      <c r="M1396" s="1" t="s">
        <v>1847</v>
      </c>
      <c r="N1396" s="1" t="s">
        <v>1774</v>
      </c>
      <c r="O1396" s="1">
        <v>0</v>
      </c>
      <c r="P1396" s="1" t="s">
        <v>2073</v>
      </c>
      <c r="Q1396" s="7" t="s">
        <v>2355</v>
      </c>
    </row>
    <row r="1397" spans="1:17" ht="14.25" thickBot="1">
      <c r="A1397" s="1" t="s">
        <v>1513</v>
      </c>
      <c r="B1397" s="3">
        <v>1</v>
      </c>
      <c r="C1397" s="1" t="s">
        <v>2146</v>
      </c>
      <c r="D1397" s="1" t="str">
        <f t="shared" si="106"/>
        <v>项链</v>
      </c>
      <c r="E1397" s="1">
        <f>INDEX([1]游戏类型定义!$C$20:$C$29,MATCH(D1397,[1]!装备部位,0))</f>
        <v>10</v>
      </c>
      <c r="F1397" s="1">
        <v>5</v>
      </c>
      <c r="G1397" s="1">
        <f t="shared" si="107"/>
        <v>15</v>
      </c>
      <c r="H1397" s="10">
        <v>0</v>
      </c>
      <c r="I1397" s="1">
        <v>30000</v>
      </c>
      <c r="J1397" s="1">
        <v>150</v>
      </c>
      <c r="K1397" s="1">
        <v>1500</v>
      </c>
      <c r="L1397" s="1">
        <v>10000</v>
      </c>
      <c r="M1397" s="1" t="s">
        <v>1848</v>
      </c>
      <c r="N1397" s="1" t="s">
        <v>1774</v>
      </c>
      <c r="O1397" s="1">
        <v>0</v>
      </c>
      <c r="P1397" s="1" t="s">
        <v>2073</v>
      </c>
      <c r="Q1397" s="7" t="s">
        <v>2356</v>
      </c>
    </row>
    <row r="1398" spans="1:17" ht="14.25" thickBot="1">
      <c r="A1398" s="1" t="s">
        <v>1514</v>
      </c>
      <c r="B1398" s="3">
        <v>1</v>
      </c>
      <c r="C1398" s="9" t="s">
        <v>2196</v>
      </c>
      <c r="D1398" s="1" t="str">
        <f t="shared" si="106"/>
        <v>主手武器</v>
      </c>
      <c r="E1398" s="1">
        <f>INDEX([1]游戏类型定义!$C$20:$C$29,MATCH(D1398,[1]!装备部位,0))</f>
        <v>5</v>
      </c>
      <c r="F1398" s="1">
        <v>5</v>
      </c>
      <c r="G1398" s="1">
        <f t="shared" si="107"/>
        <v>15</v>
      </c>
      <c r="H1398" s="10" t="s">
        <v>2320</v>
      </c>
      <c r="I1398" s="1">
        <v>30000</v>
      </c>
      <c r="J1398" s="1">
        <v>150</v>
      </c>
      <c r="K1398" s="1">
        <v>1500</v>
      </c>
      <c r="L1398" s="1">
        <v>10000</v>
      </c>
      <c r="M1398" s="1" t="s">
        <v>1849</v>
      </c>
      <c r="N1398" s="1" t="s">
        <v>1775</v>
      </c>
      <c r="O1398" s="1">
        <v>0</v>
      </c>
      <c r="P1398" s="1" t="s">
        <v>2073</v>
      </c>
      <c r="Q1398" s="7" t="s">
        <v>2357</v>
      </c>
    </row>
    <row r="1399" spans="1:17" ht="14.25" thickBot="1">
      <c r="A1399" s="1" t="s">
        <v>1515</v>
      </c>
      <c r="B1399" s="3">
        <v>1</v>
      </c>
      <c r="C1399" s="9" t="s">
        <v>2215</v>
      </c>
      <c r="D1399" s="1" t="str">
        <f t="shared" si="106"/>
        <v>主手武器</v>
      </c>
      <c r="E1399" s="1">
        <f>INDEX([1]游戏类型定义!$C$20:$C$29,MATCH(D1399,[1]!装备部位,0))</f>
        <v>5</v>
      </c>
      <c r="F1399" s="1">
        <v>5</v>
      </c>
      <c r="G1399" s="1">
        <f t="shared" si="107"/>
        <v>15</v>
      </c>
      <c r="H1399" s="10" t="s">
        <v>2320</v>
      </c>
      <c r="I1399" s="1">
        <v>36000</v>
      </c>
      <c r="J1399" s="1">
        <v>150</v>
      </c>
      <c r="K1399" s="1">
        <v>1500</v>
      </c>
      <c r="L1399" s="1">
        <v>12500</v>
      </c>
      <c r="M1399" s="1" t="s">
        <v>2017</v>
      </c>
      <c r="N1399" s="1" t="s">
        <v>1775</v>
      </c>
      <c r="O1399" s="1">
        <v>0</v>
      </c>
      <c r="P1399" s="1" t="s">
        <v>2073</v>
      </c>
      <c r="Q1399" s="7" t="s">
        <v>2358</v>
      </c>
    </row>
    <row r="1400" spans="1:17" ht="14.25" thickBot="1">
      <c r="A1400" s="1" t="s">
        <v>1516</v>
      </c>
      <c r="B1400" s="3">
        <v>1</v>
      </c>
      <c r="C1400" s="9" t="s">
        <v>2198</v>
      </c>
      <c r="D1400" s="1" t="str">
        <f t="shared" si="106"/>
        <v>副手武器</v>
      </c>
      <c r="E1400" s="1">
        <f>INDEX([1]游戏类型定义!$C$20:$C$29,MATCH(D1400,[1]!装备部位,0))</f>
        <v>6</v>
      </c>
      <c r="F1400" s="1">
        <v>5</v>
      </c>
      <c r="G1400" s="1">
        <f t="shared" si="107"/>
        <v>15</v>
      </c>
      <c r="H1400" s="10" t="s">
        <v>2320</v>
      </c>
      <c r="I1400" s="1">
        <v>30000</v>
      </c>
      <c r="J1400" s="1">
        <v>150</v>
      </c>
      <c r="K1400" s="1">
        <v>1500</v>
      </c>
      <c r="L1400" s="1">
        <v>10000</v>
      </c>
      <c r="M1400" s="1" t="s">
        <v>1850</v>
      </c>
      <c r="N1400" s="1" t="s">
        <v>1775</v>
      </c>
      <c r="O1400" s="1">
        <v>0</v>
      </c>
      <c r="P1400" s="1" t="s">
        <v>2073</v>
      </c>
      <c r="Q1400" s="7" t="s">
        <v>2359</v>
      </c>
    </row>
    <row r="1401" spans="1:17" ht="14.25" thickBot="1">
      <c r="A1401" s="1" t="s">
        <v>1517</v>
      </c>
      <c r="B1401" s="2">
        <v>0</v>
      </c>
      <c r="C1401" s="9" t="s">
        <v>2044</v>
      </c>
      <c r="D1401" s="1" t="str">
        <f t="shared" si="106"/>
        <v>副手武器</v>
      </c>
      <c r="E1401" s="1">
        <f>INDEX([1]游戏类型定义!$C$20:$C$29,MATCH(D1401,[1]!装备部位,0))</f>
        <v>6</v>
      </c>
      <c r="F1401" s="1">
        <v>5</v>
      </c>
      <c r="G1401" s="1">
        <f t="shared" si="107"/>
        <v>15</v>
      </c>
      <c r="H1401" s="10" t="s">
        <v>2320</v>
      </c>
      <c r="I1401" s="1">
        <v>36000</v>
      </c>
      <c r="J1401" s="1">
        <v>150</v>
      </c>
      <c r="K1401" s="1">
        <v>1500</v>
      </c>
      <c r="L1401" s="1">
        <v>12500</v>
      </c>
      <c r="M1401" s="1" t="s">
        <v>1851</v>
      </c>
      <c r="N1401" s="1" t="s">
        <v>1775</v>
      </c>
      <c r="O1401" s="1">
        <v>0</v>
      </c>
      <c r="P1401" s="1" t="s">
        <v>2073</v>
      </c>
      <c r="Q1401" s="7" t="s">
        <v>2058</v>
      </c>
    </row>
    <row r="1402" spans="1:17" ht="14.25" thickBot="1">
      <c r="A1402" s="1" t="s">
        <v>1518</v>
      </c>
      <c r="B1402" s="3">
        <v>1</v>
      </c>
      <c r="C1402" s="1" t="s">
        <v>2217</v>
      </c>
      <c r="D1402" s="1" t="str">
        <f t="shared" si="106"/>
        <v>主手武器</v>
      </c>
      <c r="E1402" s="1">
        <f>INDEX([1]游戏类型定义!$C$20:$C$29,MATCH(D1402,[1]!装备部位,0))</f>
        <v>5</v>
      </c>
      <c r="F1402" s="1">
        <v>5</v>
      </c>
      <c r="G1402" s="1">
        <f t="shared" si="107"/>
        <v>15</v>
      </c>
      <c r="H1402" s="10" t="s">
        <v>2321</v>
      </c>
      <c r="I1402" s="1">
        <v>30000</v>
      </c>
      <c r="J1402" s="1">
        <v>150</v>
      </c>
      <c r="K1402" s="1">
        <v>1500</v>
      </c>
      <c r="L1402" s="1">
        <v>10000</v>
      </c>
      <c r="M1402" s="1" t="s">
        <v>1849</v>
      </c>
      <c r="N1402" s="1" t="s">
        <v>1775</v>
      </c>
      <c r="O1402" s="1">
        <v>0</v>
      </c>
      <c r="P1402" s="1" t="s">
        <v>2073</v>
      </c>
      <c r="Q1402" s="7" t="s">
        <v>2360</v>
      </c>
    </row>
    <row r="1403" spans="1:17" ht="14.25" thickBot="1">
      <c r="A1403" s="1" t="s">
        <v>1519</v>
      </c>
      <c r="B1403" s="3">
        <v>1</v>
      </c>
      <c r="C1403" s="1" t="s">
        <v>2216</v>
      </c>
      <c r="D1403" s="1" t="str">
        <f t="shared" si="106"/>
        <v>主手武器</v>
      </c>
      <c r="E1403" s="1">
        <f>INDEX([1]游戏类型定义!$C$20:$C$29,MATCH(D1403,[1]!装备部位,0))</f>
        <v>5</v>
      </c>
      <c r="F1403" s="1">
        <v>5</v>
      </c>
      <c r="G1403" s="1">
        <f t="shared" si="107"/>
        <v>15</v>
      </c>
      <c r="H1403" s="10" t="s">
        <v>2321</v>
      </c>
      <c r="I1403" s="1">
        <v>36000</v>
      </c>
      <c r="J1403" s="1">
        <v>150</v>
      </c>
      <c r="K1403" s="1">
        <v>1500</v>
      </c>
      <c r="L1403" s="1">
        <v>12500</v>
      </c>
      <c r="M1403" s="1" t="s">
        <v>2017</v>
      </c>
      <c r="N1403" s="1" t="s">
        <v>1775</v>
      </c>
      <c r="O1403" s="1">
        <v>0</v>
      </c>
      <c r="P1403" s="1" t="s">
        <v>2073</v>
      </c>
      <c r="Q1403" s="7" t="s">
        <v>2361</v>
      </c>
    </row>
    <row r="1404" spans="1:17" ht="14.25" thickBot="1">
      <c r="A1404" s="1" t="s">
        <v>1520</v>
      </c>
      <c r="B1404" s="3">
        <v>1</v>
      </c>
      <c r="C1404" s="9" t="s">
        <v>2218</v>
      </c>
      <c r="D1404" s="1" t="str">
        <f t="shared" si="106"/>
        <v>副手武器</v>
      </c>
      <c r="E1404" s="1">
        <f>INDEX([1]游戏类型定义!$C$20:$C$29,MATCH(D1404,[1]!装备部位,0))</f>
        <v>6</v>
      </c>
      <c r="F1404" s="1">
        <v>5</v>
      </c>
      <c r="G1404" s="1">
        <f t="shared" si="107"/>
        <v>15</v>
      </c>
      <c r="H1404" s="10" t="s">
        <v>2321</v>
      </c>
      <c r="I1404" s="1">
        <v>30000</v>
      </c>
      <c r="J1404" s="1">
        <v>150</v>
      </c>
      <c r="K1404" s="1">
        <v>1500</v>
      </c>
      <c r="L1404" s="1">
        <v>10000</v>
      </c>
      <c r="M1404" s="1" t="s">
        <v>1852</v>
      </c>
      <c r="N1404" s="1" t="s">
        <v>1775</v>
      </c>
      <c r="O1404" s="1">
        <v>0</v>
      </c>
      <c r="P1404" s="1" t="s">
        <v>2073</v>
      </c>
      <c r="Q1404" s="7" t="s">
        <v>2362</v>
      </c>
    </row>
    <row r="1405" spans="1:17" ht="14.25" thickBot="1">
      <c r="A1405" s="1" t="s">
        <v>1521</v>
      </c>
      <c r="B1405" s="2">
        <v>0</v>
      </c>
      <c r="C1405" s="9" t="s">
        <v>2042</v>
      </c>
      <c r="D1405" s="1" t="str">
        <f t="shared" si="106"/>
        <v>副手武器</v>
      </c>
      <c r="E1405" s="1">
        <f>INDEX([1]游戏类型定义!$C$20:$C$29,MATCH(D1405,[1]!装备部位,0))</f>
        <v>6</v>
      </c>
      <c r="F1405" s="1">
        <v>5</v>
      </c>
      <c r="G1405" s="1">
        <f t="shared" si="107"/>
        <v>15</v>
      </c>
      <c r="H1405" s="10" t="s">
        <v>2321</v>
      </c>
      <c r="I1405" s="1">
        <v>36000</v>
      </c>
      <c r="J1405" s="1">
        <v>150</v>
      </c>
      <c r="K1405" s="1">
        <v>1500</v>
      </c>
      <c r="L1405" s="1">
        <v>12500</v>
      </c>
      <c r="M1405" s="1" t="s">
        <v>1853</v>
      </c>
      <c r="N1405" s="1" t="s">
        <v>1775</v>
      </c>
      <c r="O1405" s="1">
        <v>0</v>
      </c>
      <c r="P1405" s="1" t="s">
        <v>2073</v>
      </c>
      <c r="Q1405" s="7" t="s">
        <v>2060</v>
      </c>
    </row>
    <row r="1406" spans="1:17" ht="14.25" thickBot="1">
      <c r="A1406" s="1" t="s">
        <v>1522</v>
      </c>
      <c r="B1406" s="3">
        <v>1</v>
      </c>
      <c r="C1406" s="9" t="s">
        <v>2219</v>
      </c>
      <c r="D1406" s="1" t="str">
        <f t="shared" si="106"/>
        <v>主手武器</v>
      </c>
      <c r="E1406" s="1">
        <f>INDEX([1]游戏类型定义!$C$20:$C$29,MATCH(D1406,[1]!装备部位,0))</f>
        <v>5</v>
      </c>
      <c r="F1406" s="1">
        <v>5</v>
      </c>
      <c r="G1406" s="1">
        <f t="shared" si="107"/>
        <v>15</v>
      </c>
      <c r="H1406" s="10" t="s">
        <v>2322</v>
      </c>
      <c r="I1406" s="1">
        <v>30000</v>
      </c>
      <c r="J1406" s="1">
        <v>150</v>
      </c>
      <c r="K1406" s="1">
        <v>1500</v>
      </c>
      <c r="L1406" s="1">
        <v>10000</v>
      </c>
      <c r="M1406" s="1" t="s">
        <v>1849</v>
      </c>
      <c r="N1406" s="1" t="s">
        <v>1775</v>
      </c>
      <c r="O1406" s="1">
        <v>0</v>
      </c>
      <c r="P1406" s="1" t="s">
        <v>2073</v>
      </c>
      <c r="Q1406" s="7" t="s">
        <v>2363</v>
      </c>
    </row>
    <row r="1407" spans="1:17" ht="14.25" thickBot="1">
      <c r="A1407" s="1" t="s">
        <v>1523</v>
      </c>
      <c r="B1407" s="3">
        <v>1</v>
      </c>
      <c r="C1407" s="9" t="s">
        <v>2220</v>
      </c>
      <c r="D1407" s="1" t="str">
        <f t="shared" si="106"/>
        <v>主手武器</v>
      </c>
      <c r="E1407" s="1">
        <f>INDEX([1]游戏类型定义!$C$20:$C$29,MATCH(D1407,[1]!装备部位,0))</f>
        <v>5</v>
      </c>
      <c r="F1407" s="1">
        <v>5</v>
      </c>
      <c r="G1407" s="1">
        <f t="shared" si="107"/>
        <v>15</v>
      </c>
      <c r="H1407" s="10" t="s">
        <v>2322</v>
      </c>
      <c r="I1407" s="1">
        <v>36000</v>
      </c>
      <c r="J1407" s="1">
        <v>150</v>
      </c>
      <c r="K1407" s="1">
        <v>1500</v>
      </c>
      <c r="L1407" s="1">
        <v>12500</v>
      </c>
      <c r="M1407" s="1" t="s">
        <v>2017</v>
      </c>
      <c r="N1407" s="1" t="s">
        <v>1775</v>
      </c>
      <c r="O1407" s="1">
        <v>0</v>
      </c>
      <c r="P1407" s="1" t="s">
        <v>2073</v>
      </c>
      <c r="Q1407" s="7" t="s">
        <v>2364</v>
      </c>
    </row>
    <row r="1408" spans="1:17" ht="14.25" thickBot="1">
      <c r="A1408" s="1" t="s">
        <v>1524</v>
      </c>
      <c r="B1408" s="3">
        <v>1</v>
      </c>
      <c r="C1408" s="9" t="s">
        <v>2221</v>
      </c>
      <c r="D1408" s="1" t="str">
        <f t="shared" si="106"/>
        <v>副手武器</v>
      </c>
      <c r="E1408" s="1">
        <f>INDEX([1]游戏类型定义!$C$20:$C$29,MATCH(D1408,[1]!装备部位,0))</f>
        <v>6</v>
      </c>
      <c r="F1408" s="1">
        <v>5</v>
      </c>
      <c r="G1408" s="1">
        <f t="shared" si="107"/>
        <v>15</v>
      </c>
      <c r="H1408" s="10" t="s">
        <v>2322</v>
      </c>
      <c r="I1408" s="1">
        <v>30000</v>
      </c>
      <c r="J1408" s="1">
        <v>150</v>
      </c>
      <c r="K1408" s="1">
        <v>1500</v>
      </c>
      <c r="L1408" s="1">
        <v>10000</v>
      </c>
      <c r="M1408" s="1" t="s">
        <v>1854</v>
      </c>
      <c r="N1408" s="1" t="s">
        <v>1775</v>
      </c>
      <c r="O1408" s="1">
        <v>0</v>
      </c>
      <c r="P1408" s="1" t="s">
        <v>2073</v>
      </c>
      <c r="Q1408" s="7" t="s">
        <v>2365</v>
      </c>
    </row>
    <row r="1409" spans="1:17" ht="14.25" thickBot="1">
      <c r="A1409" s="1" t="s">
        <v>1525</v>
      </c>
      <c r="B1409" s="2">
        <v>0</v>
      </c>
      <c r="C1409" s="9" t="s">
        <v>2050</v>
      </c>
      <c r="D1409" s="1" t="str">
        <f t="shared" si="106"/>
        <v>副手武器</v>
      </c>
      <c r="E1409" s="1">
        <f>INDEX([1]游戏类型定义!$C$20:$C$29,MATCH(D1409,[1]!装备部位,0))</f>
        <v>6</v>
      </c>
      <c r="F1409" s="1">
        <v>5</v>
      </c>
      <c r="G1409" s="1">
        <f t="shared" si="107"/>
        <v>15</v>
      </c>
      <c r="H1409" s="10" t="s">
        <v>2322</v>
      </c>
      <c r="I1409" s="1">
        <v>36000</v>
      </c>
      <c r="J1409" s="1">
        <v>150</v>
      </c>
      <c r="K1409" s="1">
        <v>1500</v>
      </c>
      <c r="L1409" s="1">
        <v>12500</v>
      </c>
      <c r="M1409" s="1" t="s">
        <v>1855</v>
      </c>
      <c r="N1409" s="1" t="s">
        <v>1775</v>
      </c>
      <c r="O1409" s="1">
        <v>0</v>
      </c>
      <c r="P1409" s="1" t="s">
        <v>2073</v>
      </c>
      <c r="Q1409" s="7" t="s">
        <v>2062</v>
      </c>
    </row>
    <row r="1410" spans="1:17" ht="14.25" thickBot="1">
      <c r="A1410" s="1" t="s">
        <v>1526</v>
      </c>
      <c r="B1410" s="3">
        <v>1</v>
      </c>
      <c r="C1410" s="1" t="s">
        <v>2160</v>
      </c>
      <c r="D1410" s="1" t="str">
        <f t="shared" si="106"/>
        <v>胸甲</v>
      </c>
      <c r="E1410" s="1">
        <f>INDEX([1]游戏类型定义!$C$20:$C$29,MATCH(D1410,[1]!装备部位,0))</f>
        <v>4</v>
      </c>
      <c r="F1410" s="1">
        <v>5</v>
      </c>
      <c r="G1410" s="1">
        <f t="shared" si="107"/>
        <v>15</v>
      </c>
      <c r="H1410" s="10">
        <v>0</v>
      </c>
      <c r="I1410" s="1">
        <v>30000</v>
      </c>
      <c r="J1410" s="1">
        <v>150</v>
      </c>
      <c r="K1410" s="1">
        <v>1500</v>
      </c>
      <c r="L1410" s="1">
        <v>10000</v>
      </c>
      <c r="M1410" s="1" t="s">
        <v>1856</v>
      </c>
      <c r="N1410" s="1" t="s">
        <v>1774</v>
      </c>
      <c r="O1410" s="1">
        <v>0</v>
      </c>
      <c r="P1410" s="1" t="s">
        <v>2073</v>
      </c>
      <c r="Q1410" s="7" t="s">
        <v>2366</v>
      </c>
    </row>
    <row r="1411" spans="1:17" ht="14.25" thickBot="1">
      <c r="A1411" s="1" t="s">
        <v>1527</v>
      </c>
      <c r="B1411" s="2">
        <v>0</v>
      </c>
      <c r="C1411" s="1" t="s">
        <v>2030</v>
      </c>
      <c r="D1411" s="1" t="str">
        <f t="shared" si="106"/>
        <v>胸甲</v>
      </c>
      <c r="E1411" s="1">
        <f>INDEX([1]游戏类型定义!$C$20:$C$29,MATCH(D1411,[1]!装备部位,0))</f>
        <v>4</v>
      </c>
      <c r="F1411" s="1">
        <v>5</v>
      </c>
      <c r="G1411" s="1">
        <f t="shared" si="107"/>
        <v>15</v>
      </c>
      <c r="H1411" s="10">
        <v>0</v>
      </c>
      <c r="I1411" s="1">
        <v>36000</v>
      </c>
      <c r="J1411" s="1">
        <v>150</v>
      </c>
      <c r="K1411" s="1">
        <v>1500</v>
      </c>
      <c r="L1411" s="1">
        <v>12500</v>
      </c>
      <c r="M1411" s="1" t="s">
        <v>1857</v>
      </c>
      <c r="N1411" s="1" t="s">
        <v>1774</v>
      </c>
      <c r="O1411" s="1">
        <v>0</v>
      </c>
      <c r="P1411" s="1" t="s">
        <v>2073</v>
      </c>
      <c r="Q1411" s="7" t="s">
        <v>2063</v>
      </c>
    </row>
    <row r="1412" spans="1:17" ht="14.25" thickBot="1">
      <c r="A1412" s="1" t="s">
        <v>1528</v>
      </c>
      <c r="B1412" s="3">
        <v>1</v>
      </c>
      <c r="C1412" s="1" t="s">
        <v>2178</v>
      </c>
      <c r="D1412" s="1" t="str">
        <f t="shared" si="106"/>
        <v>护腿</v>
      </c>
      <c r="E1412" s="1">
        <f>INDEX([1]游戏类型定义!$C$20:$C$29,MATCH(D1412,[1]!装备部位,0))</f>
        <v>7</v>
      </c>
      <c r="F1412" s="1">
        <v>5</v>
      </c>
      <c r="G1412" s="1">
        <f t="shared" si="107"/>
        <v>15</v>
      </c>
      <c r="H1412" s="10">
        <v>0</v>
      </c>
      <c r="I1412" s="1">
        <v>30000</v>
      </c>
      <c r="J1412" s="1">
        <v>150</v>
      </c>
      <c r="K1412" s="1">
        <v>1500</v>
      </c>
      <c r="L1412" s="1">
        <v>10000</v>
      </c>
      <c r="M1412" s="1" t="s">
        <v>1856</v>
      </c>
      <c r="N1412" s="1" t="s">
        <v>1774</v>
      </c>
      <c r="O1412" s="1">
        <v>0</v>
      </c>
      <c r="P1412" s="1" t="s">
        <v>2073</v>
      </c>
      <c r="Q1412" s="7" t="s">
        <v>2352</v>
      </c>
    </row>
    <row r="1413" spans="1:17" ht="14.25" thickBot="1">
      <c r="A1413" s="1" t="s">
        <v>1529</v>
      </c>
      <c r="B1413" s="2">
        <v>0</v>
      </c>
      <c r="C1413" s="1" t="s">
        <v>2038</v>
      </c>
      <c r="D1413" s="1" t="str">
        <f t="shared" si="106"/>
        <v>护腿</v>
      </c>
      <c r="E1413" s="1">
        <f>INDEX([1]游戏类型定义!$C$20:$C$29,MATCH(D1413,[1]!装备部位,0))</f>
        <v>7</v>
      </c>
      <c r="F1413" s="1">
        <v>5</v>
      </c>
      <c r="G1413" s="1">
        <f t="shared" si="107"/>
        <v>15</v>
      </c>
      <c r="H1413" s="10">
        <v>0</v>
      </c>
      <c r="I1413" s="1">
        <v>36000</v>
      </c>
      <c r="J1413" s="1">
        <v>150</v>
      </c>
      <c r="K1413" s="1">
        <v>1500</v>
      </c>
      <c r="L1413" s="1">
        <v>12500</v>
      </c>
      <c r="M1413" s="1" t="s">
        <v>1858</v>
      </c>
      <c r="N1413" s="1" t="s">
        <v>1774</v>
      </c>
      <c r="O1413" s="1">
        <v>0</v>
      </c>
      <c r="P1413" s="1" t="s">
        <v>2073</v>
      </c>
      <c r="Q1413" s="7" t="s">
        <v>2064</v>
      </c>
    </row>
    <row r="1414" spans="1:17" ht="14.25" thickBot="1">
      <c r="A1414" s="1" t="s">
        <v>1530</v>
      </c>
      <c r="B1414" s="3">
        <v>1</v>
      </c>
      <c r="C1414" s="1" t="s">
        <v>2103</v>
      </c>
      <c r="D1414" s="1" t="str">
        <f t="shared" si="106"/>
        <v>头盔</v>
      </c>
      <c r="E1414" s="1">
        <f>INDEX([1]游戏类型定义!$C$20:$C$29,MATCH(D1414,[1]!装备部位,0))</f>
        <v>1</v>
      </c>
      <c r="F1414" s="1">
        <v>5</v>
      </c>
      <c r="G1414" s="1">
        <f t="shared" si="107"/>
        <v>20</v>
      </c>
      <c r="H1414" s="10">
        <v>0</v>
      </c>
      <c r="I1414" s="1">
        <v>40000</v>
      </c>
      <c r="J1414" s="1">
        <v>150</v>
      </c>
      <c r="K1414" s="1">
        <v>1500</v>
      </c>
      <c r="L1414" s="1">
        <v>12500</v>
      </c>
      <c r="M1414" s="1" t="s">
        <v>1859</v>
      </c>
      <c r="N1414" s="1" t="s">
        <v>1776</v>
      </c>
      <c r="O1414" s="1">
        <v>0</v>
      </c>
      <c r="P1414" s="1" t="s">
        <v>2074</v>
      </c>
      <c r="Q1414" s="7" t="s">
        <v>2367</v>
      </c>
    </row>
    <row r="1415" spans="1:17" ht="14.25" thickBot="1">
      <c r="A1415" s="1" t="s">
        <v>1531</v>
      </c>
      <c r="B1415" s="3">
        <v>1</v>
      </c>
      <c r="C1415" s="1" t="s">
        <v>2109</v>
      </c>
      <c r="D1415" s="1" t="str">
        <f t="shared" si="106"/>
        <v>戒指</v>
      </c>
      <c r="E1415" s="1">
        <f>INDEX([1]游戏类型定义!$C$20:$C$29,MATCH(D1415,[1]!装备部位,0))</f>
        <v>2</v>
      </c>
      <c r="F1415" s="1">
        <v>5</v>
      </c>
      <c r="G1415" s="1">
        <f t="shared" si="107"/>
        <v>20</v>
      </c>
      <c r="H1415" s="10">
        <v>0</v>
      </c>
      <c r="I1415" s="1">
        <v>40000</v>
      </c>
      <c r="J1415" s="1">
        <v>150</v>
      </c>
      <c r="K1415" s="1">
        <v>1500</v>
      </c>
      <c r="L1415" s="1">
        <v>12500</v>
      </c>
      <c r="M1415" s="1" t="s">
        <v>1840</v>
      </c>
      <c r="N1415" s="1" t="s">
        <v>1776</v>
      </c>
      <c r="O1415" s="1">
        <v>0</v>
      </c>
      <c r="P1415" s="1" t="s">
        <v>2074</v>
      </c>
      <c r="Q1415" s="7" t="s">
        <v>2368</v>
      </c>
    </row>
    <row r="1416" spans="1:17" ht="14.25" thickBot="1">
      <c r="A1416" s="1" t="s">
        <v>1532</v>
      </c>
      <c r="B1416" s="3">
        <v>1</v>
      </c>
      <c r="C1416" s="1" t="s">
        <v>2089</v>
      </c>
      <c r="D1416" s="1" t="str">
        <f t="shared" ref="D1416:D1435" si="108">D1086</f>
        <v>腰带</v>
      </c>
      <c r="E1416" s="1">
        <f>INDEX([1]游戏类型定义!$C$20:$C$29,MATCH(D1416,[1]!装备部位,0))</f>
        <v>3</v>
      </c>
      <c r="F1416" s="1">
        <v>5</v>
      </c>
      <c r="G1416" s="1">
        <f t="shared" ref="G1416:G1435" si="109">G1086</f>
        <v>20</v>
      </c>
      <c r="H1416" s="10">
        <v>0</v>
      </c>
      <c r="I1416" s="1">
        <v>40000</v>
      </c>
      <c r="J1416" s="1">
        <v>150</v>
      </c>
      <c r="K1416" s="1">
        <v>1500</v>
      </c>
      <c r="L1416" s="1">
        <v>12500</v>
      </c>
      <c r="M1416" s="1" t="s">
        <v>1860</v>
      </c>
      <c r="N1416" s="1" t="s">
        <v>1776</v>
      </c>
      <c r="O1416" s="1">
        <v>0</v>
      </c>
      <c r="P1416" s="1" t="s">
        <v>2074</v>
      </c>
      <c r="Q1416" s="7" t="s">
        <v>2369</v>
      </c>
    </row>
    <row r="1417" spans="1:17" ht="14.25" thickBot="1">
      <c r="A1417" s="1" t="s">
        <v>1533</v>
      </c>
      <c r="B1417" s="2">
        <v>0</v>
      </c>
      <c r="C1417" s="1" t="s">
        <v>2036</v>
      </c>
      <c r="D1417" s="1" t="str">
        <f t="shared" si="108"/>
        <v>鞋子</v>
      </c>
      <c r="E1417" s="1">
        <f>INDEX([1]游戏类型定义!$C$20:$C$29,MATCH(D1417,[1]!装备部位,0))</f>
        <v>8</v>
      </c>
      <c r="F1417" s="1">
        <v>5</v>
      </c>
      <c r="G1417" s="1">
        <f t="shared" si="109"/>
        <v>20</v>
      </c>
      <c r="H1417" s="10">
        <v>0</v>
      </c>
      <c r="I1417" s="1">
        <v>40000</v>
      </c>
      <c r="J1417" s="1">
        <v>150</v>
      </c>
      <c r="K1417" s="1">
        <v>1500</v>
      </c>
      <c r="L1417" s="1">
        <v>12500</v>
      </c>
      <c r="M1417" s="1" t="s">
        <v>1861</v>
      </c>
      <c r="N1417" s="1" t="s">
        <v>1776</v>
      </c>
      <c r="O1417" s="1">
        <v>0</v>
      </c>
      <c r="P1417" s="1" t="s">
        <v>2074</v>
      </c>
      <c r="Q1417" s="7" t="s">
        <v>2054</v>
      </c>
    </row>
    <row r="1418" spans="1:17" ht="14.25" thickBot="1">
      <c r="A1418" s="1" t="s">
        <v>1534</v>
      </c>
      <c r="B1418" s="3">
        <v>1</v>
      </c>
      <c r="C1418" s="1" t="s">
        <v>2134</v>
      </c>
      <c r="D1418" s="1" t="str">
        <f t="shared" si="108"/>
        <v>手套</v>
      </c>
      <c r="E1418" s="1">
        <f>INDEX([1]游戏类型定义!$C$20:$C$29,MATCH(D1418,[1]!装备部位,0))</f>
        <v>9</v>
      </c>
      <c r="F1418" s="1">
        <v>5</v>
      </c>
      <c r="G1418" s="1">
        <f t="shared" si="109"/>
        <v>20</v>
      </c>
      <c r="H1418" s="10">
        <v>0</v>
      </c>
      <c r="I1418" s="1">
        <v>40000</v>
      </c>
      <c r="J1418" s="1">
        <v>150</v>
      </c>
      <c r="K1418" s="1">
        <v>1500</v>
      </c>
      <c r="L1418" s="1">
        <v>12500</v>
      </c>
      <c r="M1418" s="1" t="s">
        <v>1862</v>
      </c>
      <c r="N1418" s="1" t="s">
        <v>1776</v>
      </c>
      <c r="O1418" s="1">
        <v>0</v>
      </c>
      <c r="P1418" s="1" t="s">
        <v>2074</v>
      </c>
      <c r="Q1418" s="7" t="s">
        <v>2370</v>
      </c>
    </row>
    <row r="1419" spans="1:17" ht="14.25" thickBot="1">
      <c r="A1419" s="1" t="s">
        <v>1535</v>
      </c>
      <c r="B1419" s="3">
        <v>1</v>
      </c>
      <c r="C1419" s="1" t="s">
        <v>2147</v>
      </c>
      <c r="D1419" s="1" t="str">
        <f t="shared" si="108"/>
        <v>项链</v>
      </c>
      <c r="E1419" s="1">
        <f>INDEX([1]游戏类型定义!$C$20:$C$29,MATCH(D1419,[1]!装备部位,0))</f>
        <v>10</v>
      </c>
      <c r="F1419" s="1">
        <v>5</v>
      </c>
      <c r="G1419" s="1">
        <f t="shared" si="109"/>
        <v>20</v>
      </c>
      <c r="H1419" s="10">
        <v>0</v>
      </c>
      <c r="I1419" s="1">
        <v>40000</v>
      </c>
      <c r="J1419" s="1">
        <v>150</v>
      </c>
      <c r="K1419" s="1">
        <v>1500</v>
      </c>
      <c r="L1419" s="1">
        <v>12500</v>
      </c>
      <c r="M1419" s="1" t="s">
        <v>1863</v>
      </c>
      <c r="N1419" s="1" t="s">
        <v>1776</v>
      </c>
      <c r="O1419" s="1">
        <v>0</v>
      </c>
      <c r="P1419" s="1" t="s">
        <v>2074</v>
      </c>
      <c r="Q1419" s="7" t="s">
        <v>2371</v>
      </c>
    </row>
    <row r="1420" spans="1:17" ht="14.25" thickBot="1">
      <c r="A1420" s="1">
        <v>50201050</v>
      </c>
      <c r="B1420" s="3">
        <v>1</v>
      </c>
      <c r="C1420" s="9" t="s">
        <v>2222</v>
      </c>
      <c r="D1420" s="1" t="str">
        <f t="shared" si="108"/>
        <v>主手武器</v>
      </c>
      <c r="E1420" s="1">
        <f>INDEX([1]游戏类型定义!$C$20:$C$29,MATCH(D1420,[1]!装备部位,0))</f>
        <v>5</v>
      </c>
      <c r="F1420" s="1">
        <v>5</v>
      </c>
      <c r="G1420" s="1">
        <f t="shared" si="109"/>
        <v>20</v>
      </c>
      <c r="H1420" s="10" t="s">
        <v>2320</v>
      </c>
      <c r="I1420" s="1">
        <v>40000</v>
      </c>
      <c r="J1420" s="1">
        <v>150</v>
      </c>
      <c r="K1420" s="1">
        <v>1500</v>
      </c>
      <c r="L1420" s="1">
        <v>12500</v>
      </c>
      <c r="M1420" s="1" t="s">
        <v>2018</v>
      </c>
      <c r="N1420" s="1" t="s">
        <v>1777</v>
      </c>
      <c r="O1420" s="1">
        <v>0</v>
      </c>
      <c r="P1420" s="1" t="s">
        <v>2074</v>
      </c>
      <c r="Q1420" s="7" t="s">
        <v>2372</v>
      </c>
    </row>
    <row r="1421" spans="1:17" ht="14.25" thickBot="1">
      <c r="A1421" s="1" t="s">
        <v>1536</v>
      </c>
      <c r="B1421" s="2">
        <v>0</v>
      </c>
      <c r="C1421" s="9" t="s">
        <v>2046</v>
      </c>
      <c r="D1421" s="1" t="str">
        <f t="shared" si="108"/>
        <v>主手武器</v>
      </c>
      <c r="E1421" s="1">
        <f>INDEX([1]游戏类型定义!$C$20:$C$29,MATCH(D1421,[1]!装备部位,0))</f>
        <v>5</v>
      </c>
      <c r="F1421" s="1">
        <v>5</v>
      </c>
      <c r="G1421" s="1">
        <f t="shared" si="109"/>
        <v>20</v>
      </c>
      <c r="H1421" s="10" t="s">
        <v>2320</v>
      </c>
      <c r="I1421" s="1">
        <v>46000</v>
      </c>
      <c r="J1421" s="1">
        <v>150</v>
      </c>
      <c r="K1421" s="1">
        <v>1500</v>
      </c>
      <c r="L1421" s="1">
        <v>15000</v>
      </c>
      <c r="M1421" s="1" t="s">
        <v>2019</v>
      </c>
      <c r="N1421" s="1" t="s">
        <v>1777</v>
      </c>
      <c r="O1421" s="1">
        <v>0</v>
      </c>
      <c r="P1421" s="1" t="s">
        <v>2074</v>
      </c>
      <c r="Q1421" s="7" t="s">
        <v>2057</v>
      </c>
    </row>
    <row r="1422" spans="1:17" ht="14.25" thickBot="1">
      <c r="A1422" s="1" t="s">
        <v>1537</v>
      </c>
      <c r="B1422" s="3">
        <v>1</v>
      </c>
      <c r="C1422" s="9" t="s">
        <v>2200</v>
      </c>
      <c r="D1422" s="1" t="str">
        <f t="shared" si="108"/>
        <v>副手武器</v>
      </c>
      <c r="E1422" s="1">
        <f>INDEX([1]游戏类型定义!$C$20:$C$29,MATCH(D1422,[1]!装备部位,0))</f>
        <v>6</v>
      </c>
      <c r="F1422" s="1">
        <v>5</v>
      </c>
      <c r="G1422" s="1">
        <f t="shared" si="109"/>
        <v>20</v>
      </c>
      <c r="H1422" s="10" t="s">
        <v>2320</v>
      </c>
      <c r="I1422" s="1">
        <v>40000</v>
      </c>
      <c r="J1422" s="1">
        <v>150</v>
      </c>
      <c r="K1422" s="1">
        <v>1500</v>
      </c>
      <c r="L1422" s="1">
        <v>12500</v>
      </c>
      <c r="M1422" s="1" t="s">
        <v>1864</v>
      </c>
      <c r="N1422" s="1" t="s">
        <v>1777</v>
      </c>
      <c r="O1422" s="1">
        <v>0</v>
      </c>
      <c r="P1422" s="1" t="s">
        <v>2074</v>
      </c>
      <c r="Q1422" s="7" t="s">
        <v>2373</v>
      </c>
    </row>
    <row r="1423" spans="1:17" ht="14.25" thickBot="1">
      <c r="A1423" s="1" t="s">
        <v>1538</v>
      </c>
      <c r="B1423" s="2">
        <v>0</v>
      </c>
      <c r="C1423" s="9" t="s">
        <v>2044</v>
      </c>
      <c r="D1423" s="1" t="str">
        <f t="shared" si="108"/>
        <v>副手武器</v>
      </c>
      <c r="E1423" s="1">
        <f>INDEX([1]游戏类型定义!$C$20:$C$29,MATCH(D1423,[1]!装备部位,0))</f>
        <v>6</v>
      </c>
      <c r="F1423" s="1">
        <v>5</v>
      </c>
      <c r="G1423" s="1">
        <f t="shared" si="109"/>
        <v>20</v>
      </c>
      <c r="H1423" s="10" t="s">
        <v>2320</v>
      </c>
      <c r="I1423" s="1">
        <v>46000</v>
      </c>
      <c r="J1423" s="1">
        <v>150</v>
      </c>
      <c r="K1423" s="1">
        <v>1500</v>
      </c>
      <c r="L1423" s="1">
        <v>15000</v>
      </c>
      <c r="M1423" s="1" t="s">
        <v>1865</v>
      </c>
      <c r="N1423" s="1" t="s">
        <v>1777</v>
      </c>
      <c r="O1423" s="1">
        <v>0</v>
      </c>
      <c r="P1423" s="1" t="s">
        <v>2074</v>
      </c>
      <c r="Q1423" s="7" t="s">
        <v>2058</v>
      </c>
    </row>
    <row r="1424" spans="1:17" ht="14.25" thickBot="1">
      <c r="A1424" s="1">
        <v>50202050</v>
      </c>
      <c r="B1424" s="3">
        <v>1</v>
      </c>
      <c r="C1424" s="1" t="s">
        <v>2223</v>
      </c>
      <c r="D1424" s="1" t="str">
        <f t="shared" si="108"/>
        <v>主手武器</v>
      </c>
      <c r="E1424" s="1">
        <f>INDEX([1]游戏类型定义!$C$20:$C$29,MATCH(D1424,[1]!装备部位,0))</f>
        <v>5</v>
      </c>
      <c r="F1424" s="1">
        <v>5</v>
      </c>
      <c r="G1424" s="1">
        <f t="shared" si="109"/>
        <v>20</v>
      </c>
      <c r="H1424" s="10" t="s">
        <v>2321</v>
      </c>
      <c r="I1424" s="1">
        <v>40000</v>
      </c>
      <c r="J1424" s="1">
        <v>150</v>
      </c>
      <c r="K1424" s="1">
        <v>1500</v>
      </c>
      <c r="L1424" s="1">
        <v>12500</v>
      </c>
      <c r="M1424" s="1" t="s">
        <v>2018</v>
      </c>
      <c r="N1424" s="1" t="s">
        <v>1777</v>
      </c>
      <c r="O1424" s="1">
        <v>0</v>
      </c>
      <c r="P1424" s="1" t="s">
        <v>2074</v>
      </c>
      <c r="Q1424" s="7" t="s">
        <v>2374</v>
      </c>
    </row>
    <row r="1425" spans="1:17" ht="14.25" thickBot="1">
      <c r="A1425" s="1" t="s">
        <v>1539</v>
      </c>
      <c r="B1425" s="2">
        <v>0</v>
      </c>
      <c r="C1425" s="1" t="s">
        <v>2040</v>
      </c>
      <c r="D1425" s="1" t="str">
        <f t="shared" si="108"/>
        <v>主手武器</v>
      </c>
      <c r="E1425" s="1">
        <f>INDEX([1]游戏类型定义!$C$20:$C$29,MATCH(D1425,[1]!装备部位,0))</f>
        <v>5</v>
      </c>
      <c r="F1425" s="1">
        <v>5</v>
      </c>
      <c r="G1425" s="1">
        <f t="shared" si="109"/>
        <v>20</v>
      </c>
      <c r="H1425" s="10" t="s">
        <v>2321</v>
      </c>
      <c r="I1425" s="1">
        <v>46000</v>
      </c>
      <c r="J1425" s="1">
        <v>150</v>
      </c>
      <c r="K1425" s="1">
        <v>1500</v>
      </c>
      <c r="L1425" s="1">
        <v>15000</v>
      </c>
      <c r="M1425" s="1" t="s">
        <v>2019</v>
      </c>
      <c r="N1425" s="1" t="s">
        <v>1777</v>
      </c>
      <c r="O1425" s="1">
        <v>0</v>
      </c>
      <c r="P1425" s="1" t="s">
        <v>2074</v>
      </c>
      <c r="Q1425" s="7" t="s">
        <v>2059</v>
      </c>
    </row>
    <row r="1426" spans="1:17" ht="14.25" thickBot="1">
      <c r="A1426" s="1" t="s">
        <v>1540</v>
      </c>
      <c r="B1426" s="3">
        <v>1</v>
      </c>
      <c r="C1426" s="9" t="s">
        <v>2224</v>
      </c>
      <c r="D1426" s="1" t="str">
        <f t="shared" si="108"/>
        <v>副手武器</v>
      </c>
      <c r="E1426" s="1">
        <f>INDEX([1]游戏类型定义!$C$20:$C$29,MATCH(D1426,[1]!装备部位,0))</f>
        <v>6</v>
      </c>
      <c r="F1426" s="1">
        <v>5</v>
      </c>
      <c r="G1426" s="1">
        <f t="shared" si="109"/>
        <v>20</v>
      </c>
      <c r="H1426" s="10" t="s">
        <v>2321</v>
      </c>
      <c r="I1426" s="1">
        <v>40000</v>
      </c>
      <c r="J1426" s="1">
        <v>150</v>
      </c>
      <c r="K1426" s="1">
        <v>1500</v>
      </c>
      <c r="L1426" s="1">
        <v>12500</v>
      </c>
      <c r="M1426" s="1" t="s">
        <v>1866</v>
      </c>
      <c r="N1426" s="1" t="s">
        <v>1777</v>
      </c>
      <c r="O1426" s="1">
        <v>0</v>
      </c>
      <c r="P1426" s="1" t="s">
        <v>2074</v>
      </c>
      <c r="Q1426" s="7" t="s">
        <v>2375</v>
      </c>
    </row>
    <row r="1427" spans="1:17" ht="14.25" thickBot="1">
      <c r="A1427" s="1" t="s">
        <v>1541</v>
      </c>
      <c r="B1427" s="2">
        <v>0</v>
      </c>
      <c r="C1427" s="9" t="s">
        <v>2042</v>
      </c>
      <c r="D1427" s="1" t="str">
        <f t="shared" si="108"/>
        <v>副手武器</v>
      </c>
      <c r="E1427" s="1">
        <f>INDEX([1]游戏类型定义!$C$20:$C$29,MATCH(D1427,[1]!装备部位,0))</f>
        <v>6</v>
      </c>
      <c r="F1427" s="1">
        <v>5</v>
      </c>
      <c r="G1427" s="1">
        <f t="shared" si="109"/>
        <v>20</v>
      </c>
      <c r="H1427" s="10" t="s">
        <v>2321</v>
      </c>
      <c r="I1427" s="1">
        <v>46000</v>
      </c>
      <c r="J1427" s="1">
        <v>150</v>
      </c>
      <c r="K1427" s="1">
        <v>1500</v>
      </c>
      <c r="L1427" s="1">
        <v>15000</v>
      </c>
      <c r="M1427" s="1" t="s">
        <v>1867</v>
      </c>
      <c r="N1427" s="1" t="s">
        <v>1777</v>
      </c>
      <c r="O1427" s="1">
        <v>0</v>
      </c>
      <c r="P1427" s="1" t="s">
        <v>2074</v>
      </c>
      <c r="Q1427" s="7" t="s">
        <v>2060</v>
      </c>
    </row>
    <row r="1428" spans="1:17" ht="14.25" thickBot="1">
      <c r="A1428" s="1" t="s">
        <v>1542</v>
      </c>
      <c r="B1428" s="3">
        <v>1</v>
      </c>
      <c r="C1428" s="9" t="s">
        <v>2225</v>
      </c>
      <c r="D1428" s="1" t="str">
        <f t="shared" si="108"/>
        <v>主手武器</v>
      </c>
      <c r="E1428" s="1">
        <f>INDEX([1]游戏类型定义!$C$20:$C$29,MATCH(D1428,[1]!装备部位,0))</f>
        <v>5</v>
      </c>
      <c r="F1428" s="1">
        <v>5</v>
      </c>
      <c r="G1428" s="1">
        <f t="shared" si="109"/>
        <v>20</v>
      </c>
      <c r="H1428" s="10" t="s">
        <v>2322</v>
      </c>
      <c r="I1428" s="1">
        <v>40000</v>
      </c>
      <c r="J1428" s="1">
        <v>150</v>
      </c>
      <c r="K1428" s="1">
        <v>1500</v>
      </c>
      <c r="L1428" s="1">
        <v>12500</v>
      </c>
      <c r="M1428" s="1" t="s">
        <v>2018</v>
      </c>
      <c r="N1428" s="1" t="s">
        <v>1777</v>
      </c>
      <c r="O1428" s="1">
        <v>0</v>
      </c>
      <c r="P1428" s="1" t="s">
        <v>2074</v>
      </c>
      <c r="Q1428" s="7" t="s">
        <v>2376</v>
      </c>
    </row>
    <row r="1429" spans="1:17" ht="14.25" thickBot="1">
      <c r="A1429" s="1">
        <v>50203051</v>
      </c>
      <c r="B1429" s="3">
        <v>1</v>
      </c>
      <c r="C1429" s="9" t="s">
        <v>2226</v>
      </c>
      <c r="D1429" s="1" t="str">
        <f t="shared" si="108"/>
        <v>主手武器</v>
      </c>
      <c r="E1429" s="1">
        <f>INDEX([1]游戏类型定义!$C$20:$C$29,MATCH(D1429,[1]!装备部位,0))</f>
        <v>5</v>
      </c>
      <c r="F1429" s="1">
        <v>5</v>
      </c>
      <c r="G1429" s="1">
        <f t="shared" si="109"/>
        <v>20</v>
      </c>
      <c r="H1429" s="10" t="s">
        <v>2322</v>
      </c>
      <c r="I1429" s="1">
        <v>46000</v>
      </c>
      <c r="J1429" s="1">
        <v>150</v>
      </c>
      <c r="K1429" s="1">
        <v>1500</v>
      </c>
      <c r="L1429" s="1">
        <v>15000</v>
      </c>
      <c r="M1429" s="1" t="s">
        <v>2019</v>
      </c>
      <c r="N1429" s="1" t="s">
        <v>1777</v>
      </c>
      <c r="O1429" s="1">
        <v>0</v>
      </c>
      <c r="P1429" s="1" t="s">
        <v>2074</v>
      </c>
      <c r="Q1429" s="7" t="s">
        <v>2377</v>
      </c>
    </row>
    <row r="1430" spans="1:17" ht="14.25" thickBot="1">
      <c r="A1430" s="1" t="s">
        <v>1543</v>
      </c>
      <c r="B1430" s="3">
        <v>1</v>
      </c>
      <c r="C1430" s="9" t="s">
        <v>2227</v>
      </c>
      <c r="D1430" s="1" t="str">
        <f t="shared" si="108"/>
        <v>副手武器</v>
      </c>
      <c r="E1430" s="1">
        <f>INDEX([1]游戏类型定义!$C$20:$C$29,MATCH(D1430,[1]!装备部位,0))</f>
        <v>6</v>
      </c>
      <c r="F1430" s="1">
        <v>5</v>
      </c>
      <c r="G1430" s="1">
        <f t="shared" si="109"/>
        <v>20</v>
      </c>
      <c r="H1430" s="10" t="s">
        <v>2322</v>
      </c>
      <c r="I1430" s="1">
        <v>40000</v>
      </c>
      <c r="J1430" s="1">
        <v>150</v>
      </c>
      <c r="K1430" s="1">
        <v>1500</v>
      </c>
      <c r="L1430" s="1">
        <v>12500</v>
      </c>
      <c r="M1430" s="1" t="s">
        <v>1868</v>
      </c>
      <c r="N1430" s="1" t="s">
        <v>1777</v>
      </c>
      <c r="O1430" s="1">
        <v>0</v>
      </c>
      <c r="P1430" s="1" t="s">
        <v>2074</v>
      </c>
      <c r="Q1430" s="7" t="s">
        <v>2378</v>
      </c>
    </row>
    <row r="1431" spans="1:17" ht="14.25" thickBot="1">
      <c r="A1431" s="1" t="s">
        <v>1544</v>
      </c>
      <c r="B1431" s="2">
        <v>0</v>
      </c>
      <c r="C1431" s="9" t="s">
        <v>2050</v>
      </c>
      <c r="D1431" s="1" t="str">
        <f t="shared" si="108"/>
        <v>副手武器</v>
      </c>
      <c r="E1431" s="1">
        <f>INDEX([1]游戏类型定义!$C$20:$C$29,MATCH(D1431,[1]!装备部位,0))</f>
        <v>6</v>
      </c>
      <c r="F1431" s="1">
        <v>5</v>
      </c>
      <c r="G1431" s="1">
        <f t="shared" si="109"/>
        <v>20</v>
      </c>
      <c r="H1431" s="10" t="s">
        <v>2322</v>
      </c>
      <c r="I1431" s="1">
        <v>46000</v>
      </c>
      <c r="J1431" s="1">
        <v>150</v>
      </c>
      <c r="K1431" s="1">
        <v>1500</v>
      </c>
      <c r="L1431" s="1">
        <v>15000</v>
      </c>
      <c r="M1431" s="1" t="s">
        <v>1869</v>
      </c>
      <c r="N1431" s="1" t="s">
        <v>1777</v>
      </c>
      <c r="O1431" s="1">
        <v>0</v>
      </c>
      <c r="P1431" s="1" t="s">
        <v>2074</v>
      </c>
      <c r="Q1431" s="7" t="s">
        <v>2062</v>
      </c>
    </row>
    <row r="1432" spans="1:17" ht="14.25" thickBot="1">
      <c r="A1432" s="1" t="s">
        <v>1545</v>
      </c>
      <c r="B1432" s="3">
        <v>1</v>
      </c>
      <c r="C1432" s="1" t="s">
        <v>2161</v>
      </c>
      <c r="D1432" s="1" t="str">
        <f t="shared" si="108"/>
        <v>胸甲</v>
      </c>
      <c r="E1432" s="1">
        <f>INDEX([1]游戏类型定义!$C$20:$C$29,MATCH(D1432,[1]!装备部位,0))</f>
        <v>4</v>
      </c>
      <c r="F1432" s="1">
        <v>5</v>
      </c>
      <c r="G1432" s="1">
        <f t="shared" si="109"/>
        <v>20</v>
      </c>
      <c r="H1432" s="10">
        <v>0</v>
      </c>
      <c r="I1432" s="1">
        <v>40000</v>
      </c>
      <c r="J1432" s="1">
        <v>150</v>
      </c>
      <c r="K1432" s="1">
        <v>1500</v>
      </c>
      <c r="L1432" s="1">
        <v>12500</v>
      </c>
      <c r="M1432" s="1" t="s">
        <v>1870</v>
      </c>
      <c r="N1432" s="1" t="s">
        <v>1776</v>
      </c>
      <c r="O1432" s="1">
        <v>0</v>
      </c>
      <c r="P1432" s="1" t="s">
        <v>2074</v>
      </c>
      <c r="Q1432" s="7" t="s">
        <v>2379</v>
      </c>
    </row>
    <row r="1433" spans="1:17" ht="14.25" thickBot="1">
      <c r="A1433" s="1" t="s">
        <v>1546</v>
      </c>
      <c r="B1433" s="3">
        <v>1</v>
      </c>
      <c r="C1433" s="1" t="s">
        <v>2162</v>
      </c>
      <c r="D1433" s="1" t="str">
        <f t="shared" si="108"/>
        <v>胸甲</v>
      </c>
      <c r="E1433" s="1">
        <f>INDEX([1]游戏类型定义!$C$20:$C$29,MATCH(D1433,[1]!装备部位,0))</f>
        <v>4</v>
      </c>
      <c r="F1433" s="1">
        <v>5</v>
      </c>
      <c r="G1433" s="1">
        <f t="shared" si="109"/>
        <v>20</v>
      </c>
      <c r="H1433" s="10">
        <v>0</v>
      </c>
      <c r="I1433" s="1">
        <v>46000</v>
      </c>
      <c r="J1433" s="1">
        <v>150</v>
      </c>
      <c r="K1433" s="1">
        <v>1500</v>
      </c>
      <c r="L1433" s="1">
        <v>15000</v>
      </c>
      <c r="M1433" s="1" t="s">
        <v>1871</v>
      </c>
      <c r="N1433" s="1" t="s">
        <v>1776</v>
      </c>
      <c r="O1433" s="1">
        <v>0</v>
      </c>
      <c r="P1433" s="1" t="s">
        <v>2074</v>
      </c>
      <c r="Q1433" s="7" t="s">
        <v>2380</v>
      </c>
    </row>
    <row r="1434" spans="1:17" ht="14.25" thickBot="1">
      <c r="A1434" s="1" t="s">
        <v>1547</v>
      </c>
      <c r="B1434" s="3">
        <v>1</v>
      </c>
      <c r="C1434" s="1" t="s">
        <v>2179</v>
      </c>
      <c r="D1434" s="1" t="str">
        <f t="shared" si="108"/>
        <v>护腿</v>
      </c>
      <c r="E1434" s="1">
        <f>INDEX([1]游戏类型定义!$C$20:$C$29,MATCH(D1434,[1]!装备部位,0))</f>
        <v>7</v>
      </c>
      <c r="F1434" s="1">
        <v>5</v>
      </c>
      <c r="G1434" s="1">
        <f t="shared" si="109"/>
        <v>20</v>
      </c>
      <c r="H1434" s="10">
        <v>0</v>
      </c>
      <c r="I1434" s="1">
        <v>40000</v>
      </c>
      <c r="J1434" s="1">
        <v>150</v>
      </c>
      <c r="K1434" s="1">
        <v>1500</v>
      </c>
      <c r="L1434" s="1">
        <v>12500</v>
      </c>
      <c r="M1434" s="1" t="s">
        <v>1872</v>
      </c>
      <c r="N1434" s="1" t="s">
        <v>1776</v>
      </c>
      <c r="O1434" s="1">
        <v>0</v>
      </c>
      <c r="P1434" s="1" t="s">
        <v>2074</v>
      </c>
      <c r="Q1434" s="7" t="s">
        <v>2381</v>
      </c>
    </row>
    <row r="1435" spans="1:17" ht="14.25" thickBot="1">
      <c r="A1435" s="1" t="s">
        <v>1548</v>
      </c>
      <c r="B1435" s="3">
        <v>1</v>
      </c>
      <c r="C1435" s="1" t="s">
        <v>2180</v>
      </c>
      <c r="D1435" s="1" t="str">
        <f t="shared" si="108"/>
        <v>护腿</v>
      </c>
      <c r="E1435" s="1">
        <f>INDEX([1]游戏类型定义!$C$20:$C$29,MATCH(D1435,[1]!装备部位,0))</f>
        <v>7</v>
      </c>
      <c r="F1435" s="1">
        <v>5</v>
      </c>
      <c r="G1435" s="1">
        <f t="shared" si="109"/>
        <v>20</v>
      </c>
      <c r="H1435" s="10">
        <v>0</v>
      </c>
      <c r="I1435" s="1">
        <v>46000</v>
      </c>
      <c r="J1435" s="1">
        <v>150</v>
      </c>
      <c r="K1435" s="1">
        <v>1500</v>
      </c>
      <c r="L1435" s="1">
        <v>15000</v>
      </c>
      <c r="M1435" s="1" t="s">
        <v>1873</v>
      </c>
      <c r="N1435" s="1" t="s">
        <v>1776</v>
      </c>
      <c r="O1435" s="1">
        <v>0</v>
      </c>
      <c r="P1435" s="1" t="s">
        <v>2074</v>
      </c>
      <c r="Q1435" s="7" t="s">
        <v>2382</v>
      </c>
    </row>
    <row r="1436" spans="1:17" ht="14.25" thickBot="1">
      <c r="A1436" s="1" t="s">
        <v>1549</v>
      </c>
      <c r="B1436" s="3">
        <v>1</v>
      </c>
      <c r="C1436" s="1" t="s">
        <v>2098</v>
      </c>
      <c r="D1436" s="1" t="str">
        <f t="shared" ref="D1436:D1455" si="110">D1106</f>
        <v>头盔</v>
      </c>
      <c r="E1436" s="1">
        <f>INDEX([1]游戏类型定义!$C$20:$C$29,MATCH(D1436,[1]!装备部位,0))</f>
        <v>1</v>
      </c>
      <c r="F1436" s="1">
        <v>5</v>
      </c>
      <c r="G1436" s="1">
        <f t="shared" ref="G1436:G1455" si="111">G1106</f>
        <v>25</v>
      </c>
      <c r="H1436" s="10">
        <v>0</v>
      </c>
      <c r="I1436" s="1">
        <v>50000</v>
      </c>
      <c r="J1436" s="1">
        <v>150</v>
      </c>
      <c r="K1436" s="1">
        <v>1500</v>
      </c>
      <c r="L1436" s="1">
        <v>15000</v>
      </c>
      <c r="M1436" s="1" t="s">
        <v>1874</v>
      </c>
      <c r="N1436" s="1" t="s">
        <v>1778</v>
      </c>
      <c r="O1436" s="1">
        <v>0</v>
      </c>
      <c r="P1436" s="1" t="s">
        <v>2075</v>
      </c>
      <c r="Q1436" s="7" t="s">
        <v>2383</v>
      </c>
    </row>
    <row r="1437" spans="1:17" ht="14.25" thickBot="1">
      <c r="A1437" s="1" t="s">
        <v>1550</v>
      </c>
      <c r="B1437" s="3">
        <v>1</v>
      </c>
      <c r="C1437" s="1" t="s">
        <v>2112</v>
      </c>
      <c r="D1437" s="1" t="str">
        <f t="shared" si="110"/>
        <v>戒指</v>
      </c>
      <c r="E1437" s="1">
        <f>INDEX([1]游戏类型定义!$C$20:$C$29,MATCH(D1437,[1]!装备部位,0))</f>
        <v>2</v>
      </c>
      <c r="F1437" s="1">
        <v>5</v>
      </c>
      <c r="G1437" s="1">
        <f t="shared" si="111"/>
        <v>25</v>
      </c>
      <c r="H1437" s="10">
        <v>0</v>
      </c>
      <c r="I1437" s="1">
        <v>50000</v>
      </c>
      <c r="J1437" s="1">
        <v>150</v>
      </c>
      <c r="K1437" s="1">
        <v>1500</v>
      </c>
      <c r="L1437" s="1">
        <v>15000</v>
      </c>
      <c r="M1437" s="1" t="s">
        <v>1875</v>
      </c>
      <c r="N1437" s="1" t="s">
        <v>1778</v>
      </c>
      <c r="O1437" s="1">
        <v>0</v>
      </c>
      <c r="P1437" s="1" t="s">
        <v>2075</v>
      </c>
      <c r="Q1437" s="7" t="s">
        <v>2384</v>
      </c>
    </row>
    <row r="1438" spans="1:17" ht="14.25" thickBot="1">
      <c r="A1438" s="1" t="s">
        <v>1551</v>
      </c>
      <c r="B1438" s="3">
        <v>1</v>
      </c>
      <c r="C1438" s="1" t="s">
        <v>2090</v>
      </c>
      <c r="D1438" s="1" t="str">
        <f t="shared" si="110"/>
        <v>腰带</v>
      </c>
      <c r="E1438" s="1">
        <f>INDEX([1]游戏类型定义!$C$20:$C$29,MATCH(D1438,[1]!装备部位,0))</f>
        <v>3</v>
      </c>
      <c r="F1438" s="1">
        <v>5</v>
      </c>
      <c r="G1438" s="1">
        <f t="shared" si="111"/>
        <v>25</v>
      </c>
      <c r="H1438" s="10">
        <v>0</v>
      </c>
      <c r="I1438" s="1">
        <v>50000</v>
      </c>
      <c r="J1438" s="1">
        <v>150</v>
      </c>
      <c r="K1438" s="1">
        <v>1500</v>
      </c>
      <c r="L1438" s="1">
        <v>15000</v>
      </c>
      <c r="M1438" s="1" t="s">
        <v>1876</v>
      </c>
      <c r="N1438" s="1" t="s">
        <v>1778</v>
      </c>
      <c r="O1438" s="1">
        <v>0</v>
      </c>
      <c r="P1438" s="1" t="s">
        <v>2075</v>
      </c>
      <c r="Q1438" s="7" t="s">
        <v>2385</v>
      </c>
    </row>
    <row r="1439" spans="1:17" ht="14.25" thickBot="1">
      <c r="A1439" s="1" t="s">
        <v>1552</v>
      </c>
      <c r="B1439" s="3">
        <v>1</v>
      </c>
      <c r="C1439" s="1" t="s">
        <v>2122</v>
      </c>
      <c r="D1439" s="1" t="str">
        <f t="shared" si="110"/>
        <v>鞋子</v>
      </c>
      <c r="E1439" s="1">
        <f>INDEX([1]游戏类型定义!$C$20:$C$29,MATCH(D1439,[1]!装备部位,0))</f>
        <v>8</v>
      </c>
      <c r="F1439" s="1">
        <v>5</v>
      </c>
      <c r="G1439" s="1">
        <f t="shared" si="111"/>
        <v>25</v>
      </c>
      <c r="H1439" s="10">
        <v>0</v>
      </c>
      <c r="I1439" s="1">
        <v>50000</v>
      </c>
      <c r="J1439" s="1">
        <v>150</v>
      </c>
      <c r="K1439" s="1">
        <v>1500</v>
      </c>
      <c r="L1439" s="1">
        <v>15000</v>
      </c>
      <c r="M1439" s="1" t="s">
        <v>1861</v>
      </c>
      <c r="N1439" s="1" t="s">
        <v>1778</v>
      </c>
      <c r="O1439" s="1">
        <v>0</v>
      </c>
      <c r="P1439" s="1" t="s">
        <v>2075</v>
      </c>
      <c r="Q1439" s="7" t="s">
        <v>2386</v>
      </c>
    </row>
    <row r="1440" spans="1:17" ht="14.25" thickBot="1">
      <c r="A1440" s="1" t="s">
        <v>1553</v>
      </c>
      <c r="B1440" s="2">
        <v>0</v>
      </c>
      <c r="C1440" s="1" t="s">
        <v>2035</v>
      </c>
      <c r="D1440" s="1" t="str">
        <f t="shared" si="110"/>
        <v>手套</v>
      </c>
      <c r="E1440" s="1">
        <f>INDEX([1]游戏类型定义!$C$20:$C$29,MATCH(D1440,[1]!装备部位,0))</f>
        <v>9</v>
      </c>
      <c r="F1440" s="1">
        <v>5</v>
      </c>
      <c r="G1440" s="1">
        <f t="shared" si="111"/>
        <v>25</v>
      </c>
      <c r="H1440" s="10">
        <v>0</v>
      </c>
      <c r="I1440" s="1">
        <v>50000</v>
      </c>
      <c r="J1440" s="1">
        <v>150</v>
      </c>
      <c r="K1440" s="1">
        <v>1500</v>
      </c>
      <c r="L1440" s="1">
        <v>15000</v>
      </c>
      <c r="M1440" s="1" t="s">
        <v>1877</v>
      </c>
      <c r="N1440" s="1" t="s">
        <v>1778</v>
      </c>
      <c r="O1440" s="1">
        <v>0</v>
      </c>
      <c r="P1440" s="1" t="s">
        <v>2075</v>
      </c>
      <c r="Q1440" s="7" t="s">
        <v>2055</v>
      </c>
    </row>
    <row r="1441" spans="1:17" ht="14.25" thickBot="1">
      <c r="A1441" s="1" t="s">
        <v>1554</v>
      </c>
      <c r="B1441" s="3">
        <v>1</v>
      </c>
      <c r="C1441" s="1" t="s">
        <v>2148</v>
      </c>
      <c r="D1441" s="1" t="str">
        <f t="shared" si="110"/>
        <v>项链</v>
      </c>
      <c r="E1441" s="1">
        <f>INDEX([1]游戏类型定义!$C$20:$C$29,MATCH(D1441,[1]!装备部位,0))</f>
        <v>10</v>
      </c>
      <c r="F1441" s="1">
        <v>5</v>
      </c>
      <c r="G1441" s="1">
        <f t="shared" si="111"/>
        <v>25</v>
      </c>
      <c r="H1441" s="10">
        <v>0</v>
      </c>
      <c r="I1441" s="1">
        <v>50000</v>
      </c>
      <c r="J1441" s="1">
        <v>150</v>
      </c>
      <c r="K1441" s="1">
        <v>1500</v>
      </c>
      <c r="L1441" s="1">
        <v>15000</v>
      </c>
      <c r="M1441" s="1" t="s">
        <v>1878</v>
      </c>
      <c r="N1441" s="1" t="s">
        <v>1778</v>
      </c>
      <c r="O1441" s="1">
        <v>0</v>
      </c>
      <c r="P1441" s="1" t="s">
        <v>2075</v>
      </c>
      <c r="Q1441" s="7" t="s">
        <v>2387</v>
      </c>
    </row>
    <row r="1442" spans="1:17" ht="14.25" thickBot="1">
      <c r="A1442" s="1" t="s">
        <v>1555</v>
      </c>
      <c r="B1442" s="3">
        <v>1</v>
      </c>
      <c r="C1442" s="9" t="s">
        <v>2312</v>
      </c>
      <c r="D1442" s="1" t="str">
        <f t="shared" si="110"/>
        <v>主手武器</v>
      </c>
      <c r="E1442" s="1">
        <f>INDEX([1]游戏类型定义!$C$20:$C$29,MATCH(D1442,[1]!装备部位,0))</f>
        <v>5</v>
      </c>
      <c r="F1442" s="1">
        <v>5</v>
      </c>
      <c r="G1442" s="1">
        <f t="shared" si="111"/>
        <v>25</v>
      </c>
      <c r="H1442" s="10" t="s">
        <v>2320</v>
      </c>
      <c r="I1442" s="1">
        <v>50000</v>
      </c>
      <c r="J1442" s="1">
        <v>150</v>
      </c>
      <c r="K1442" s="1">
        <v>1500</v>
      </c>
      <c r="L1442" s="1">
        <v>15000</v>
      </c>
      <c r="M1442" s="1" t="s">
        <v>1879</v>
      </c>
      <c r="N1442" s="1" t="s">
        <v>1779</v>
      </c>
      <c r="O1442" s="1">
        <v>0</v>
      </c>
      <c r="P1442" s="1" t="s">
        <v>2075</v>
      </c>
      <c r="Q1442" s="7" t="s">
        <v>2388</v>
      </c>
    </row>
    <row r="1443" spans="1:17" ht="14.25" thickBot="1">
      <c r="A1443" s="1" t="s">
        <v>1556</v>
      </c>
      <c r="B1443" s="3">
        <v>1</v>
      </c>
      <c r="C1443" s="9" t="s">
        <v>2228</v>
      </c>
      <c r="D1443" s="1" t="str">
        <f t="shared" si="110"/>
        <v>主手武器</v>
      </c>
      <c r="E1443" s="1">
        <f>INDEX([1]游戏类型定义!$C$20:$C$29,MATCH(D1443,[1]!装备部位,0))</f>
        <v>5</v>
      </c>
      <c r="F1443" s="1">
        <v>5</v>
      </c>
      <c r="G1443" s="1">
        <f t="shared" si="111"/>
        <v>25</v>
      </c>
      <c r="H1443" s="10" t="s">
        <v>2320</v>
      </c>
      <c r="I1443" s="1">
        <v>56000</v>
      </c>
      <c r="J1443" s="1">
        <v>150</v>
      </c>
      <c r="K1443" s="1">
        <v>1500</v>
      </c>
      <c r="L1443" s="1">
        <v>17500</v>
      </c>
      <c r="M1443" s="1" t="s">
        <v>2020</v>
      </c>
      <c r="N1443" s="1" t="s">
        <v>1779</v>
      </c>
      <c r="O1443" s="1">
        <v>0</v>
      </c>
      <c r="P1443" s="1" t="s">
        <v>2075</v>
      </c>
      <c r="Q1443" s="7" t="s">
        <v>2389</v>
      </c>
    </row>
    <row r="1444" spans="1:17" ht="14.25" thickBot="1">
      <c r="A1444" s="1" t="s">
        <v>1557</v>
      </c>
      <c r="B1444" s="3">
        <v>1</v>
      </c>
      <c r="C1444" s="9" t="s">
        <v>2229</v>
      </c>
      <c r="D1444" s="1" t="str">
        <f t="shared" si="110"/>
        <v>副手武器</v>
      </c>
      <c r="E1444" s="1">
        <f>INDEX([1]游戏类型定义!$C$20:$C$29,MATCH(D1444,[1]!装备部位,0))</f>
        <v>6</v>
      </c>
      <c r="F1444" s="1">
        <v>5</v>
      </c>
      <c r="G1444" s="1">
        <f t="shared" si="111"/>
        <v>25</v>
      </c>
      <c r="H1444" s="10" t="s">
        <v>2320</v>
      </c>
      <c r="I1444" s="1">
        <v>50000</v>
      </c>
      <c r="J1444" s="1">
        <v>150</v>
      </c>
      <c r="K1444" s="1">
        <v>1500</v>
      </c>
      <c r="L1444" s="1">
        <v>15000</v>
      </c>
      <c r="M1444" s="1" t="s">
        <v>1880</v>
      </c>
      <c r="N1444" s="1" t="s">
        <v>1779</v>
      </c>
      <c r="O1444" s="1">
        <v>0</v>
      </c>
      <c r="P1444" s="1" t="s">
        <v>2075</v>
      </c>
      <c r="Q1444" s="7" t="s">
        <v>2390</v>
      </c>
    </row>
    <row r="1445" spans="1:17" ht="14.25" thickBot="1">
      <c r="A1445" s="1" t="s">
        <v>1558</v>
      </c>
      <c r="B1445" s="2">
        <v>0</v>
      </c>
      <c r="C1445" s="9" t="s">
        <v>2044</v>
      </c>
      <c r="D1445" s="1" t="str">
        <f t="shared" si="110"/>
        <v>副手武器</v>
      </c>
      <c r="E1445" s="1">
        <f>INDEX([1]游戏类型定义!$C$20:$C$29,MATCH(D1445,[1]!装备部位,0))</f>
        <v>6</v>
      </c>
      <c r="F1445" s="1">
        <v>5</v>
      </c>
      <c r="G1445" s="1">
        <f t="shared" si="111"/>
        <v>25</v>
      </c>
      <c r="H1445" s="10" t="s">
        <v>2320</v>
      </c>
      <c r="I1445" s="1">
        <v>56000</v>
      </c>
      <c r="J1445" s="1">
        <v>150</v>
      </c>
      <c r="K1445" s="1">
        <v>1500</v>
      </c>
      <c r="L1445" s="1">
        <v>17500</v>
      </c>
      <c r="M1445" s="1" t="s">
        <v>1881</v>
      </c>
      <c r="N1445" s="1" t="s">
        <v>1779</v>
      </c>
      <c r="O1445" s="1">
        <v>0</v>
      </c>
      <c r="P1445" s="1" t="s">
        <v>2075</v>
      </c>
      <c r="Q1445" s="7" t="s">
        <v>2058</v>
      </c>
    </row>
    <row r="1446" spans="1:17" ht="14.25" thickBot="1">
      <c r="A1446" s="1" t="s">
        <v>1559</v>
      </c>
      <c r="B1446" s="3">
        <v>1</v>
      </c>
      <c r="C1446" s="1" t="s">
        <v>2230</v>
      </c>
      <c r="D1446" s="1" t="str">
        <f t="shared" si="110"/>
        <v>主手武器</v>
      </c>
      <c r="E1446" s="1">
        <f>INDEX([1]游戏类型定义!$C$20:$C$29,MATCH(D1446,[1]!装备部位,0))</f>
        <v>5</v>
      </c>
      <c r="F1446" s="1">
        <v>5</v>
      </c>
      <c r="G1446" s="1">
        <f t="shared" si="111"/>
        <v>25</v>
      </c>
      <c r="H1446" s="10" t="s">
        <v>2321</v>
      </c>
      <c r="I1446" s="1">
        <v>50000</v>
      </c>
      <c r="J1446" s="1">
        <v>150</v>
      </c>
      <c r="K1446" s="1">
        <v>1500</v>
      </c>
      <c r="L1446" s="1">
        <v>15000</v>
      </c>
      <c r="M1446" s="1" t="s">
        <v>1879</v>
      </c>
      <c r="N1446" s="1" t="s">
        <v>1779</v>
      </c>
      <c r="O1446" s="1">
        <v>0</v>
      </c>
      <c r="P1446" s="1" t="s">
        <v>2075</v>
      </c>
      <c r="Q1446" s="7" t="s">
        <v>2391</v>
      </c>
    </row>
    <row r="1447" spans="1:17" ht="14.25" thickBot="1">
      <c r="A1447" s="1" t="s">
        <v>1560</v>
      </c>
      <c r="B1447" s="3">
        <v>1</v>
      </c>
      <c r="C1447" s="1" t="s">
        <v>2311</v>
      </c>
      <c r="D1447" s="1" t="str">
        <f t="shared" si="110"/>
        <v>主手武器</v>
      </c>
      <c r="E1447" s="1">
        <f>INDEX([1]游戏类型定义!$C$20:$C$29,MATCH(D1447,[1]!装备部位,0))</f>
        <v>5</v>
      </c>
      <c r="F1447" s="1">
        <v>5</v>
      </c>
      <c r="G1447" s="1">
        <f t="shared" si="111"/>
        <v>25</v>
      </c>
      <c r="H1447" s="10" t="s">
        <v>2321</v>
      </c>
      <c r="I1447" s="1">
        <v>56000</v>
      </c>
      <c r="J1447" s="1">
        <v>150</v>
      </c>
      <c r="K1447" s="1">
        <v>1500</v>
      </c>
      <c r="L1447" s="1">
        <v>17500</v>
      </c>
      <c r="M1447" s="1" t="s">
        <v>2020</v>
      </c>
      <c r="N1447" s="1" t="s">
        <v>1779</v>
      </c>
      <c r="O1447" s="1">
        <v>0</v>
      </c>
      <c r="P1447" s="1" t="s">
        <v>2075</v>
      </c>
      <c r="Q1447" s="7" t="s">
        <v>2392</v>
      </c>
    </row>
    <row r="1448" spans="1:17" ht="14.25" thickBot="1">
      <c r="A1448" s="1" t="s">
        <v>1561</v>
      </c>
      <c r="B1448" s="3">
        <v>1</v>
      </c>
      <c r="C1448" s="9" t="s">
        <v>2231</v>
      </c>
      <c r="D1448" s="1" t="str">
        <f t="shared" si="110"/>
        <v>副手武器</v>
      </c>
      <c r="E1448" s="1">
        <f>INDEX([1]游戏类型定义!$C$20:$C$29,MATCH(D1448,[1]!装备部位,0))</f>
        <v>6</v>
      </c>
      <c r="F1448" s="1">
        <v>5</v>
      </c>
      <c r="G1448" s="1">
        <f t="shared" si="111"/>
        <v>25</v>
      </c>
      <c r="H1448" s="10" t="s">
        <v>2321</v>
      </c>
      <c r="I1448" s="1">
        <v>50000</v>
      </c>
      <c r="J1448" s="1">
        <v>150</v>
      </c>
      <c r="K1448" s="1">
        <v>1500</v>
      </c>
      <c r="L1448" s="1">
        <v>15000</v>
      </c>
      <c r="M1448" s="1" t="s">
        <v>1882</v>
      </c>
      <c r="N1448" s="1" t="s">
        <v>1779</v>
      </c>
      <c r="O1448" s="1">
        <v>0</v>
      </c>
      <c r="P1448" s="1" t="s">
        <v>2075</v>
      </c>
      <c r="Q1448" s="7" t="s">
        <v>2393</v>
      </c>
    </row>
    <row r="1449" spans="1:17" ht="14.25" thickBot="1">
      <c r="A1449" s="1" t="s">
        <v>1562</v>
      </c>
      <c r="B1449" s="2">
        <v>0</v>
      </c>
      <c r="C1449" s="9" t="s">
        <v>2042</v>
      </c>
      <c r="D1449" s="1" t="str">
        <f t="shared" si="110"/>
        <v>副手武器</v>
      </c>
      <c r="E1449" s="1">
        <f>INDEX([1]游戏类型定义!$C$20:$C$29,MATCH(D1449,[1]!装备部位,0))</f>
        <v>6</v>
      </c>
      <c r="F1449" s="1">
        <v>5</v>
      </c>
      <c r="G1449" s="1">
        <f t="shared" si="111"/>
        <v>25</v>
      </c>
      <c r="H1449" s="10" t="s">
        <v>2321</v>
      </c>
      <c r="I1449" s="1">
        <v>56000</v>
      </c>
      <c r="J1449" s="1">
        <v>150</v>
      </c>
      <c r="K1449" s="1">
        <v>1500</v>
      </c>
      <c r="L1449" s="1">
        <v>17500</v>
      </c>
      <c r="M1449" s="1" t="s">
        <v>1883</v>
      </c>
      <c r="N1449" s="1" t="s">
        <v>1779</v>
      </c>
      <c r="O1449" s="1">
        <v>0</v>
      </c>
      <c r="P1449" s="1" t="s">
        <v>2075</v>
      </c>
      <c r="Q1449" s="7" t="s">
        <v>2060</v>
      </c>
    </row>
    <row r="1450" spans="1:17" ht="14.25" thickBot="1">
      <c r="A1450" s="1" t="s">
        <v>1563</v>
      </c>
      <c r="B1450" s="3">
        <v>1</v>
      </c>
      <c r="C1450" s="9" t="s">
        <v>2233</v>
      </c>
      <c r="D1450" s="1" t="str">
        <f t="shared" si="110"/>
        <v>主手武器</v>
      </c>
      <c r="E1450" s="1">
        <f>INDEX([1]游戏类型定义!$C$20:$C$29,MATCH(D1450,[1]!装备部位,0))</f>
        <v>5</v>
      </c>
      <c r="F1450" s="1">
        <v>5</v>
      </c>
      <c r="G1450" s="1">
        <f t="shared" si="111"/>
        <v>25</v>
      </c>
      <c r="H1450" s="10" t="s">
        <v>2322</v>
      </c>
      <c r="I1450" s="1">
        <v>50000</v>
      </c>
      <c r="J1450" s="1">
        <v>150</v>
      </c>
      <c r="K1450" s="1">
        <v>1500</v>
      </c>
      <c r="L1450" s="1">
        <v>15000</v>
      </c>
      <c r="M1450" s="1" t="s">
        <v>1879</v>
      </c>
      <c r="N1450" s="1" t="s">
        <v>1779</v>
      </c>
      <c r="O1450" s="1">
        <v>0</v>
      </c>
      <c r="P1450" s="1" t="s">
        <v>2075</v>
      </c>
      <c r="Q1450" s="7" t="s">
        <v>2394</v>
      </c>
    </row>
    <row r="1451" spans="1:17" ht="14.25" thickBot="1">
      <c r="A1451" s="1" t="s">
        <v>1564</v>
      </c>
      <c r="B1451" s="2">
        <v>0</v>
      </c>
      <c r="C1451" s="9" t="s">
        <v>2232</v>
      </c>
      <c r="D1451" s="1" t="str">
        <f t="shared" si="110"/>
        <v>主手武器</v>
      </c>
      <c r="E1451" s="1">
        <f>INDEX([1]游戏类型定义!$C$20:$C$29,MATCH(D1451,[1]!装备部位,0))</f>
        <v>5</v>
      </c>
      <c r="F1451" s="1">
        <v>5</v>
      </c>
      <c r="G1451" s="1">
        <f t="shared" si="111"/>
        <v>25</v>
      </c>
      <c r="H1451" s="10" t="s">
        <v>2322</v>
      </c>
      <c r="I1451" s="1">
        <v>56000</v>
      </c>
      <c r="J1451" s="1">
        <v>150</v>
      </c>
      <c r="K1451" s="1">
        <v>1500</v>
      </c>
      <c r="L1451" s="1">
        <v>17500</v>
      </c>
      <c r="M1451" s="1" t="s">
        <v>2020</v>
      </c>
      <c r="N1451" s="1" t="s">
        <v>1779</v>
      </c>
      <c r="O1451" s="1">
        <v>0</v>
      </c>
      <c r="P1451" s="1" t="s">
        <v>2075</v>
      </c>
      <c r="Q1451" s="7" t="s">
        <v>2395</v>
      </c>
    </row>
    <row r="1452" spans="1:17" ht="14.25" thickBot="1">
      <c r="A1452" s="1" t="s">
        <v>1565</v>
      </c>
      <c r="B1452" s="3">
        <v>1</v>
      </c>
      <c r="C1452" s="9" t="s">
        <v>2234</v>
      </c>
      <c r="D1452" s="1" t="str">
        <f t="shared" si="110"/>
        <v>副手武器</v>
      </c>
      <c r="E1452" s="1">
        <f>INDEX([1]游戏类型定义!$C$20:$C$29,MATCH(D1452,[1]!装备部位,0))</f>
        <v>6</v>
      </c>
      <c r="F1452" s="1">
        <v>5</v>
      </c>
      <c r="G1452" s="1">
        <f t="shared" si="111"/>
        <v>25</v>
      </c>
      <c r="H1452" s="10" t="s">
        <v>2322</v>
      </c>
      <c r="I1452" s="1">
        <v>50000</v>
      </c>
      <c r="J1452" s="1">
        <v>150</v>
      </c>
      <c r="K1452" s="1">
        <v>1500</v>
      </c>
      <c r="L1452" s="1">
        <v>15000</v>
      </c>
      <c r="M1452" s="1" t="s">
        <v>1884</v>
      </c>
      <c r="N1452" s="1" t="s">
        <v>1779</v>
      </c>
      <c r="O1452" s="1">
        <v>0</v>
      </c>
      <c r="P1452" s="1" t="s">
        <v>2075</v>
      </c>
      <c r="Q1452" s="7" t="s">
        <v>2396</v>
      </c>
    </row>
    <row r="1453" spans="1:17" ht="14.25" thickBot="1">
      <c r="A1453" s="1" t="s">
        <v>1566</v>
      </c>
      <c r="B1453" s="2">
        <v>0</v>
      </c>
      <c r="C1453" s="9" t="s">
        <v>2050</v>
      </c>
      <c r="D1453" s="1" t="str">
        <f t="shared" si="110"/>
        <v>副手武器</v>
      </c>
      <c r="E1453" s="1">
        <f>INDEX([1]游戏类型定义!$C$20:$C$29,MATCH(D1453,[1]!装备部位,0))</f>
        <v>6</v>
      </c>
      <c r="F1453" s="1">
        <v>5</v>
      </c>
      <c r="G1453" s="1">
        <f t="shared" si="111"/>
        <v>25</v>
      </c>
      <c r="H1453" s="10" t="s">
        <v>2322</v>
      </c>
      <c r="I1453" s="1">
        <v>56000</v>
      </c>
      <c r="J1453" s="1">
        <v>150</v>
      </c>
      <c r="K1453" s="1">
        <v>1500</v>
      </c>
      <c r="L1453" s="1">
        <v>17500</v>
      </c>
      <c r="M1453" s="1" t="s">
        <v>1885</v>
      </c>
      <c r="N1453" s="1" t="s">
        <v>1779</v>
      </c>
      <c r="O1453" s="1">
        <v>0</v>
      </c>
      <c r="P1453" s="1" t="s">
        <v>2075</v>
      </c>
      <c r="Q1453" s="7" t="s">
        <v>2062</v>
      </c>
    </row>
    <row r="1454" spans="1:17" ht="14.25" thickBot="1">
      <c r="A1454" s="1" t="s">
        <v>1567</v>
      </c>
      <c r="B1454" s="3">
        <v>1</v>
      </c>
      <c r="C1454" s="1" t="s">
        <v>2163</v>
      </c>
      <c r="D1454" s="1" t="str">
        <f t="shared" si="110"/>
        <v>胸甲</v>
      </c>
      <c r="E1454" s="1">
        <f>INDEX([1]游戏类型定义!$C$20:$C$29,MATCH(D1454,[1]!装备部位,0))</f>
        <v>4</v>
      </c>
      <c r="F1454" s="1">
        <v>5</v>
      </c>
      <c r="G1454" s="1">
        <f t="shared" si="111"/>
        <v>25</v>
      </c>
      <c r="H1454" s="10">
        <v>0</v>
      </c>
      <c r="I1454" s="1">
        <v>50000</v>
      </c>
      <c r="J1454" s="1">
        <v>150</v>
      </c>
      <c r="K1454" s="1">
        <v>1500</v>
      </c>
      <c r="L1454" s="1">
        <v>15000</v>
      </c>
      <c r="M1454" s="1" t="s">
        <v>1886</v>
      </c>
      <c r="N1454" s="1" t="s">
        <v>1778</v>
      </c>
      <c r="O1454" s="1">
        <v>0</v>
      </c>
      <c r="P1454" s="1" t="s">
        <v>2075</v>
      </c>
      <c r="Q1454" s="7" t="s">
        <v>2397</v>
      </c>
    </row>
    <row r="1455" spans="1:17" ht="14.25" thickBot="1">
      <c r="A1455" s="1" t="s">
        <v>1568</v>
      </c>
      <c r="B1455" s="2">
        <v>0</v>
      </c>
      <c r="C1455" s="1" t="s">
        <v>2030</v>
      </c>
      <c r="D1455" s="1" t="str">
        <f t="shared" si="110"/>
        <v>胸甲</v>
      </c>
      <c r="E1455" s="1">
        <f>INDEX([1]游戏类型定义!$C$20:$C$29,MATCH(D1455,[1]!装备部位,0))</f>
        <v>4</v>
      </c>
      <c r="F1455" s="1">
        <v>5</v>
      </c>
      <c r="G1455" s="1">
        <f t="shared" si="111"/>
        <v>25</v>
      </c>
      <c r="H1455" s="10">
        <v>0</v>
      </c>
      <c r="I1455" s="1">
        <v>56000</v>
      </c>
      <c r="J1455" s="1">
        <v>150</v>
      </c>
      <c r="K1455" s="1">
        <v>1500</v>
      </c>
      <c r="L1455" s="1">
        <v>17500</v>
      </c>
      <c r="M1455" s="1" t="s">
        <v>1887</v>
      </c>
      <c r="N1455" s="1" t="s">
        <v>1778</v>
      </c>
      <c r="O1455" s="1">
        <v>0</v>
      </c>
      <c r="P1455" s="1" t="s">
        <v>2075</v>
      </c>
      <c r="Q1455" s="7" t="s">
        <v>2063</v>
      </c>
    </row>
    <row r="1456" spans="1:17" ht="14.25" thickBot="1">
      <c r="A1456" s="1" t="s">
        <v>1569</v>
      </c>
      <c r="B1456" s="3">
        <v>1</v>
      </c>
      <c r="C1456" s="1" t="s">
        <v>2181</v>
      </c>
      <c r="D1456" s="1" t="str">
        <f t="shared" ref="D1456:D1475" si="112">D1126</f>
        <v>护腿</v>
      </c>
      <c r="E1456" s="1">
        <f>INDEX([1]游戏类型定义!$C$20:$C$29,MATCH(D1456,[1]!装备部位,0))</f>
        <v>7</v>
      </c>
      <c r="F1456" s="1">
        <v>5</v>
      </c>
      <c r="G1456" s="1">
        <f t="shared" ref="G1456:G1475" si="113">G1126</f>
        <v>25</v>
      </c>
      <c r="H1456" s="10">
        <v>0</v>
      </c>
      <c r="I1456" s="1">
        <v>50000</v>
      </c>
      <c r="J1456" s="1">
        <v>150</v>
      </c>
      <c r="K1456" s="1">
        <v>1500</v>
      </c>
      <c r="L1456" s="1">
        <v>15000</v>
      </c>
      <c r="M1456" s="1" t="s">
        <v>1888</v>
      </c>
      <c r="N1456" s="1" t="s">
        <v>1778</v>
      </c>
      <c r="O1456" s="1">
        <v>0</v>
      </c>
      <c r="P1456" s="1" t="s">
        <v>2075</v>
      </c>
      <c r="Q1456" s="7" t="s">
        <v>2398</v>
      </c>
    </row>
    <row r="1457" spans="1:17" ht="14.25" thickBot="1">
      <c r="A1457" s="1" t="s">
        <v>1570</v>
      </c>
      <c r="B1457" s="2">
        <v>0</v>
      </c>
      <c r="C1457" s="1" t="s">
        <v>2038</v>
      </c>
      <c r="D1457" s="1" t="str">
        <f t="shared" si="112"/>
        <v>护腿</v>
      </c>
      <c r="E1457" s="1">
        <f>INDEX([1]游戏类型定义!$C$20:$C$29,MATCH(D1457,[1]!装备部位,0))</f>
        <v>7</v>
      </c>
      <c r="F1457" s="1">
        <v>5</v>
      </c>
      <c r="G1457" s="1">
        <f t="shared" si="113"/>
        <v>25</v>
      </c>
      <c r="H1457" s="10">
        <v>0</v>
      </c>
      <c r="I1457" s="1">
        <v>56000</v>
      </c>
      <c r="J1457" s="1">
        <v>150</v>
      </c>
      <c r="K1457" s="1">
        <v>1500</v>
      </c>
      <c r="L1457" s="1">
        <v>17500</v>
      </c>
      <c r="M1457" s="1" t="s">
        <v>1889</v>
      </c>
      <c r="N1457" s="1" t="s">
        <v>1778</v>
      </c>
      <c r="O1457" s="1">
        <v>0</v>
      </c>
      <c r="P1457" s="1" t="s">
        <v>2075</v>
      </c>
      <c r="Q1457" s="7" t="s">
        <v>2064</v>
      </c>
    </row>
    <row r="1458" spans="1:17" ht="14.25" thickBot="1">
      <c r="A1458" s="1" t="s">
        <v>1571</v>
      </c>
      <c r="B1458" s="3">
        <v>1</v>
      </c>
      <c r="C1458" s="1" t="s">
        <v>2099</v>
      </c>
      <c r="D1458" s="1" t="str">
        <f t="shared" si="112"/>
        <v>头盔</v>
      </c>
      <c r="E1458" s="1">
        <f>INDEX([1]游戏类型定义!$C$20:$C$29,MATCH(D1458,[1]!装备部位,0))</f>
        <v>1</v>
      </c>
      <c r="F1458" s="1">
        <v>5</v>
      </c>
      <c r="G1458" s="1">
        <f t="shared" si="113"/>
        <v>30</v>
      </c>
      <c r="H1458" s="10">
        <v>0</v>
      </c>
      <c r="I1458" s="1">
        <v>60000</v>
      </c>
      <c r="J1458" s="1">
        <v>150</v>
      </c>
      <c r="K1458" s="1">
        <v>1500</v>
      </c>
      <c r="L1458" s="1">
        <v>17500</v>
      </c>
      <c r="M1458" s="1" t="s">
        <v>1890</v>
      </c>
      <c r="N1458" s="1" t="s">
        <v>1780</v>
      </c>
      <c r="O1458" s="1">
        <v>0</v>
      </c>
      <c r="P1458" s="1" t="s">
        <v>2076</v>
      </c>
      <c r="Q1458" s="7" t="s">
        <v>2399</v>
      </c>
    </row>
    <row r="1459" spans="1:17" ht="14.25" thickBot="1">
      <c r="A1459" s="1" t="s">
        <v>1572</v>
      </c>
      <c r="B1459" s="3">
        <v>1</v>
      </c>
      <c r="C1459" s="1" t="s">
        <v>2111</v>
      </c>
      <c r="D1459" s="1" t="str">
        <f t="shared" si="112"/>
        <v>戒指</v>
      </c>
      <c r="E1459" s="1">
        <f>INDEX([1]游戏类型定义!$C$20:$C$29,MATCH(D1459,[1]!装备部位,0))</f>
        <v>2</v>
      </c>
      <c r="F1459" s="1">
        <v>5</v>
      </c>
      <c r="G1459" s="1">
        <f t="shared" si="113"/>
        <v>30</v>
      </c>
      <c r="H1459" s="10">
        <v>0</v>
      </c>
      <c r="I1459" s="1">
        <v>60000</v>
      </c>
      <c r="J1459" s="1">
        <v>150</v>
      </c>
      <c r="K1459" s="1">
        <v>1500</v>
      </c>
      <c r="L1459" s="1">
        <v>17500</v>
      </c>
      <c r="M1459" s="1" t="s">
        <v>1891</v>
      </c>
      <c r="N1459" s="1" t="s">
        <v>1780</v>
      </c>
      <c r="O1459" s="1">
        <v>0</v>
      </c>
      <c r="P1459" s="1" t="s">
        <v>2076</v>
      </c>
      <c r="Q1459" s="7" t="s">
        <v>2400</v>
      </c>
    </row>
    <row r="1460" spans="1:17" ht="14.25" thickBot="1">
      <c r="A1460" s="1" t="s">
        <v>1573</v>
      </c>
      <c r="B1460" s="2">
        <v>0</v>
      </c>
      <c r="C1460" s="1" t="s">
        <v>2094</v>
      </c>
      <c r="D1460" s="1" t="str">
        <f t="shared" si="112"/>
        <v>腰带</v>
      </c>
      <c r="E1460" s="1">
        <f>INDEX([1]游戏类型定义!$C$20:$C$29,MATCH(D1460,[1]!装备部位,0))</f>
        <v>3</v>
      </c>
      <c r="F1460" s="1">
        <v>5</v>
      </c>
      <c r="G1460" s="1">
        <f t="shared" si="113"/>
        <v>30</v>
      </c>
      <c r="H1460" s="10">
        <v>0</v>
      </c>
      <c r="I1460" s="1">
        <v>60000</v>
      </c>
      <c r="J1460" s="1">
        <v>150</v>
      </c>
      <c r="K1460" s="1">
        <v>1500</v>
      </c>
      <c r="L1460" s="1">
        <v>17500</v>
      </c>
      <c r="M1460" s="1" t="s">
        <v>1876</v>
      </c>
      <c r="N1460" s="1" t="s">
        <v>1780</v>
      </c>
      <c r="O1460" s="1">
        <v>0</v>
      </c>
      <c r="P1460" s="1" t="s">
        <v>2076</v>
      </c>
      <c r="Q1460" s="7" t="s">
        <v>2053</v>
      </c>
    </row>
    <row r="1461" spans="1:17" ht="14.25" thickBot="1">
      <c r="A1461" s="1" t="s">
        <v>1574</v>
      </c>
      <c r="B1461" s="3">
        <v>1</v>
      </c>
      <c r="C1461" s="1" t="s">
        <v>2123</v>
      </c>
      <c r="D1461" s="1" t="str">
        <f t="shared" si="112"/>
        <v>鞋子</v>
      </c>
      <c r="E1461" s="1">
        <f>INDEX([1]游戏类型定义!$C$20:$C$29,MATCH(D1461,[1]!装备部位,0))</f>
        <v>8</v>
      </c>
      <c r="F1461" s="1">
        <v>5</v>
      </c>
      <c r="G1461" s="1">
        <f t="shared" si="113"/>
        <v>30</v>
      </c>
      <c r="H1461" s="10">
        <v>0</v>
      </c>
      <c r="I1461" s="1">
        <v>60000</v>
      </c>
      <c r="J1461" s="1">
        <v>150</v>
      </c>
      <c r="K1461" s="1">
        <v>1500</v>
      </c>
      <c r="L1461" s="1">
        <v>17500</v>
      </c>
      <c r="M1461" s="1" t="s">
        <v>1892</v>
      </c>
      <c r="N1461" s="1" t="s">
        <v>1780</v>
      </c>
      <c r="O1461" s="1">
        <v>0</v>
      </c>
      <c r="P1461" s="1" t="s">
        <v>2076</v>
      </c>
      <c r="Q1461" s="7" t="s">
        <v>2401</v>
      </c>
    </row>
    <row r="1462" spans="1:17" ht="14.25" thickBot="1">
      <c r="A1462" s="1" t="s">
        <v>1575</v>
      </c>
      <c r="B1462" s="3">
        <v>1</v>
      </c>
      <c r="C1462" s="1" t="s">
        <v>2135</v>
      </c>
      <c r="D1462" s="1" t="str">
        <f t="shared" si="112"/>
        <v>手套</v>
      </c>
      <c r="E1462" s="1">
        <f>INDEX([1]游戏类型定义!$C$20:$C$29,MATCH(D1462,[1]!装备部位,0))</f>
        <v>9</v>
      </c>
      <c r="F1462" s="1">
        <v>5</v>
      </c>
      <c r="G1462" s="1">
        <f t="shared" si="113"/>
        <v>30</v>
      </c>
      <c r="H1462" s="10">
        <v>0</v>
      </c>
      <c r="I1462" s="1">
        <v>60000</v>
      </c>
      <c r="J1462" s="1">
        <v>150</v>
      </c>
      <c r="K1462" s="1">
        <v>1500</v>
      </c>
      <c r="L1462" s="1">
        <v>17500</v>
      </c>
      <c r="M1462" s="1" t="s">
        <v>1893</v>
      </c>
      <c r="N1462" s="1" t="s">
        <v>1780</v>
      </c>
      <c r="O1462" s="1">
        <v>0</v>
      </c>
      <c r="P1462" s="1" t="s">
        <v>2076</v>
      </c>
      <c r="Q1462" s="7" t="s">
        <v>2402</v>
      </c>
    </row>
    <row r="1463" spans="1:17" ht="14.25" thickBot="1">
      <c r="A1463" s="1" t="s">
        <v>1576</v>
      </c>
      <c r="B1463" s="3">
        <v>1</v>
      </c>
      <c r="C1463" s="1" t="s">
        <v>2149</v>
      </c>
      <c r="D1463" s="1" t="str">
        <f t="shared" si="112"/>
        <v>项链</v>
      </c>
      <c r="E1463" s="1">
        <f>INDEX([1]游戏类型定义!$C$20:$C$29,MATCH(D1463,[1]!装备部位,0))</f>
        <v>10</v>
      </c>
      <c r="F1463" s="1">
        <v>5</v>
      </c>
      <c r="G1463" s="1">
        <f t="shared" si="113"/>
        <v>30</v>
      </c>
      <c r="H1463" s="10">
        <v>0</v>
      </c>
      <c r="I1463" s="1">
        <v>60000</v>
      </c>
      <c r="J1463" s="1">
        <v>150</v>
      </c>
      <c r="K1463" s="1">
        <v>1500</v>
      </c>
      <c r="L1463" s="1">
        <v>17500</v>
      </c>
      <c r="M1463" s="1" t="s">
        <v>1894</v>
      </c>
      <c r="N1463" s="1" t="s">
        <v>1780</v>
      </c>
      <c r="O1463" s="1">
        <v>0</v>
      </c>
      <c r="P1463" s="1" t="s">
        <v>2076</v>
      </c>
      <c r="Q1463" s="7" t="s">
        <v>2403</v>
      </c>
    </row>
    <row r="1464" spans="1:17" ht="14.25" thickBot="1">
      <c r="A1464" s="1" t="s">
        <v>1577</v>
      </c>
      <c r="B1464" s="3">
        <v>1</v>
      </c>
      <c r="C1464" s="9" t="s">
        <v>2313</v>
      </c>
      <c r="D1464" s="1" t="str">
        <f t="shared" si="112"/>
        <v>主手武器</v>
      </c>
      <c r="E1464" s="1">
        <f>INDEX([1]游戏类型定义!$C$20:$C$29,MATCH(D1464,[1]!装备部位,0))</f>
        <v>5</v>
      </c>
      <c r="F1464" s="1">
        <v>5</v>
      </c>
      <c r="G1464" s="1">
        <f t="shared" si="113"/>
        <v>30</v>
      </c>
      <c r="H1464" s="10" t="s">
        <v>2320</v>
      </c>
      <c r="I1464" s="1">
        <v>60000</v>
      </c>
      <c r="J1464" s="1">
        <v>150</v>
      </c>
      <c r="K1464" s="1">
        <v>1500</v>
      </c>
      <c r="L1464" s="1">
        <v>17500</v>
      </c>
      <c r="M1464" s="1" t="s">
        <v>1895</v>
      </c>
      <c r="N1464" s="1" t="s">
        <v>1781</v>
      </c>
      <c r="O1464" s="1">
        <v>0</v>
      </c>
      <c r="P1464" s="1" t="s">
        <v>2076</v>
      </c>
      <c r="Q1464" s="7" t="s">
        <v>2404</v>
      </c>
    </row>
    <row r="1465" spans="1:17" ht="14.25" thickBot="1">
      <c r="A1465" s="1" t="s">
        <v>1578</v>
      </c>
      <c r="B1465" s="3">
        <v>1</v>
      </c>
      <c r="C1465" s="9" t="s">
        <v>2235</v>
      </c>
      <c r="D1465" s="1" t="str">
        <f t="shared" si="112"/>
        <v>主手武器</v>
      </c>
      <c r="E1465" s="1">
        <f>INDEX([1]游戏类型定义!$C$20:$C$29,MATCH(D1465,[1]!装备部位,0))</f>
        <v>5</v>
      </c>
      <c r="F1465" s="1">
        <v>5</v>
      </c>
      <c r="G1465" s="1">
        <f t="shared" si="113"/>
        <v>30</v>
      </c>
      <c r="H1465" s="10" t="s">
        <v>2320</v>
      </c>
      <c r="I1465" s="1">
        <v>66000</v>
      </c>
      <c r="J1465" s="1">
        <v>150</v>
      </c>
      <c r="K1465" s="1">
        <v>1500</v>
      </c>
      <c r="L1465" s="1">
        <v>20000</v>
      </c>
      <c r="M1465" s="1" t="s">
        <v>2021</v>
      </c>
      <c r="N1465" s="1" t="s">
        <v>1781</v>
      </c>
      <c r="O1465" s="1">
        <v>0</v>
      </c>
      <c r="P1465" s="1" t="s">
        <v>2076</v>
      </c>
      <c r="Q1465" s="7" t="s">
        <v>2405</v>
      </c>
    </row>
    <row r="1466" spans="1:17" ht="14.25" thickBot="1">
      <c r="A1466" s="1" t="s">
        <v>1579</v>
      </c>
      <c r="B1466" s="3">
        <v>1</v>
      </c>
      <c r="C1466" s="9" t="s">
        <v>2236</v>
      </c>
      <c r="D1466" s="1" t="str">
        <f t="shared" si="112"/>
        <v>副手武器</v>
      </c>
      <c r="E1466" s="1">
        <f>INDEX([1]游戏类型定义!$C$20:$C$29,MATCH(D1466,[1]!装备部位,0))</f>
        <v>6</v>
      </c>
      <c r="F1466" s="1">
        <v>5</v>
      </c>
      <c r="G1466" s="1">
        <f t="shared" si="113"/>
        <v>30</v>
      </c>
      <c r="H1466" s="10" t="s">
        <v>2320</v>
      </c>
      <c r="I1466" s="1">
        <v>60000</v>
      </c>
      <c r="J1466" s="1">
        <v>150</v>
      </c>
      <c r="K1466" s="1">
        <v>1500</v>
      </c>
      <c r="L1466" s="1">
        <v>17500</v>
      </c>
      <c r="M1466" s="1" t="s">
        <v>1896</v>
      </c>
      <c r="N1466" s="1" t="s">
        <v>1781</v>
      </c>
      <c r="O1466" s="1">
        <v>0</v>
      </c>
      <c r="P1466" s="1" t="s">
        <v>2076</v>
      </c>
      <c r="Q1466" s="7" t="s">
        <v>2406</v>
      </c>
    </row>
    <row r="1467" spans="1:17" ht="14.25" thickBot="1">
      <c r="A1467" s="1" t="s">
        <v>1580</v>
      </c>
      <c r="B1467" s="2">
        <v>0</v>
      </c>
      <c r="C1467" s="9" t="s">
        <v>2237</v>
      </c>
      <c r="D1467" s="1" t="str">
        <f t="shared" si="112"/>
        <v>副手武器</v>
      </c>
      <c r="E1467" s="1">
        <f>INDEX([1]游戏类型定义!$C$20:$C$29,MATCH(D1467,[1]!装备部位,0))</f>
        <v>6</v>
      </c>
      <c r="F1467" s="1">
        <v>5</v>
      </c>
      <c r="G1467" s="1">
        <f t="shared" si="113"/>
        <v>30</v>
      </c>
      <c r="H1467" s="10" t="s">
        <v>2320</v>
      </c>
      <c r="I1467" s="1">
        <v>66000</v>
      </c>
      <c r="J1467" s="1">
        <v>150</v>
      </c>
      <c r="K1467" s="1">
        <v>1500</v>
      </c>
      <c r="L1467" s="1">
        <v>20000</v>
      </c>
      <c r="M1467" s="1" t="s">
        <v>1897</v>
      </c>
      <c r="N1467" s="1" t="s">
        <v>1781</v>
      </c>
      <c r="O1467" s="1">
        <v>0</v>
      </c>
      <c r="P1467" s="1" t="s">
        <v>2076</v>
      </c>
      <c r="Q1467" s="7" t="s">
        <v>2407</v>
      </c>
    </row>
    <row r="1468" spans="1:17" ht="14.25" thickBot="1">
      <c r="A1468" s="1" t="s">
        <v>1581</v>
      </c>
      <c r="B1468" s="3">
        <v>1</v>
      </c>
      <c r="C1468" s="1" t="s">
        <v>2239</v>
      </c>
      <c r="D1468" s="1" t="str">
        <f t="shared" si="112"/>
        <v>主手武器</v>
      </c>
      <c r="E1468" s="1">
        <f>INDEX([1]游戏类型定义!$C$20:$C$29,MATCH(D1468,[1]!装备部位,0))</f>
        <v>5</v>
      </c>
      <c r="F1468" s="1">
        <v>5</v>
      </c>
      <c r="G1468" s="1">
        <f t="shared" si="113"/>
        <v>30</v>
      </c>
      <c r="H1468" s="10" t="s">
        <v>2321</v>
      </c>
      <c r="I1468" s="1">
        <v>60000</v>
      </c>
      <c r="J1468" s="1">
        <v>150</v>
      </c>
      <c r="K1468" s="1">
        <v>1500</v>
      </c>
      <c r="L1468" s="1">
        <v>17500</v>
      </c>
      <c r="M1468" s="1" t="s">
        <v>1895</v>
      </c>
      <c r="N1468" s="1" t="s">
        <v>1781</v>
      </c>
      <c r="O1468" s="1">
        <v>0</v>
      </c>
      <c r="P1468" s="1" t="s">
        <v>2076</v>
      </c>
      <c r="Q1468" s="7" t="s">
        <v>2408</v>
      </c>
    </row>
    <row r="1469" spans="1:17" ht="14.25" thickBot="1">
      <c r="A1469" s="1" t="s">
        <v>1582</v>
      </c>
      <c r="B1469" s="3">
        <v>1</v>
      </c>
      <c r="C1469" s="1" t="s">
        <v>2238</v>
      </c>
      <c r="D1469" s="1" t="str">
        <f t="shared" si="112"/>
        <v>主手武器</v>
      </c>
      <c r="E1469" s="1">
        <f>INDEX([1]游戏类型定义!$C$20:$C$29,MATCH(D1469,[1]!装备部位,0))</f>
        <v>5</v>
      </c>
      <c r="F1469" s="1">
        <v>5</v>
      </c>
      <c r="G1469" s="1">
        <f t="shared" si="113"/>
        <v>30</v>
      </c>
      <c r="H1469" s="10" t="s">
        <v>2321</v>
      </c>
      <c r="I1469" s="1">
        <v>66000</v>
      </c>
      <c r="J1469" s="1">
        <v>150</v>
      </c>
      <c r="K1469" s="1">
        <v>1500</v>
      </c>
      <c r="L1469" s="1">
        <v>20000</v>
      </c>
      <c r="M1469" s="1" t="s">
        <v>2021</v>
      </c>
      <c r="N1469" s="1" t="s">
        <v>1781</v>
      </c>
      <c r="O1469" s="1">
        <v>0</v>
      </c>
      <c r="P1469" s="1" t="s">
        <v>2076</v>
      </c>
      <c r="Q1469" s="7" t="s">
        <v>2409</v>
      </c>
    </row>
    <row r="1470" spans="1:17" ht="14.25" thickBot="1">
      <c r="A1470" s="1" t="s">
        <v>1583</v>
      </c>
      <c r="B1470" s="3">
        <v>1</v>
      </c>
      <c r="C1470" s="9" t="s">
        <v>2240</v>
      </c>
      <c r="D1470" s="1" t="str">
        <f t="shared" si="112"/>
        <v>副手武器</v>
      </c>
      <c r="E1470" s="1">
        <f>INDEX([1]游戏类型定义!$C$20:$C$29,MATCH(D1470,[1]!装备部位,0))</f>
        <v>6</v>
      </c>
      <c r="F1470" s="1">
        <v>5</v>
      </c>
      <c r="G1470" s="1">
        <f t="shared" si="113"/>
        <v>30</v>
      </c>
      <c r="H1470" s="10" t="s">
        <v>2321</v>
      </c>
      <c r="I1470" s="1">
        <v>60000</v>
      </c>
      <c r="J1470" s="1">
        <v>150</v>
      </c>
      <c r="K1470" s="1">
        <v>1500</v>
      </c>
      <c r="L1470" s="1">
        <v>17500</v>
      </c>
      <c r="M1470" s="1" t="s">
        <v>1898</v>
      </c>
      <c r="N1470" s="1" t="s">
        <v>1781</v>
      </c>
      <c r="O1470" s="1">
        <v>0</v>
      </c>
      <c r="P1470" s="1" t="s">
        <v>2076</v>
      </c>
      <c r="Q1470" s="7" t="s">
        <v>2410</v>
      </c>
    </row>
    <row r="1471" spans="1:17" ht="14.25" thickBot="1">
      <c r="A1471" s="1" t="s">
        <v>1584</v>
      </c>
      <c r="B1471" s="2">
        <v>0</v>
      </c>
      <c r="C1471" s="9" t="s">
        <v>2241</v>
      </c>
      <c r="D1471" s="1" t="str">
        <f t="shared" si="112"/>
        <v>副手武器</v>
      </c>
      <c r="E1471" s="1">
        <f>INDEX([1]游戏类型定义!$C$20:$C$29,MATCH(D1471,[1]!装备部位,0))</f>
        <v>6</v>
      </c>
      <c r="F1471" s="1">
        <v>5</v>
      </c>
      <c r="G1471" s="1">
        <f t="shared" si="113"/>
        <v>30</v>
      </c>
      <c r="H1471" s="10" t="s">
        <v>2321</v>
      </c>
      <c r="I1471" s="1">
        <v>66000</v>
      </c>
      <c r="J1471" s="1">
        <v>150</v>
      </c>
      <c r="K1471" s="1">
        <v>1500</v>
      </c>
      <c r="L1471" s="1">
        <v>20000</v>
      </c>
      <c r="M1471" s="1" t="s">
        <v>1899</v>
      </c>
      <c r="N1471" s="1" t="s">
        <v>1781</v>
      </c>
      <c r="O1471" s="1">
        <v>0</v>
      </c>
      <c r="P1471" s="1" t="s">
        <v>2076</v>
      </c>
      <c r="Q1471" s="7" t="s">
        <v>2411</v>
      </c>
    </row>
    <row r="1472" spans="1:17" ht="14.25" thickBot="1">
      <c r="A1472" s="1" t="s">
        <v>1585</v>
      </c>
      <c r="B1472" s="3">
        <v>1</v>
      </c>
      <c r="C1472" s="9" t="s">
        <v>2232</v>
      </c>
      <c r="D1472" s="1" t="str">
        <f t="shared" si="112"/>
        <v>主手武器</v>
      </c>
      <c r="E1472" s="1">
        <f>INDEX([1]游戏类型定义!$C$20:$C$29,MATCH(D1472,[1]!装备部位,0))</f>
        <v>5</v>
      </c>
      <c r="F1472" s="1">
        <v>5</v>
      </c>
      <c r="G1472" s="1">
        <f t="shared" si="113"/>
        <v>30</v>
      </c>
      <c r="H1472" s="10" t="s">
        <v>2322</v>
      </c>
      <c r="I1472" s="1">
        <v>60000</v>
      </c>
      <c r="J1472" s="1">
        <v>150</v>
      </c>
      <c r="K1472" s="1">
        <v>1500</v>
      </c>
      <c r="L1472" s="1">
        <v>17500</v>
      </c>
      <c r="M1472" s="1" t="s">
        <v>1895</v>
      </c>
      <c r="N1472" s="1" t="s">
        <v>1781</v>
      </c>
      <c r="O1472" s="1">
        <v>0</v>
      </c>
      <c r="P1472" s="1" t="s">
        <v>2076</v>
      </c>
      <c r="Q1472" s="7" t="s">
        <v>2395</v>
      </c>
    </row>
    <row r="1473" spans="1:17" ht="14.25" thickBot="1">
      <c r="A1473" s="1" t="s">
        <v>1586</v>
      </c>
      <c r="B1473" s="3">
        <v>1</v>
      </c>
      <c r="C1473" s="9" t="s">
        <v>2251</v>
      </c>
      <c r="D1473" s="1" t="str">
        <f t="shared" si="112"/>
        <v>主手武器</v>
      </c>
      <c r="E1473" s="1">
        <f>INDEX([1]游戏类型定义!$C$20:$C$29,MATCH(D1473,[1]!装备部位,0))</f>
        <v>5</v>
      </c>
      <c r="F1473" s="1">
        <v>5</v>
      </c>
      <c r="G1473" s="1">
        <f t="shared" si="113"/>
        <v>30</v>
      </c>
      <c r="H1473" s="10" t="s">
        <v>2322</v>
      </c>
      <c r="I1473" s="1">
        <v>66000</v>
      </c>
      <c r="J1473" s="1">
        <v>150</v>
      </c>
      <c r="K1473" s="1">
        <v>1500</v>
      </c>
      <c r="L1473" s="1">
        <v>20000</v>
      </c>
      <c r="M1473" s="1" t="s">
        <v>2021</v>
      </c>
      <c r="N1473" s="1" t="s">
        <v>1781</v>
      </c>
      <c r="O1473" s="1">
        <v>0</v>
      </c>
      <c r="P1473" s="1" t="s">
        <v>2076</v>
      </c>
      <c r="Q1473" s="7" t="s">
        <v>2412</v>
      </c>
    </row>
    <row r="1474" spans="1:17" ht="14.25" thickBot="1">
      <c r="A1474" s="1" t="s">
        <v>1587</v>
      </c>
      <c r="B1474" s="3">
        <v>1</v>
      </c>
      <c r="C1474" s="9" t="s">
        <v>2243</v>
      </c>
      <c r="D1474" s="1" t="str">
        <f t="shared" si="112"/>
        <v>副手武器</v>
      </c>
      <c r="E1474" s="1">
        <f>INDEX([1]游戏类型定义!$C$20:$C$29,MATCH(D1474,[1]!装备部位,0))</f>
        <v>6</v>
      </c>
      <c r="F1474" s="1">
        <v>5</v>
      </c>
      <c r="G1474" s="1">
        <f t="shared" si="113"/>
        <v>30</v>
      </c>
      <c r="H1474" s="10" t="s">
        <v>2322</v>
      </c>
      <c r="I1474" s="1">
        <v>60000</v>
      </c>
      <c r="J1474" s="1">
        <v>150</v>
      </c>
      <c r="K1474" s="1">
        <v>1500</v>
      </c>
      <c r="L1474" s="1">
        <v>17500</v>
      </c>
      <c r="M1474" s="1" t="s">
        <v>1900</v>
      </c>
      <c r="N1474" s="1" t="s">
        <v>1781</v>
      </c>
      <c r="O1474" s="1">
        <v>0</v>
      </c>
      <c r="P1474" s="1" t="s">
        <v>2076</v>
      </c>
      <c r="Q1474" s="7" t="s">
        <v>2413</v>
      </c>
    </row>
    <row r="1475" spans="1:17" ht="14.25" thickBot="1">
      <c r="A1475" s="1" t="s">
        <v>1588</v>
      </c>
      <c r="B1475" s="2">
        <v>0</v>
      </c>
      <c r="C1475" s="9" t="s">
        <v>2244</v>
      </c>
      <c r="D1475" s="1" t="str">
        <f t="shared" si="112"/>
        <v>副手武器</v>
      </c>
      <c r="E1475" s="1">
        <f>INDEX([1]游戏类型定义!$C$20:$C$29,MATCH(D1475,[1]!装备部位,0))</f>
        <v>6</v>
      </c>
      <c r="F1475" s="1">
        <v>5</v>
      </c>
      <c r="G1475" s="1">
        <f t="shared" si="113"/>
        <v>30</v>
      </c>
      <c r="H1475" s="10" t="s">
        <v>2322</v>
      </c>
      <c r="I1475" s="1">
        <v>66000</v>
      </c>
      <c r="J1475" s="1">
        <v>150</v>
      </c>
      <c r="K1475" s="1">
        <v>1500</v>
      </c>
      <c r="L1475" s="1">
        <v>20000</v>
      </c>
      <c r="M1475" s="1" t="s">
        <v>1901</v>
      </c>
      <c r="N1475" s="1" t="s">
        <v>1781</v>
      </c>
      <c r="O1475" s="1">
        <v>0</v>
      </c>
      <c r="P1475" s="1" t="s">
        <v>2076</v>
      </c>
      <c r="Q1475" s="7" t="s">
        <v>2414</v>
      </c>
    </row>
    <row r="1476" spans="1:17" ht="14.25" thickBot="1">
      <c r="A1476" s="1" t="s">
        <v>1589</v>
      </c>
      <c r="B1476" s="3">
        <v>1</v>
      </c>
      <c r="C1476" s="1" t="s">
        <v>2164</v>
      </c>
      <c r="D1476" s="1" t="str">
        <f t="shared" ref="D1476:D1495" si="114">D1146</f>
        <v>胸甲</v>
      </c>
      <c r="E1476" s="1">
        <f>INDEX([1]游戏类型定义!$C$20:$C$29,MATCH(D1476,[1]!装备部位,0))</f>
        <v>4</v>
      </c>
      <c r="F1476" s="1">
        <v>5</v>
      </c>
      <c r="G1476" s="1">
        <f t="shared" ref="G1476:G1495" si="115">G1146</f>
        <v>30</v>
      </c>
      <c r="H1476" s="10">
        <v>0</v>
      </c>
      <c r="I1476" s="1">
        <v>60000</v>
      </c>
      <c r="J1476" s="1">
        <v>150</v>
      </c>
      <c r="K1476" s="1">
        <v>1500</v>
      </c>
      <c r="L1476" s="1">
        <v>17500</v>
      </c>
      <c r="M1476" s="1" t="s">
        <v>1902</v>
      </c>
      <c r="N1476" s="1" t="s">
        <v>1780</v>
      </c>
      <c r="O1476" s="1">
        <v>0</v>
      </c>
      <c r="P1476" s="1" t="s">
        <v>2076</v>
      </c>
      <c r="Q1476" s="7" t="s">
        <v>2415</v>
      </c>
    </row>
    <row r="1477" spans="1:17" ht="14.25" thickBot="1">
      <c r="A1477" s="1" t="s">
        <v>1590</v>
      </c>
      <c r="B1477" s="3">
        <v>1</v>
      </c>
      <c r="C1477" s="1" t="s">
        <v>2165</v>
      </c>
      <c r="D1477" s="1" t="str">
        <f t="shared" si="114"/>
        <v>胸甲</v>
      </c>
      <c r="E1477" s="1">
        <f>INDEX([1]游戏类型定义!$C$20:$C$29,MATCH(D1477,[1]!装备部位,0))</f>
        <v>4</v>
      </c>
      <c r="F1477" s="1">
        <v>5</v>
      </c>
      <c r="G1477" s="1">
        <f t="shared" si="115"/>
        <v>30</v>
      </c>
      <c r="H1477" s="10">
        <v>0</v>
      </c>
      <c r="I1477" s="1">
        <v>66000</v>
      </c>
      <c r="J1477" s="1">
        <v>150</v>
      </c>
      <c r="K1477" s="1">
        <v>1500</v>
      </c>
      <c r="L1477" s="1">
        <v>20000</v>
      </c>
      <c r="M1477" s="1" t="s">
        <v>1903</v>
      </c>
      <c r="N1477" s="1" t="s">
        <v>1780</v>
      </c>
      <c r="O1477" s="1">
        <v>0</v>
      </c>
      <c r="P1477" s="1" t="s">
        <v>2076</v>
      </c>
      <c r="Q1477" s="7" t="s">
        <v>2416</v>
      </c>
    </row>
    <row r="1478" spans="1:17" ht="14.25" thickBot="1">
      <c r="A1478" s="1" t="s">
        <v>1591</v>
      </c>
      <c r="B1478" s="3">
        <v>1</v>
      </c>
      <c r="C1478" s="1" t="s">
        <v>2182</v>
      </c>
      <c r="D1478" s="1" t="str">
        <f t="shared" si="114"/>
        <v>护腿</v>
      </c>
      <c r="E1478" s="1">
        <f>INDEX([1]游戏类型定义!$C$20:$C$29,MATCH(D1478,[1]!装备部位,0))</f>
        <v>7</v>
      </c>
      <c r="F1478" s="1">
        <v>5</v>
      </c>
      <c r="G1478" s="1">
        <f t="shared" si="115"/>
        <v>30</v>
      </c>
      <c r="H1478" s="10">
        <v>0</v>
      </c>
      <c r="I1478" s="1">
        <v>60000</v>
      </c>
      <c r="J1478" s="1">
        <v>150</v>
      </c>
      <c r="K1478" s="1">
        <v>1500</v>
      </c>
      <c r="L1478" s="1">
        <v>17500</v>
      </c>
      <c r="M1478" s="1" t="s">
        <v>1902</v>
      </c>
      <c r="N1478" s="1" t="s">
        <v>1780</v>
      </c>
      <c r="O1478" s="1">
        <v>0</v>
      </c>
      <c r="P1478" s="1" t="s">
        <v>2076</v>
      </c>
      <c r="Q1478" s="7" t="s">
        <v>2417</v>
      </c>
    </row>
    <row r="1479" spans="1:17" ht="14.25" thickBot="1">
      <c r="A1479" s="1" t="s">
        <v>1592</v>
      </c>
      <c r="B1479" s="3">
        <v>1</v>
      </c>
      <c r="C1479" s="1" t="s">
        <v>2183</v>
      </c>
      <c r="D1479" s="1" t="str">
        <f t="shared" si="114"/>
        <v>护腿</v>
      </c>
      <c r="E1479" s="1">
        <f>INDEX([1]游戏类型定义!$C$20:$C$29,MATCH(D1479,[1]!装备部位,0))</f>
        <v>7</v>
      </c>
      <c r="F1479" s="1">
        <v>5</v>
      </c>
      <c r="G1479" s="1">
        <f t="shared" si="115"/>
        <v>30</v>
      </c>
      <c r="H1479" s="10">
        <v>0</v>
      </c>
      <c r="I1479" s="1">
        <v>66000</v>
      </c>
      <c r="J1479" s="1">
        <v>150</v>
      </c>
      <c r="K1479" s="1">
        <v>1500</v>
      </c>
      <c r="L1479" s="1">
        <v>20000</v>
      </c>
      <c r="M1479" s="1" t="s">
        <v>1903</v>
      </c>
      <c r="N1479" s="1" t="s">
        <v>1780</v>
      </c>
      <c r="O1479" s="1">
        <v>0</v>
      </c>
      <c r="P1479" s="1" t="s">
        <v>2076</v>
      </c>
      <c r="Q1479" s="7" t="s">
        <v>2418</v>
      </c>
    </row>
    <row r="1480" spans="1:17" ht="14.25" thickBot="1">
      <c r="A1480" s="1" t="s">
        <v>1593</v>
      </c>
      <c r="B1480" s="3">
        <v>1</v>
      </c>
      <c r="C1480" s="1" t="s">
        <v>2100</v>
      </c>
      <c r="D1480" s="1" t="str">
        <f t="shared" si="114"/>
        <v>头盔</v>
      </c>
      <c r="E1480" s="1">
        <f>INDEX([1]游戏类型定义!$C$20:$C$29,MATCH(D1480,[1]!装备部位,0))</f>
        <v>1</v>
      </c>
      <c r="F1480" s="1">
        <v>5</v>
      </c>
      <c r="G1480" s="1">
        <f t="shared" si="115"/>
        <v>35</v>
      </c>
      <c r="H1480" s="10">
        <v>0</v>
      </c>
      <c r="I1480" s="1">
        <v>70000</v>
      </c>
      <c r="J1480" s="1">
        <v>150</v>
      </c>
      <c r="K1480" s="1">
        <v>1500</v>
      </c>
      <c r="L1480" s="1">
        <v>20000</v>
      </c>
      <c r="M1480" s="1" t="s">
        <v>1904</v>
      </c>
      <c r="N1480" s="1" t="s">
        <v>1782</v>
      </c>
      <c r="O1480" s="1">
        <v>0</v>
      </c>
      <c r="P1480" s="1" t="s">
        <v>2077</v>
      </c>
      <c r="Q1480" s="7" t="s">
        <v>2419</v>
      </c>
    </row>
    <row r="1481" spans="1:17" ht="14.25" thickBot="1">
      <c r="A1481" s="1" t="s">
        <v>1594</v>
      </c>
      <c r="B1481" s="3">
        <v>1</v>
      </c>
      <c r="C1481" s="1" t="s">
        <v>2113</v>
      </c>
      <c r="D1481" s="1" t="str">
        <f t="shared" si="114"/>
        <v>戒指</v>
      </c>
      <c r="E1481" s="1">
        <f>INDEX([1]游戏类型定义!$C$20:$C$29,MATCH(D1481,[1]!装备部位,0))</f>
        <v>2</v>
      </c>
      <c r="F1481" s="1">
        <v>5</v>
      </c>
      <c r="G1481" s="1">
        <f t="shared" si="115"/>
        <v>35</v>
      </c>
      <c r="H1481" s="10">
        <v>0</v>
      </c>
      <c r="I1481" s="1">
        <v>70000</v>
      </c>
      <c r="J1481" s="1">
        <v>150</v>
      </c>
      <c r="K1481" s="1">
        <v>1500</v>
      </c>
      <c r="L1481" s="1">
        <v>20000</v>
      </c>
      <c r="M1481" s="1" t="s">
        <v>1905</v>
      </c>
      <c r="N1481" s="1" t="s">
        <v>1782</v>
      </c>
      <c r="O1481" s="1">
        <v>0</v>
      </c>
      <c r="P1481" s="1" t="s">
        <v>2077</v>
      </c>
      <c r="Q1481" s="7" t="s">
        <v>2420</v>
      </c>
    </row>
    <row r="1482" spans="1:17" ht="14.25" thickBot="1">
      <c r="A1482" s="1" t="s">
        <v>1595</v>
      </c>
      <c r="B1482" s="3">
        <v>1</v>
      </c>
      <c r="C1482" s="1" t="s">
        <v>2091</v>
      </c>
      <c r="D1482" s="1" t="str">
        <f t="shared" si="114"/>
        <v>腰带</v>
      </c>
      <c r="E1482" s="1">
        <f>INDEX([1]游戏类型定义!$C$20:$C$29,MATCH(D1482,[1]!装备部位,0))</f>
        <v>3</v>
      </c>
      <c r="F1482" s="1">
        <v>5</v>
      </c>
      <c r="G1482" s="1">
        <f t="shared" si="115"/>
        <v>35</v>
      </c>
      <c r="H1482" s="10">
        <v>0</v>
      </c>
      <c r="I1482" s="1">
        <v>70000</v>
      </c>
      <c r="J1482" s="1">
        <v>150</v>
      </c>
      <c r="K1482" s="1">
        <v>1500</v>
      </c>
      <c r="L1482" s="1">
        <v>20000</v>
      </c>
      <c r="M1482" s="1" t="s">
        <v>1906</v>
      </c>
      <c r="N1482" s="1" t="s">
        <v>1782</v>
      </c>
      <c r="O1482" s="1">
        <v>0</v>
      </c>
      <c r="P1482" s="1" t="s">
        <v>2077</v>
      </c>
      <c r="Q1482" s="7" t="s">
        <v>2421</v>
      </c>
    </row>
    <row r="1483" spans="1:17" ht="14.25" thickBot="1">
      <c r="A1483" s="1" t="s">
        <v>1596</v>
      </c>
      <c r="B1483" s="3">
        <v>1</v>
      </c>
      <c r="C1483" s="1" t="s">
        <v>2124</v>
      </c>
      <c r="D1483" s="1" t="str">
        <f t="shared" si="114"/>
        <v>鞋子</v>
      </c>
      <c r="E1483" s="1">
        <f>INDEX([1]游戏类型定义!$C$20:$C$29,MATCH(D1483,[1]!装备部位,0))</f>
        <v>8</v>
      </c>
      <c r="F1483" s="1">
        <v>5</v>
      </c>
      <c r="G1483" s="1">
        <f t="shared" si="115"/>
        <v>35</v>
      </c>
      <c r="H1483" s="10">
        <v>0</v>
      </c>
      <c r="I1483" s="1">
        <v>70000</v>
      </c>
      <c r="J1483" s="1">
        <v>150</v>
      </c>
      <c r="K1483" s="1">
        <v>1500</v>
      </c>
      <c r="L1483" s="1">
        <v>20000</v>
      </c>
      <c r="M1483" s="1" t="s">
        <v>1907</v>
      </c>
      <c r="N1483" s="1" t="s">
        <v>1782</v>
      </c>
      <c r="O1483" s="1">
        <v>0</v>
      </c>
      <c r="P1483" s="1" t="s">
        <v>2077</v>
      </c>
      <c r="Q1483" s="7" t="s">
        <v>2422</v>
      </c>
    </row>
    <row r="1484" spans="1:17" ht="14.25" thickBot="1">
      <c r="A1484" s="1" t="s">
        <v>1597</v>
      </c>
      <c r="B1484" s="3">
        <v>1</v>
      </c>
      <c r="C1484" s="1" t="s">
        <v>2136</v>
      </c>
      <c r="D1484" s="1" t="str">
        <f t="shared" si="114"/>
        <v>手套</v>
      </c>
      <c r="E1484" s="1">
        <f>INDEX([1]游戏类型定义!$C$20:$C$29,MATCH(D1484,[1]!装备部位,0))</f>
        <v>9</v>
      </c>
      <c r="F1484" s="1">
        <v>5</v>
      </c>
      <c r="G1484" s="1">
        <f t="shared" si="115"/>
        <v>35</v>
      </c>
      <c r="H1484" s="10">
        <v>0</v>
      </c>
      <c r="I1484" s="1">
        <v>70000</v>
      </c>
      <c r="J1484" s="1">
        <v>150</v>
      </c>
      <c r="K1484" s="1">
        <v>1500</v>
      </c>
      <c r="L1484" s="1">
        <v>20000</v>
      </c>
      <c r="M1484" s="1" t="s">
        <v>1908</v>
      </c>
      <c r="N1484" s="1" t="s">
        <v>1782</v>
      </c>
      <c r="O1484" s="1">
        <v>0</v>
      </c>
      <c r="P1484" s="1" t="s">
        <v>2077</v>
      </c>
      <c r="Q1484" s="7" t="s">
        <v>2423</v>
      </c>
    </row>
    <row r="1485" spans="1:17" ht="14.25" thickBot="1">
      <c r="A1485" s="1" t="s">
        <v>1598</v>
      </c>
      <c r="B1485" s="3">
        <v>1</v>
      </c>
      <c r="C1485" s="1" t="s">
        <v>2150</v>
      </c>
      <c r="D1485" s="1" t="str">
        <f t="shared" si="114"/>
        <v>项链</v>
      </c>
      <c r="E1485" s="1">
        <f>INDEX([1]游戏类型定义!$C$20:$C$29,MATCH(D1485,[1]!装备部位,0))</f>
        <v>10</v>
      </c>
      <c r="F1485" s="1">
        <v>5</v>
      </c>
      <c r="G1485" s="1">
        <f t="shared" si="115"/>
        <v>35</v>
      </c>
      <c r="H1485" s="10">
        <v>0</v>
      </c>
      <c r="I1485" s="1">
        <v>70000</v>
      </c>
      <c r="J1485" s="1">
        <v>150</v>
      </c>
      <c r="K1485" s="1">
        <v>1500</v>
      </c>
      <c r="L1485" s="1">
        <v>20000</v>
      </c>
      <c r="M1485" s="1" t="s">
        <v>1909</v>
      </c>
      <c r="N1485" s="1" t="s">
        <v>1782</v>
      </c>
      <c r="O1485" s="1">
        <v>0</v>
      </c>
      <c r="P1485" s="1" t="s">
        <v>2077</v>
      </c>
      <c r="Q1485" s="7" t="s">
        <v>2424</v>
      </c>
    </row>
    <row r="1486" spans="1:17" ht="14.25" thickBot="1">
      <c r="A1486" s="1" t="s">
        <v>1599</v>
      </c>
      <c r="B1486" s="3">
        <v>1</v>
      </c>
      <c r="C1486" s="9" t="s">
        <v>2245</v>
      </c>
      <c r="D1486" s="1" t="str">
        <f t="shared" si="114"/>
        <v>主手武器</v>
      </c>
      <c r="E1486" s="1">
        <f>INDEX([1]游戏类型定义!$C$20:$C$29,MATCH(D1486,[1]!装备部位,0))</f>
        <v>5</v>
      </c>
      <c r="F1486" s="1">
        <v>5</v>
      </c>
      <c r="G1486" s="1">
        <f t="shared" si="115"/>
        <v>35</v>
      </c>
      <c r="H1486" s="10" t="s">
        <v>2320</v>
      </c>
      <c r="I1486" s="1">
        <v>70000</v>
      </c>
      <c r="J1486" s="1">
        <v>150</v>
      </c>
      <c r="K1486" s="1">
        <v>1500</v>
      </c>
      <c r="L1486" s="1">
        <v>20000</v>
      </c>
      <c r="M1486" s="1" t="s">
        <v>1910</v>
      </c>
      <c r="N1486" s="1" t="s">
        <v>1783</v>
      </c>
      <c r="O1486" s="1">
        <v>0</v>
      </c>
      <c r="P1486" s="1" t="s">
        <v>2077</v>
      </c>
      <c r="Q1486" s="7" t="s">
        <v>2425</v>
      </c>
    </row>
    <row r="1487" spans="1:17" ht="14.25" thickBot="1">
      <c r="A1487" s="1" t="s">
        <v>1600</v>
      </c>
      <c r="B1487" s="2">
        <v>0</v>
      </c>
      <c r="C1487" s="9" t="s">
        <v>2046</v>
      </c>
      <c r="D1487" s="1" t="str">
        <f t="shared" si="114"/>
        <v>主手武器</v>
      </c>
      <c r="E1487" s="1">
        <f>INDEX([1]游戏类型定义!$C$20:$C$29,MATCH(D1487,[1]!装备部位,0))</f>
        <v>5</v>
      </c>
      <c r="F1487" s="1">
        <v>5</v>
      </c>
      <c r="G1487" s="1">
        <f t="shared" si="115"/>
        <v>35</v>
      </c>
      <c r="H1487" s="10" t="s">
        <v>2320</v>
      </c>
      <c r="I1487" s="1">
        <v>76000</v>
      </c>
      <c r="J1487" s="1">
        <v>150</v>
      </c>
      <c r="K1487" s="1">
        <v>1500</v>
      </c>
      <c r="L1487" s="1">
        <v>22500</v>
      </c>
      <c r="M1487" s="1" t="s">
        <v>2022</v>
      </c>
      <c r="N1487" s="1" t="s">
        <v>1783</v>
      </c>
      <c r="O1487" s="1">
        <v>0</v>
      </c>
      <c r="P1487" s="1" t="s">
        <v>2077</v>
      </c>
      <c r="Q1487" s="7" t="s">
        <v>2057</v>
      </c>
    </row>
    <row r="1488" spans="1:17" ht="14.25" thickBot="1">
      <c r="A1488" s="1" t="s">
        <v>1601</v>
      </c>
      <c r="B1488" s="3">
        <v>1</v>
      </c>
      <c r="C1488" s="9" t="s">
        <v>2246</v>
      </c>
      <c r="D1488" s="1" t="str">
        <f t="shared" si="114"/>
        <v>副手武器</v>
      </c>
      <c r="E1488" s="1">
        <f>INDEX([1]游戏类型定义!$C$20:$C$29,MATCH(D1488,[1]!装备部位,0))</f>
        <v>6</v>
      </c>
      <c r="F1488" s="1">
        <v>5</v>
      </c>
      <c r="G1488" s="1">
        <f t="shared" si="115"/>
        <v>35</v>
      </c>
      <c r="H1488" s="10" t="s">
        <v>2320</v>
      </c>
      <c r="I1488" s="1">
        <v>70000</v>
      </c>
      <c r="J1488" s="1">
        <v>150</v>
      </c>
      <c r="K1488" s="1">
        <v>1500</v>
      </c>
      <c r="L1488" s="1">
        <v>20000</v>
      </c>
      <c r="M1488" s="1" t="s">
        <v>1911</v>
      </c>
      <c r="N1488" s="1" t="s">
        <v>1783</v>
      </c>
      <c r="O1488" s="1">
        <v>0</v>
      </c>
      <c r="P1488" s="1" t="s">
        <v>2077</v>
      </c>
      <c r="Q1488" s="7" t="s">
        <v>2407</v>
      </c>
    </row>
    <row r="1489" spans="1:17" ht="14.25" thickBot="1">
      <c r="A1489" s="1" t="s">
        <v>1602</v>
      </c>
      <c r="B1489" s="3">
        <v>1</v>
      </c>
      <c r="C1489" s="9" t="s">
        <v>2317</v>
      </c>
      <c r="D1489" s="1" t="str">
        <f t="shared" si="114"/>
        <v>副手武器</v>
      </c>
      <c r="E1489" s="1">
        <f>INDEX([1]游戏类型定义!$C$20:$C$29,MATCH(D1489,[1]!装备部位,0))</f>
        <v>6</v>
      </c>
      <c r="F1489" s="1">
        <v>5</v>
      </c>
      <c r="G1489" s="1">
        <f t="shared" si="115"/>
        <v>35</v>
      </c>
      <c r="H1489" s="10" t="s">
        <v>2320</v>
      </c>
      <c r="I1489" s="1">
        <v>76000</v>
      </c>
      <c r="J1489" s="1">
        <v>150</v>
      </c>
      <c r="K1489" s="1">
        <v>1500</v>
      </c>
      <c r="L1489" s="1">
        <v>22500</v>
      </c>
      <c r="M1489" s="1" t="s">
        <v>1912</v>
      </c>
      <c r="N1489" s="1" t="s">
        <v>1783</v>
      </c>
      <c r="O1489" s="1">
        <v>0</v>
      </c>
      <c r="P1489" s="1" t="s">
        <v>2077</v>
      </c>
      <c r="Q1489" s="7" t="s">
        <v>2426</v>
      </c>
    </row>
    <row r="1490" spans="1:17" ht="14.25" thickBot="1">
      <c r="A1490" s="1" t="s">
        <v>1603</v>
      </c>
      <c r="B1490" s="3">
        <v>1</v>
      </c>
      <c r="C1490" s="1" t="s">
        <v>2247</v>
      </c>
      <c r="D1490" s="1" t="str">
        <f t="shared" si="114"/>
        <v>主手武器</v>
      </c>
      <c r="E1490" s="1">
        <f>INDEX([1]游戏类型定义!$C$20:$C$29,MATCH(D1490,[1]!装备部位,0))</f>
        <v>5</v>
      </c>
      <c r="F1490" s="1">
        <v>5</v>
      </c>
      <c r="G1490" s="1">
        <f t="shared" si="115"/>
        <v>35</v>
      </c>
      <c r="H1490" s="10" t="s">
        <v>2321</v>
      </c>
      <c r="I1490" s="1">
        <v>70000</v>
      </c>
      <c r="J1490" s="1">
        <v>150</v>
      </c>
      <c r="K1490" s="1">
        <v>1500</v>
      </c>
      <c r="L1490" s="1">
        <v>20000</v>
      </c>
      <c r="M1490" s="1" t="s">
        <v>1910</v>
      </c>
      <c r="N1490" s="1" t="s">
        <v>1783</v>
      </c>
      <c r="O1490" s="1">
        <v>0</v>
      </c>
      <c r="P1490" s="1" t="s">
        <v>2077</v>
      </c>
      <c r="Q1490" s="7" t="s">
        <v>2427</v>
      </c>
    </row>
    <row r="1491" spans="1:17" ht="14.25" thickBot="1">
      <c r="A1491" s="1" t="s">
        <v>1604</v>
      </c>
      <c r="B1491" s="2">
        <v>0</v>
      </c>
      <c r="C1491" s="1" t="s">
        <v>2040</v>
      </c>
      <c r="D1491" s="1" t="str">
        <f t="shared" si="114"/>
        <v>主手武器</v>
      </c>
      <c r="E1491" s="1">
        <f>INDEX([1]游戏类型定义!$C$20:$C$29,MATCH(D1491,[1]!装备部位,0))</f>
        <v>5</v>
      </c>
      <c r="F1491" s="1">
        <v>5</v>
      </c>
      <c r="G1491" s="1">
        <f t="shared" si="115"/>
        <v>35</v>
      </c>
      <c r="H1491" s="10" t="s">
        <v>2321</v>
      </c>
      <c r="I1491" s="1">
        <v>76000</v>
      </c>
      <c r="J1491" s="1">
        <v>150</v>
      </c>
      <c r="K1491" s="1">
        <v>1500</v>
      </c>
      <c r="L1491" s="1">
        <v>22500</v>
      </c>
      <c r="M1491" s="1" t="s">
        <v>2022</v>
      </c>
      <c r="N1491" s="1" t="s">
        <v>1783</v>
      </c>
      <c r="O1491" s="1">
        <v>0</v>
      </c>
      <c r="P1491" s="1" t="s">
        <v>2077</v>
      </c>
      <c r="Q1491" s="7" t="s">
        <v>2059</v>
      </c>
    </row>
    <row r="1492" spans="1:17" ht="14.25" thickBot="1">
      <c r="A1492" s="1" t="s">
        <v>1605</v>
      </c>
      <c r="B1492" s="3">
        <v>1</v>
      </c>
      <c r="C1492" s="9" t="s">
        <v>2248</v>
      </c>
      <c r="D1492" s="1" t="str">
        <f t="shared" si="114"/>
        <v>副手武器</v>
      </c>
      <c r="E1492" s="1">
        <f>INDEX([1]游戏类型定义!$C$20:$C$29,MATCH(D1492,[1]!装备部位,0))</f>
        <v>6</v>
      </c>
      <c r="F1492" s="1">
        <v>5</v>
      </c>
      <c r="G1492" s="1">
        <f t="shared" si="115"/>
        <v>35</v>
      </c>
      <c r="H1492" s="10" t="s">
        <v>2321</v>
      </c>
      <c r="I1492" s="1">
        <v>70000</v>
      </c>
      <c r="J1492" s="1">
        <v>150</v>
      </c>
      <c r="K1492" s="1">
        <v>1500</v>
      </c>
      <c r="L1492" s="1">
        <v>20000</v>
      </c>
      <c r="M1492" s="1" t="s">
        <v>1913</v>
      </c>
      <c r="N1492" s="1" t="s">
        <v>1783</v>
      </c>
      <c r="O1492" s="1">
        <v>0</v>
      </c>
      <c r="P1492" s="1" t="s">
        <v>2077</v>
      </c>
      <c r="Q1492" s="7" t="s">
        <v>2411</v>
      </c>
    </row>
    <row r="1493" spans="1:17" ht="14.25" thickBot="1">
      <c r="A1493" s="1" t="s">
        <v>1606</v>
      </c>
      <c r="B1493" s="3">
        <v>1</v>
      </c>
      <c r="C1493" s="9" t="s">
        <v>2249</v>
      </c>
      <c r="D1493" s="1" t="str">
        <f t="shared" si="114"/>
        <v>副手武器</v>
      </c>
      <c r="E1493" s="1">
        <f>INDEX([1]游戏类型定义!$C$20:$C$29,MATCH(D1493,[1]!装备部位,0))</f>
        <v>6</v>
      </c>
      <c r="F1493" s="1">
        <v>5</v>
      </c>
      <c r="G1493" s="1">
        <f t="shared" si="115"/>
        <v>35</v>
      </c>
      <c r="H1493" s="10" t="s">
        <v>2321</v>
      </c>
      <c r="I1493" s="1">
        <v>76000</v>
      </c>
      <c r="J1493" s="1">
        <v>150</v>
      </c>
      <c r="K1493" s="1">
        <v>1500</v>
      </c>
      <c r="L1493" s="1">
        <v>22500</v>
      </c>
      <c r="M1493" s="1" t="s">
        <v>1914</v>
      </c>
      <c r="N1493" s="1" t="s">
        <v>1783</v>
      </c>
      <c r="O1493" s="1">
        <v>0</v>
      </c>
      <c r="P1493" s="1" t="s">
        <v>2077</v>
      </c>
      <c r="Q1493" s="7" t="s">
        <v>2060</v>
      </c>
    </row>
    <row r="1494" spans="1:17" ht="14.25" thickBot="1">
      <c r="A1494" s="1" t="s">
        <v>1607</v>
      </c>
      <c r="B1494" s="3">
        <v>1</v>
      </c>
      <c r="C1494" s="9" t="s">
        <v>2242</v>
      </c>
      <c r="D1494" s="1" t="str">
        <f t="shared" si="114"/>
        <v>主手武器</v>
      </c>
      <c r="E1494" s="1">
        <f>INDEX([1]游戏类型定义!$C$20:$C$29,MATCH(D1494,[1]!装备部位,0))</f>
        <v>5</v>
      </c>
      <c r="F1494" s="1">
        <v>5</v>
      </c>
      <c r="G1494" s="1">
        <f t="shared" si="115"/>
        <v>35</v>
      </c>
      <c r="H1494" s="10" t="s">
        <v>2322</v>
      </c>
      <c r="I1494" s="1">
        <v>70000</v>
      </c>
      <c r="J1494" s="1">
        <v>150</v>
      </c>
      <c r="K1494" s="1">
        <v>1500</v>
      </c>
      <c r="L1494" s="1">
        <v>20000</v>
      </c>
      <c r="M1494" s="1" t="s">
        <v>1910</v>
      </c>
      <c r="N1494" s="1" t="s">
        <v>1783</v>
      </c>
      <c r="O1494" s="1">
        <v>0</v>
      </c>
      <c r="P1494" s="1" t="s">
        <v>2077</v>
      </c>
      <c r="Q1494" s="7" t="s">
        <v>2428</v>
      </c>
    </row>
    <row r="1495" spans="1:17" ht="14.25" thickBot="1">
      <c r="A1495" s="1" t="s">
        <v>1608</v>
      </c>
      <c r="B1495" s="2">
        <v>0</v>
      </c>
      <c r="C1495" s="9" t="s">
        <v>2048</v>
      </c>
      <c r="D1495" s="1" t="str">
        <f t="shared" si="114"/>
        <v>主手武器</v>
      </c>
      <c r="E1495" s="1">
        <f>INDEX([1]游戏类型定义!$C$20:$C$29,MATCH(D1495,[1]!装备部位,0))</f>
        <v>5</v>
      </c>
      <c r="F1495" s="1">
        <v>5</v>
      </c>
      <c r="G1495" s="1">
        <f t="shared" si="115"/>
        <v>35</v>
      </c>
      <c r="H1495" s="10" t="s">
        <v>2322</v>
      </c>
      <c r="I1495" s="1">
        <v>76000</v>
      </c>
      <c r="J1495" s="1">
        <v>150</v>
      </c>
      <c r="K1495" s="1">
        <v>1500</v>
      </c>
      <c r="L1495" s="1">
        <v>22500</v>
      </c>
      <c r="M1495" s="1" t="s">
        <v>2022</v>
      </c>
      <c r="N1495" s="1" t="s">
        <v>1783</v>
      </c>
      <c r="O1495" s="1">
        <v>0</v>
      </c>
      <c r="P1495" s="1" t="s">
        <v>2077</v>
      </c>
      <c r="Q1495" s="7" t="s">
        <v>2061</v>
      </c>
    </row>
    <row r="1496" spans="1:17" ht="14.25" thickBot="1">
      <c r="A1496" s="1" t="s">
        <v>1609</v>
      </c>
      <c r="B1496" s="3">
        <v>1</v>
      </c>
      <c r="C1496" s="9" t="s">
        <v>2314</v>
      </c>
      <c r="D1496" s="1" t="str">
        <f t="shared" ref="D1496:D1515" si="116">D1166</f>
        <v>副手武器</v>
      </c>
      <c r="E1496" s="1">
        <f>INDEX([1]游戏类型定义!$C$20:$C$29,MATCH(D1496,[1]!装备部位,0))</f>
        <v>6</v>
      </c>
      <c r="F1496" s="1">
        <v>5</v>
      </c>
      <c r="G1496" s="1">
        <f t="shared" ref="G1496:G1515" si="117">G1166</f>
        <v>35</v>
      </c>
      <c r="H1496" s="10" t="s">
        <v>2322</v>
      </c>
      <c r="I1496" s="1">
        <v>70000</v>
      </c>
      <c r="J1496" s="1">
        <v>150</v>
      </c>
      <c r="K1496" s="1">
        <v>1500</v>
      </c>
      <c r="L1496" s="1">
        <v>20000</v>
      </c>
      <c r="M1496" s="1" t="s">
        <v>1915</v>
      </c>
      <c r="N1496" s="1" t="s">
        <v>1783</v>
      </c>
      <c r="O1496" s="1">
        <v>0</v>
      </c>
      <c r="P1496" s="1" t="s">
        <v>2077</v>
      </c>
      <c r="Q1496" s="7" t="s">
        <v>2414</v>
      </c>
    </row>
    <row r="1497" spans="1:17" ht="14.25" thickBot="1">
      <c r="A1497" s="1" t="s">
        <v>1610</v>
      </c>
      <c r="B1497" s="3">
        <v>1</v>
      </c>
      <c r="C1497" s="9" t="s">
        <v>2315</v>
      </c>
      <c r="D1497" s="1" t="str">
        <f t="shared" si="116"/>
        <v>副手武器</v>
      </c>
      <c r="E1497" s="1">
        <f>INDEX([1]游戏类型定义!$C$20:$C$29,MATCH(D1497,[1]!装备部位,0))</f>
        <v>6</v>
      </c>
      <c r="F1497" s="1">
        <v>5</v>
      </c>
      <c r="G1497" s="1">
        <f t="shared" si="117"/>
        <v>35</v>
      </c>
      <c r="H1497" s="10" t="s">
        <v>2322</v>
      </c>
      <c r="I1497" s="1">
        <v>76000</v>
      </c>
      <c r="J1497" s="1">
        <v>150</v>
      </c>
      <c r="K1497" s="1">
        <v>1500</v>
      </c>
      <c r="L1497" s="1">
        <v>22500</v>
      </c>
      <c r="M1497" s="1" t="s">
        <v>1916</v>
      </c>
      <c r="N1497" s="1" t="s">
        <v>1783</v>
      </c>
      <c r="O1497" s="1">
        <v>0</v>
      </c>
      <c r="P1497" s="1" t="s">
        <v>2077</v>
      </c>
      <c r="Q1497" s="7" t="s">
        <v>2429</v>
      </c>
    </row>
    <row r="1498" spans="1:17" ht="14.25" thickBot="1">
      <c r="A1498" s="1" t="s">
        <v>1611</v>
      </c>
      <c r="B1498" s="3">
        <v>1</v>
      </c>
      <c r="C1498" s="1" t="s">
        <v>2166</v>
      </c>
      <c r="D1498" s="1" t="str">
        <f t="shared" si="116"/>
        <v>胸甲</v>
      </c>
      <c r="E1498" s="1">
        <f>INDEX([1]游戏类型定义!$C$20:$C$29,MATCH(D1498,[1]!装备部位,0))</f>
        <v>4</v>
      </c>
      <c r="F1498" s="1">
        <v>5</v>
      </c>
      <c r="G1498" s="1">
        <f t="shared" si="117"/>
        <v>35</v>
      </c>
      <c r="H1498" s="10">
        <v>0</v>
      </c>
      <c r="I1498" s="1">
        <v>70000</v>
      </c>
      <c r="J1498" s="1">
        <v>150</v>
      </c>
      <c r="K1498" s="1">
        <v>1500</v>
      </c>
      <c r="L1498" s="1">
        <v>20000</v>
      </c>
      <c r="M1498" s="1" t="s">
        <v>1917</v>
      </c>
      <c r="N1498" s="1" t="s">
        <v>1782</v>
      </c>
      <c r="O1498" s="1">
        <v>0</v>
      </c>
      <c r="P1498" s="1" t="s">
        <v>2077</v>
      </c>
      <c r="Q1498" s="7" t="s">
        <v>2430</v>
      </c>
    </row>
    <row r="1499" spans="1:17" ht="14.25" thickBot="1">
      <c r="A1499" s="1" t="s">
        <v>1612</v>
      </c>
      <c r="B1499" s="3">
        <v>1</v>
      </c>
      <c r="C1499" s="1" t="s">
        <v>2538</v>
      </c>
      <c r="D1499" s="1" t="str">
        <f t="shared" si="116"/>
        <v>胸甲</v>
      </c>
      <c r="E1499" s="1">
        <f>INDEX([1]游戏类型定义!$C$20:$C$29,MATCH(D1499,[1]!装备部位,0))</f>
        <v>4</v>
      </c>
      <c r="F1499" s="1">
        <v>5</v>
      </c>
      <c r="G1499" s="1">
        <f t="shared" si="117"/>
        <v>35</v>
      </c>
      <c r="H1499" s="10">
        <v>0</v>
      </c>
      <c r="I1499" s="1">
        <v>76000</v>
      </c>
      <c r="J1499" s="1">
        <v>150</v>
      </c>
      <c r="K1499" s="1">
        <v>1500</v>
      </c>
      <c r="L1499" s="1">
        <v>22500</v>
      </c>
      <c r="M1499" s="1" t="s">
        <v>1918</v>
      </c>
      <c r="N1499" s="1" t="s">
        <v>1782</v>
      </c>
      <c r="O1499" s="1">
        <v>0</v>
      </c>
      <c r="P1499" s="1" t="s">
        <v>2077</v>
      </c>
      <c r="Q1499" s="7" t="s">
        <v>2063</v>
      </c>
    </row>
    <row r="1500" spans="1:17" ht="14.25" thickBot="1">
      <c r="A1500" s="1" t="s">
        <v>1613</v>
      </c>
      <c r="B1500" s="3">
        <v>1</v>
      </c>
      <c r="C1500" s="1" t="s">
        <v>2184</v>
      </c>
      <c r="D1500" s="1" t="str">
        <f t="shared" si="116"/>
        <v>护腿</v>
      </c>
      <c r="E1500" s="1">
        <f>INDEX([1]游戏类型定义!$C$20:$C$29,MATCH(D1500,[1]!装备部位,0))</f>
        <v>7</v>
      </c>
      <c r="F1500" s="1">
        <v>5</v>
      </c>
      <c r="G1500" s="1">
        <f t="shared" si="117"/>
        <v>35</v>
      </c>
      <c r="H1500" s="10">
        <v>0</v>
      </c>
      <c r="I1500" s="1">
        <v>70000</v>
      </c>
      <c r="J1500" s="1">
        <v>150</v>
      </c>
      <c r="K1500" s="1">
        <v>1500</v>
      </c>
      <c r="L1500" s="1">
        <v>20000</v>
      </c>
      <c r="M1500" s="1" t="s">
        <v>1917</v>
      </c>
      <c r="N1500" s="1" t="s">
        <v>1782</v>
      </c>
      <c r="O1500" s="1">
        <v>0</v>
      </c>
      <c r="P1500" s="1" t="s">
        <v>2077</v>
      </c>
      <c r="Q1500" s="7" t="s">
        <v>2418</v>
      </c>
    </row>
    <row r="1501" spans="1:17" ht="14.25" thickBot="1">
      <c r="A1501" s="1" t="s">
        <v>1614</v>
      </c>
      <c r="B1501" s="2">
        <v>0</v>
      </c>
      <c r="C1501" s="1" t="s">
        <v>2038</v>
      </c>
      <c r="D1501" s="1" t="str">
        <f t="shared" si="116"/>
        <v>护腿</v>
      </c>
      <c r="E1501" s="1">
        <f>INDEX([1]游戏类型定义!$C$20:$C$29,MATCH(D1501,[1]!装备部位,0))</f>
        <v>7</v>
      </c>
      <c r="F1501" s="1">
        <v>5</v>
      </c>
      <c r="G1501" s="1">
        <f t="shared" si="117"/>
        <v>35</v>
      </c>
      <c r="H1501" s="10">
        <v>0</v>
      </c>
      <c r="I1501" s="1">
        <v>76000</v>
      </c>
      <c r="J1501" s="1">
        <v>150</v>
      </c>
      <c r="K1501" s="1">
        <v>1500</v>
      </c>
      <c r="L1501" s="1">
        <v>22500</v>
      </c>
      <c r="M1501" s="1" t="s">
        <v>1919</v>
      </c>
      <c r="N1501" s="1" t="s">
        <v>1782</v>
      </c>
      <c r="O1501" s="1">
        <v>0</v>
      </c>
      <c r="P1501" s="1" t="s">
        <v>2077</v>
      </c>
      <c r="Q1501" s="7" t="s">
        <v>2064</v>
      </c>
    </row>
    <row r="1502" spans="1:17" ht="14.25" thickBot="1">
      <c r="A1502" s="1" t="s">
        <v>1615</v>
      </c>
      <c r="B1502" s="3">
        <v>1</v>
      </c>
      <c r="C1502" s="1" t="s">
        <v>2101</v>
      </c>
      <c r="D1502" s="1" t="str">
        <f t="shared" si="116"/>
        <v>头盔</v>
      </c>
      <c r="E1502" s="1">
        <f>INDEX([1]游戏类型定义!$C$20:$C$29,MATCH(D1502,[1]!装备部位,0))</f>
        <v>1</v>
      </c>
      <c r="F1502" s="1">
        <v>5</v>
      </c>
      <c r="G1502" s="1">
        <f t="shared" si="117"/>
        <v>40</v>
      </c>
      <c r="H1502" s="10">
        <v>0</v>
      </c>
      <c r="I1502" s="1">
        <v>80000</v>
      </c>
      <c r="J1502" s="1">
        <v>150</v>
      </c>
      <c r="K1502" s="1">
        <v>1500</v>
      </c>
      <c r="L1502" s="1">
        <v>22500</v>
      </c>
      <c r="M1502" s="1" t="s">
        <v>1920</v>
      </c>
      <c r="N1502" s="1" t="s">
        <v>1784</v>
      </c>
      <c r="O1502" s="1">
        <v>0</v>
      </c>
      <c r="P1502" s="1" t="s">
        <v>2078</v>
      </c>
      <c r="Q1502" s="7" t="s">
        <v>2431</v>
      </c>
    </row>
    <row r="1503" spans="1:17" ht="14.25" thickBot="1">
      <c r="A1503" s="1" t="s">
        <v>1616</v>
      </c>
      <c r="B1503" s="3">
        <v>1</v>
      </c>
      <c r="C1503" s="1" t="s">
        <v>2114</v>
      </c>
      <c r="D1503" s="1" t="str">
        <f t="shared" si="116"/>
        <v>戒指</v>
      </c>
      <c r="E1503" s="1">
        <f>INDEX([1]游戏类型定义!$C$20:$C$29,MATCH(D1503,[1]!装备部位,0))</f>
        <v>2</v>
      </c>
      <c r="F1503" s="1">
        <v>5</v>
      </c>
      <c r="G1503" s="1">
        <f t="shared" si="117"/>
        <v>40</v>
      </c>
      <c r="H1503" s="10">
        <v>0</v>
      </c>
      <c r="I1503" s="1">
        <v>80000</v>
      </c>
      <c r="J1503" s="1">
        <v>150</v>
      </c>
      <c r="K1503" s="1">
        <v>1500</v>
      </c>
      <c r="L1503" s="1">
        <v>22500</v>
      </c>
      <c r="M1503" s="1" t="s">
        <v>1921</v>
      </c>
      <c r="N1503" s="1" t="s">
        <v>1784</v>
      </c>
      <c r="O1503" s="1">
        <v>0</v>
      </c>
      <c r="P1503" s="1" t="s">
        <v>2078</v>
      </c>
      <c r="Q1503" s="7" t="s">
        <v>2432</v>
      </c>
    </row>
    <row r="1504" spans="1:17" ht="14.25" thickBot="1">
      <c r="A1504" s="1" t="s">
        <v>1617</v>
      </c>
      <c r="B1504" s="3">
        <v>1</v>
      </c>
      <c r="C1504" s="1" t="s">
        <v>2093</v>
      </c>
      <c r="D1504" s="1" t="str">
        <f t="shared" si="116"/>
        <v>腰带</v>
      </c>
      <c r="E1504" s="1">
        <f>INDEX([1]游戏类型定义!$C$20:$C$29,MATCH(D1504,[1]!装备部位,0))</f>
        <v>3</v>
      </c>
      <c r="F1504" s="1">
        <v>5</v>
      </c>
      <c r="G1504" s="1">
        <f t="shared" si="117"/>
        <v>40</v>
      </c>
      <c r="H1504" s="10">
        <v>0</v>
      </c>
      <c r="I1504" s="1">
        <v>80000</v>
      </c>
      <c r="J1504" s="1">
        <v>150</v>
      </c>
      <c r="K1504" s="1">
        <v>1500</v>
      </c>
      <c r="L1504" s="1">
        <v>22500</v>
      </c>
      <c r="M1504" s="1" t="s">
        <v>1922</v>
      </c>
      <c r="N1504" s="1" t="s">
        <v>1784</v>
      </c>
      <c r="O1504" s="1">
        <v>0</v>
      </c>
      <c r="P1504" s="1" t="s">
        <v>2078</v>
      </c>
      <c r="Q1504" s="7" t="s">
        <v>2433</v>
      </c>
    </row>
    <row r="1505" spans="1:17" ht="14.25" thickBot="1">
      <c r="A1505" s="1" t="s">
        <v>1618</v>
      </c>
      <c r="B1505" s="3">
        <v>1</v>
      </c>
      <c r="C1505" s="1" t="s">
        <v>2126</v>
      </c>
      <c r="D1505" s="1" t="str">
        <f t="shared" si="116"/>
        <v>鞋子</v>
      </c>
      <c r="E1505" s="1">
        <f>INDEX([1]游戏类型定义!$C$20:$C$29,MATCH(D1505,[1]!装备部位,0))</f>
        <v>8</v>
      </c>
      <c r="F1505" s="1">
        <v>5</v>
      </c>
      <c r="G1505" s="1">
        <f t="shared" si="117"/>
        <v>40</v>
      </c>
      <c r="H1505" s="10">
        <v>0</v>
      </c>
      <c r="I1505" s="1">
        <v>80000</v>
      </c>
      <c r="J1505" s="1">
        <v>150</v>
      </c>
      <c r="K1505" s="1">
        <v>1500</v>
      </c>
      <c r="L1505" s="1">
        <v>22500</v>
      </c>
      <c r="M1505" s="1" t="s">
        <v>1923</v>
      </c>
      <c r="N1505" s="1" t="s">
        <v>1784</v>
      </c>
      <c r="O1505" s="1">
        <v>0</v>
      </c>
      <c r="P1505" s="1" t="s">
        <v>2078</v>
      </c>
      <c r="Q1505" s="7" t="s">
        <v>2434</v>
      </c>
    </row>
    <row r="1506" spans="1:17" ht="14.25" thickBot="1">
      <c r="A1506" s="1" t="s">
        <v>1619</v>
      </c>
      <c r="B1506" s="3">
        <v>1</v>
      </c>
      <c r="C1506" s="1" t="s">
        <v>2141</v>
      </c>
      <c r="D1506" s="1" t="str">
        <f t="shared" si="116"/>
        <v>手套</v>
      </c>
      <c r="E1506" s="1">
        <f>INDEX([1]游戏类型定义!$C$20:$C$29,MATCH(D1506,[1]!装备部位,0))</f>
        <v>9</v>
      </c>
      <c r="F1506" s="1">
        <v>5</v>
      </c>
      <c r="G1506" s="1">
        <f t="shared" si="117"/>
        <v>40</v>
      </c>
      <c r="H1506" s="10">
        <v>0</v>
      </c>
      <c r="I1506" s="1">
        <v>80000</v>
      </c>
      <c r="J1506" s="1">
        <v>150</v>
      </c>
      <c r="K1506" s="1">
        <v>1500</v>
      </c>
      <c r="L1506" s="1">
        <v>22500</v>
      </c>
      <c r="M1506" s="1" t="s">
        <v>1924</v>
      </c>
      <c r="N1506" s="1" t="s">
        <v>1784</v>
      </c>
      <c r="O1506" s="1">
        <v>0</v>
      </c>
      <c r="P1506" s="1" t="s">
        <v>2078</v>
      </c>
      <c r="Q1506" s="7" t="s">
        <v>2435</v>
      </c>
    </row>
    <row r="1507" spans="1:17" ht="14.25" thickBot="1">
      <c r="A1507" s="1" t="s">
        <v>1620</v>
      </c>
      <c r="B1507" s="2">
        <v>0</v>
      </c>
      <c r="C1507" s="1" t="s">
        <v>2034</v>
      </c>
      <c r="D1507" s="1" t="str">
        <f t="shared" si="116"/>
        <v>项链</v>
      </c>
      <c r="E1507" s="1">
        <f>INDEX([1]游戏类型定义!$C$20:$C$29,MATCH(D1507,[1]!装备部位,0))</f>
        <v>10</v>
      </c>
      <c r="F1507" s="1">
        <v>5</v>
      </c>
      <c r="G1507" s="1">
        <f t="shared" si="117"/>
        <v>40</v>
      </c>
      <c r="H1507" s="10">
        <v>0</v>
      </c>
      <c r="I1507" s="1">
        <v>80000</v>
      </c>
      <c r="J1507" s="1">
        <v>150</v>
      </c>
      <c r="K1507" s="1">
        <v>1500</v>
      </c>
      <c r="L1507" s="1">
        <v>22500</v>
      </c>
      <c r="M1507" s="1" t="s">
        <v>1909</v>
      </c>
      <c r="N1507" s="1" t="s">
        <v>1784</v>
      </c>
      <c r="O1507" s="1">
        <v>0</v>
      </c>
      <c r="P1507" s="1" t="s">
        <v>2078</v>
      </c>
      <c r="Q1507" s="7" t="s">
        <v>2056</v>
      </c>
    </row>
    <row r="1508" spans="1:17" ht="14.25" thickBot="1">
      <c r="A1508" s="1" t="s">
        <v>1621</v>
      </c>
      <c r="B1508" s="3">
        <v>1</v>
      </c>
      <c r="C1508" s="9" t="s">
        <v>2316</v>
      </c>
      <c r="D1508" s="1" t="str">
        <f t="shared" si="116"/>
        <v>主手武器</v>
      </c>
      <c r="E1508" s="1">
        <f>INDEX([1]游戏类型定义!$C$20:$C$29,MATCH(D1508,[1]!装备部位,0))</f>
        <v>5</v>
      </c>
      <c r="F1508" s="1">
        <v>5</v>
      </c>
      <c r="G1508" s="1">
        <f t="shared" si="117"/>
        <v>40</v>
      </c>
      <c r="H1508" s="10" t="s">
        <v>2320</v>
      </c>
      <c r="I1508" s="1">
        <v>80000</v>
      </c>
      <c r="J1508" s="1">
        <v>150</v>
      </c>
      <c r="K1508" s="1">
        <v>1500</v>
      </c>
      <c r="L1508" s="1">
        <v>22500</v>
      </c>
      <c r="M1508" s="1" t="s">
        <v>1925</v>
      </c>
      <c r="N1508" s="1" t="s">
        <v>1785</v>
      </c>
      <c r="O1508" s="1">
        <v>0</v>
      </c>
      <c r="P1508" s="1" t="s">
        <v>2078</v>
      </c>
      <c r="Q1508" s="7" t="s">
        <v>2436</v>
      </c>
    </row>
    <row r="1509" spans="1:17" ht="14.25" thickBot="1">
      <c r="A1509" s="1" t="s">
        <v>1622</v>
      </c>
      <c r="B1509" s="3">
        <v>1</v>
      </c>
      <c r="C1509" s="9" t="s">
        <v>2252</v>
      </c>
      <c r="D1509" s="1" t="str">
        <f t="shared" si="116"/>
        <v>主手武器</v>
      </c>
      <c r="E1509" s="1">
        <f>INDEX([1]游戏类型定义!$C$20:$C$29,MATCH(D1509,[1]!装备部位,0))</f>
        <v>5</v>
      </c>
      <c r="F1509" s="1">
        <v>5</v>
      </c>
      <c r="G1509" s="1">
        <f t="shared" si="117"/>
        <v>40</v>
      </c>
      <c r="H1509" s="10" t="s">
        <v>2320</v>
      </c>
      <c r="I1509" s="1">
        <v>86000</v>
      </c>
      <c r="J1509" s="1">
        <v>150</v>
      </c>
      <c r="K1509" s="1">
        <v>1500</v>
      </c>
      <c r="L1509" s="1">
        <v>25000</v>
      </c>
      <c r="M1509" s="1" t="s">
        <v>2023</v>
      </c>
      <c r="N1509" s="1" t="s">
        <v>1785</v>
      </c>
      <c r="O1509" s="1">
        <v>0</v>
      </c>
      <c r="P1509" s="1" t="s">
        <v>2078</v>
      </c>
      <c r="Q1509" s="7" t="s">
        <v>2437</v>
      </c>
    </row>
    <row r="1510" spans="1:17" ht="14.25" thickBot="1">
      <c r="A1510" s="1" t="s">
        <v>1623</v>
      </c>
      <c r="B1510" s="3">
        <v>1</v>
      </c>
      <c r="C1510" s="9" t="s">
        <v>2253</v>
      </c>
      <c r="D1510" s="1" t="str">
        <f t="shared" si="116"/>
        <v>副手武器</v>
      </c>
      <c r="E1510" s="1">
        <f>INDEX([1]游戏类型定义!$C$20:$C$29,MATCH(D1510,[1]!装备部位,0))</f>
        <v>6</v>
      </c>
      <c r="F1510" s="1">
        <v>5</v>
      </c>
      <c r="G1510" s="1">
        <f t="shared" si="117"/>
        <v>40</v>
      </c>
      <c r="H1510" s="10" t="s">
        <v>2320</v>
      </c>
      <c r="I1510" s="1">
        <v>80000</v>
      </c>
      <c r="J1510" s="1">
        <v>150</v>
      </c>
      <c r="K1510" s="1">
        <v>1500</v>
      </c>
      <c r="L1510" s="1">
        <v>22500</v>
      </c>
      <c r="M1510" s="1" t="s">
        <v>1926</v>
      </c>
      <c r="N1510" s="1" t="s">
        <v>1785</v>
      </c>
      <c r="O1510" s="1">
        <v>0</v>
      </c>
      <c r="P1510" s="1" t="s">
        <v>2078</v>
      </c>
      <c r="Q1510" s="7" t="s">
        <v>2438</v>
      </c>
    </row>
    <row r="1511" spans="1:17" ht="14.25" thickBot="1">
      <c r="A1511" s="1" t="s">
        <v>1624</v>
      </c>
      <c r="B1511" s="2">
        <v>0</v>
      </c>
      <c r="C1511" s="9" t="s">
        <v>2044</v>
      </c>
      <c r="D1511" s="1" t="str">
        <f t="shared" si="116"/>
        <v>副手武器</v>
      </c>
      <c r="E1511" s="1">
        <f>INDEX([1]游戏类型定义!$C$20:$C$29,MATCH(D1511,[1]!装备部位,0))</f>
        <v>6</v>
      </c>
      <c r="F1511" s="1">
        <v>5</v>
      </c>
      <c r="G1511" s="1">
        <f t="shared" si="117"/>
        <v>40</v>
      </c>
      <c r="H1511" s="10" t="s">
        <v>2320</v>
      </c>
      <c r="I1511" s="1">
        <v>86000</v>
      </c>
      <c r="J1511" s="1">
        <v>150</v>
      </c>
      <c r="K1511" s="1">
        <v>1500</v>
      </c>
      <c r="L1511" s="1">
        <v>25000</v>
      </c>
      <c r="M1511" s="1" t="s">
        <v>1927</v>
      </c>
      <c r="N1511" s="1" t="s">
        <v>1785</v>
      </c>
      <c r="O1511" s="1">
        <v>0</v>
      </c>
      <c r="P1511" s="1" t="s">
        <v>2078</v>
      </c>
      <c r="Q1511" s="7" t="s">
        <v>2058</v>
      </c>
    </row>
    <row r="1512" spans="1:17" ht="14.25" thickBot="1">
      <c r="A1512" s="1" t="s">
        <v>1625</v>
      </c>
      <c r="B1512" s="3">
        <v>1</v>
      </c>
      <c r="C1512" s="1" t="s">
        <v>2254</v>
      </c>
      <c r="D1512" s="1" t="str">
        <f t="shared" si="116"/>
        <v>主手武器</v>
      </c>
      <c r="E1512" s="1">
        <f>INDEX([1]游戏类型定义!$C$20:$C$29,MATCH(D1512,[1]!装备部位,0))</f>
        <v>5</v>
      </c>
      <c r="F1512" s="1">
        <v>5</v>
      </c>
      <c r="G1512" s="1">
        <f t="shared" si="117"/>
        <v>40</v>
      </c>
      <c r="H1512" s="10" t="s">
        <v>2321</v>
      </c>
      <c r="I1512" s="1">
        <v>80000</v>
      </c>
      <c r="J1512" s="1">
        <v>150</v>
      </c>
      <c r="K1512" s="1">
        <v>1500</v>
      </c>
      <c r="L1512" s="1">
        <v>22500</v>
      </c>
      <c r="M1512" s="1" t="s">
        <v>1925</v>
      </c>
      <c r="N1512" s="1" t="s">
        <v>1785</v>
      </c>
      <c r="O1512" s="1">
        <v>0</v>
      </c>
      <c r="P1512" s="1" t="s">
        <v>2078</v>
      </c>
      <c r="Q1512" s="7" t="s">
        <v>2439</v>
      </c>
    </row>
    <row r="1513" spans="1:17" ht="14.25" thickBot="1">
      <c r="A1513" s="1" t="s">
        <v>1626</v>
      </c>
      <c r="B1513" s="3">
        <v>1</v>
      </c>
      <c r="C1513" s="1" t="s">
        <v>2255</v>
      </c>
      <c r="D1513" s="1" t="str">
        <f t="shared" si="116"/>
        <v>主手武器</v>
      </c>
      <c r="E1513" s="1">
        <f>INDEX([1]游戏类型定义!$C$20:$C$29,MATCH(D1513,[1]!装备部位,0))</f>
        <v>5</v>
      </c>
      <c r="F1513" s="1">
        <v>5</v>
      </c>
      <c r="G1513" s="1">
        <f t="shared" si="117"/>
        <v>40</v>
      </c>
      <c r="H1513" s="10" t="s">
        <v>2321</v>
      </c>
      <c r="I1513" s="1">
        <v>86000</v>
      </c>
      <c r="J1513" s="1">
        <v>150</v>
      </c>
      <c r="K1513" s="1">
        <v>1500</v>
      </c>
      <c r="L1513" s="1">
        <v>25000</v>
      </c>
      <c r="M1513" s="1" t="s">
        <v>2023</v>
      </c>
      <c r="N1513" s="1" t="s">
        <v>1785</v>
      </c>
      <c r="O1513" s="1">
        <v>0</v>
      </c>
      <c r="P1513" s="1" t="s">
        <v>2078</v>
      </c>
      <c r="Q1513" s="7" t="s">
        <v>2440</v>
      </c>
    </row>
    <row r="1514" spans="1:17" ht="14.25" thickBot="1">
      <c r="A1514" s="1" t="s">
        <v>1627</v>
      </c>
      <c r="B1514" s="3">
        <v>1</v>
      </c>
      <c r="C1514" s="9" t="s">
        <v>2256</v>
      </c>
      <c r="D1514" s="1" t="str">
        <f t="shared" si="116"/>
        <v>副手武器</v>
      </c>
      <c r="E1514" s="1">
        <f>INDEX([1]游戏类型定义!$C$20:$C$29,MATCH(D1514,[1]!装备部位,0))</f>
        <v>6</v>
      </c>
      <c r="F1514" s="1">
        <v>5</v>
      </c>
      <c r="G1514" s="1">
        <f t="shared" si="117"/>
        <v>40</v>
      </c>
      <c r="H1514" s="10" t="s">
        <v>2321</v>
      </c>
      <c r="I1514" s="1">
        <v>80000</v>
      </c>
      <c r="J1514" s="1">
        <v>150</v>
      </c>
      <c r="K1514" s="1">
        <v>1500</v>
      </c>
      <c r="L1514" s="1">
        <v>22500</v>
      </c>
      <c r="M1514" s="1" t="s">
        <v>1924</v>
      </c>
      <c r="N1514" s="1" t="s">
        <v>1785</v>
      </c>
      <c r="O1514" s="1">
        <v>0</v>
      </c>
      <c r="P1514" s="1" t="s">
        <v>2078</v>
      </c>
      <c r="Q1514" s="7" t="s">
        <v>2441</v>
      </c>
    </row>
    <row r="1515" spans="1:17" ht="14.25" thickBot="1">
      <c r="A1515" s="1" t="s">
        <v>1628</v>
      </c>
      <c r="B1515" s="2">
        <v>0</v>
      </c>
      <c r="C1515" s="9" t="s">
        <v>2042</v>
      </c>
      <c r="D1515" s="1" t="str">
        <f t="shared" si="116"/>
        <v>副手武器</v>
      </c>
      <c r="E1515" s="1">
        <f>INDEX([1]游戏类型定义!$C$20:$C$29,MATCH(D1515,[1]!装备部位,0))</f>
        <v>6</v>
      </c>
      <c r="F1515" s="1">
        <v>5</v>
      </c>
      <c r="G1515" s="1">
        <f t="shared" si="117"/>
        <v>40</v>
      </c>
      <c r="H1515" s="10" t="s">
        <v>2321</v>
      </c>
      <c r="I1515" s="1">
        <v>86000</v>
      </c>
      <c r="J1515" s="1">
        <v>150</v>
      </c>
      <c r="K1515" s="1">
        <v>1500</v>
      </c>
      <c r="L1515" s="1">
        <v>25000</v>
      </c>
      <c r="M1515" s="1" t="s">
        <v>1928</v>
      </c>
      <c r="N1515" s="1" t="s">
        <v>1785</v>
      </c>
      <c r="O1515" s="1">
        <v>0</v>
      </c>
      <c r="P1515" s="1" t="s">
        <v>2078</v>
      </c>
      <c r="Q1515" s="7" t="s">
        <v>2060</v>
      </c>
    </row>
    <row r="1516" spans="1:17" ht="14.25" thickBot="1">
      <c r="A1516" s="1" t="s">
        <v>1629</v>
      </c>
      <c r="B1516" s="3">
        <v>1</v>
      </c>
      <c r="C1516" s="9" t="s">
        <v>2258</v>
      </c>
      <c r="D1516" s="1" t="str">
        <f t="shared" ref="D1516:D1535" si="118">D1186</f>
        <v>主手武器</v>
      </c>
      <c r="E1516" s="1">
        <f>INDEX([1]游戏类型定义!$C$20:$C$29,MATCH(D1516,[1]!装备部位,0))</f>
        <v>5</v>
      </c>
      <c r="F1516" s="1">
        <v>5</v>
      </c>
      <c r="G1516" s="1">
        <f t="shared" ref="G1516:G1535" si="119">G1186</f>
        <v>40</v>
      </c>
      <c r="H1516" s="10" t="s">
        <v>2322</v>
      </c>
      <c r="I1516" s="1">
        <v>80000</v>
      </c>
      <c r="J1516" s="1">
        <v>150</v>
      </c>
      <c r="K1516" s="1">
        <v>1500</v>
      </c>
      <c r="L1516" s="1">
        <v>22500</v>
      </c>
      <c r="M1516" s="1" t="s">
        <v>1925</v>
      </c>
      <c r="N1516" s="1" t="s">
        <v>1785</v>
      </c>
      <c r="O1516" s="1">
        <v>0</v>
      </c>
      <c r="P1516" s="1" t="s">
        <v>2078</v>
      </c>
      <c r="Q1516" s="7" t="s">
        <v>2442</v>
      </c>
    </row>
    <row r="1517" spans="1:17" ht="14.25" thickBot="1">
      <c r="A1517" s="1" t="s">
        <v>1630</v>
      </c>
      <c r="B1517" s="3">
        <v>1</v>
      </c>
      <c r="C1517" s="9" t="s">
        <v>2250</v>
      </c>
      <c r="D1517" s="1" t="str">
        <f t="shared" si="118"/>
        <v>主手武器</v>
      </c>
      <c r="E1517" s="1">
        <f>INDEX([1]游戏类型定义!$C$20:$C$29,MATCH(D1517,[1]!装备部位,0))</f>
        <v>5</v>
      </c>
      <c r="F1517" s="1">
        <v>5</v>
      </c>
      <c r="G1517" s="1">
        <f t="shared" si="119"/>
        <v>40</v>
      </c>
      <c r="H1517" s="10" t="s">
        <v>2322</v>
      </c>
      <c r="I1517" s="1">
        <v>86000</v>
      </c>
      <c r="J1517" s="1">
        <v>150</v>
      </c>
      <c r="K1517" s="1">
        <v>1500</v>
      </c>
      <c r="L1517" s="1">
        <v>25000</v>
      </c>
      <c r="M1517" s="1" t="s">
        <v>2023</v>
      </c>
      <c r="N1517" s="1" t="s">
        <v>1785</v>
      </c>
      <c r="O1517" s="1">
        <v>0</v>
      </c>
      <c r="P1517" s="1" t="s">
        <v>2078</v>
      </c>
      <c r="Q1517" s="7" t="s">
        <v>2443</v>
      </c>
    </row>
    <row r="1518" spans="1:17" ht="14.25" thickBot="1">
      <c r="A1518" s="1" t="s">
        <v>1631</v>
      </c>
      <c r="B1518" s="3">
        <v>1</v>
      </c>
      <c r="C1518" s="9" t="s">
        <v>2259</v>
      </c>
      <c r="D1518" s="1" t="str">
        <f t="shared" si="118"/>
        <v>副手武器</v>
      </c>
      <c r="E1518" s="1">
        <f>INDEX([1]游戏类型定义!$C$20:$C$29,MATCH(D1518,[1]!装备部位,0))</f>
        <v>6</v>
      </c>
      <c r="F1518" s="1">
        <v>5</v>
      </c>
      <c r="G1518" s="1">
        <f t="shared" si="119"/>
        <v>40</v>
      </c>
      <c r="H1518" s="10" t="s">
        <v>2322</v>
      </c>
      <c r="I1518" s="1">
        <v>80000</v>
      </c>
      <c r="J1518" s="1">
        <v>150</v>
      </c>
      <c r="K1518" s="1">
        <v>1500</v>
      </c>
      <c r="L1518" s="1">
        <v>22500</v>
      </c>
      <c r="M1518" s="1" t="s">
        <v>1929</v>
      </c>
      <c r="N1518" s="1" t="s">
        <v>1785</v>
      </c>
      <c r="O1518" s="1">
        <v>0</v>
      </c>
      <c r="P1518" s="1" t="s">
        <v>2078</v>
      </c>
      <c r="Q1518" s="7" t="s">
        <v>2444</v>
      </c>
    </row>
    <row r="1519" spans="1:17" ht="14.25" thickBot="1">
      <c r="A1519" s="1" t="s">
        <v>1632</v>
      </c>
      <c r="B1519" s="2">
        <v>0</v>
      </c>
      <c r="C1519" s="9" t="s">
        <v>2050</v>
      </c>
      <c r="D1519" s="1" t="str">
        <f t="shared" si="118"/>
        <v>副手武器</v>
      </c>
      <c r="E1519" s="1">
        <f>INDEX([1]游戏类型定义!$C$20:$C$29,MATCH(D1519,[1]!装备部位,0))</f>
        <v>6</v>
      </c>
      <c r="F1519" s="1">
        <v>5</v>
      </c>
      <c r="G1519" s="1">
        <f t="shared" si="119"/>
        <v>40</v>
      </c>
      <c r="H1519" s="10" t="s">
        <v>2322</v>
      </c>
      <c r="I1519" s="1">
        <v>86000</v>
      </c>
      <c r="J1519" s="1">
        <v>150</v>
      </c>
      <c r="K1519" s="1">
        <v>1500</v>
      </c>
      <c r="L1519" s="1">
        <v>25000</v>
      </c>
      <c r="M1519" s="1" t="s">
        <v>1930</v>
      </c>
      <c r="N1519" s="1" t="s">
        <v>1785</v>
      </c>
      <c r="O1519" s="1">
        <v>0</v>
      </c>
      <c r="P1519" s="1" t="s">
        <v>2078</v>
      </c>
      <c r="Q1519" s="7" t="s">
        <v>2062</v>
      </c>
    </row>
    <row r="1520" spans="1:17" ht="14.25" thickBot="1">
      <c r="A1520" s="1" t="s">
        <v>1633</v>
      </c>
      <c r="B1520" s="3">
        <v>1</v>
      </c>
      <c r="C1520" s="1" t="s">
        <v>2167</v>
      </c>
      <c r="D1520" s="1" t="str">
        <f t="shared" si="118"/>
        <v>胸甲</v>
      </c>
      <c r="E1520" s="1">
        <f>INDEX([1]游戏类型定义!$C$20:$C$29,MATCH(D1520,[1]!装备部位,0))</f>
        <v>4</v>
      </c>
      <c r="F1520" s="1">
        <v>5</v>
      </c>
      <c r="G1520" s="1">
        <f t="shared" si="119"/>
        <v>40</v>
      </c>
      <c r="H1520" s="10">
        <v>0</v>
      </c>
      <c r="I1520" s="1">
        <v>80000</v>
      </c>
      <c r="J1520" s="1">
        <v>150</v>
      </c>
      <c r="K1520" s="1">
        <v>1500</v>
      </c>
      <c r="L1520" s="1">
        <v>22500</v>
      </c>
      <c r="M1520" s="1" t="s">
        <v>1931</v>
      </c>
      <c r="N1520" s="1" t="s">
        <v>1784</v>
      </c>
      <c r="O1520" s="1">
        <v>0</v>
      </c>
      <c r="P1520" s="1" t="s">
        <v>2078</v>
      </c>
      <c r="Q1520" s="7" t="s">
        <v>2445</v>
      </c>
    </row>
    <row r="1521" spans="1:17" ht="14.25" thickBot="1">
      <c r="A1521" s="1" t="s">
        <v>1634</v>
      </c>
      <c r="B1521" s="2">
        <v>0</v>
      </c>
      <c r="C1521" s="1" t="s">
        <v>2030</v>
      </c>
      <c r="D1521" s="1" t="str">
        <f t="shared" si="118"/>
        <v>胸甲</v>
      </c>
      <c r="E1521" s="1">
        <f>INDEX([1]游戏类型定义!$C$20:$C$29,MATCH(D1521,[1]!装备部位,0))</f>
        <v>4</v>
      </c>
      <c r="F1521" s="1">
        <v>5</v>
      </c>
      <c r="G1521" s="1">
        <f t="shared" si="119"/>
        <v>40</v>
      </c>
      <c r="H1521" s="10">
        <v>0</v>
      </c>
      <c r="I1521" s="1">
        <v>86000</v>
      </c>
      <c r="J1521" s="1">
        <v>150</v>
      </c>
      <c r="K1521" s="1">
        <v>1500</v>
      </c>
      <c r="L1521" s="1">
        <v>25000</v>
      </c>
      <c r="M1521" s="1" t="s">
        <v>1932</v>
      </c>
      <c r="N1521" s="1" t="s">
        <v>1784</v>
      </c>
      <c r="O1521" s="1">
        <v>0</v>
      </c>
      <c r="P1521" s="1" t="s">
        <v>2078</v>
      </c>
      <c r="Q1521" s="7" t="s">
        <v>2063</v>
      </c>
    </row>
    <row r="1522" spans="1:17" ht="14.25" thickBot="1">
      <c r="A1522" s="1" t="s">
        <v>1635</v>
      </c>
      <c r="B1522" s="3">
        <v>1</v>
      </c>
      <c r="C1522" s="1" t="s">
        <v>2185</v>
      </c>
      <c r="D1522" s="1" t="str">
        <f t="shared" si="118"/>
        <v>护腿</v>
      </c>
      <c r="E1522" s="1">
        <f>INDEX([1]游戏类型定义!$C$20:$C$29,MATCH(D1522,[1]!装备部位,0))</f>
        <v>7</v>
      </c>
      <c r="F1522" s="1">
        <v>5</v>
      </c>
      <c r="G1522" s="1">
        <f t="shared" si="119"/>
        <v>40</v>
      </c>
      <c r="H1522" s="10">
        <v>0</v>
      </c>
      <c r="I1522" s="1">
        <v>80000</v>
      </c>
      <c r="J1522" s="1">
        <v>150</v>
      </c>
      <c r="K1522" s="1">
        <v>1500</v>
      </c>
      <c r="L1522" s="1">
        <v>22500</v>
      </c>
      <c r="M1522" s="1" t="s">
        <v>1933</v>
      </c>
      <c r="N1522" s="1" t="s">
        <v>1784</v>
      </c>
      <c r="O1522" s="1">
        <v>0</v>
      </c>
      <c r="P1522" s="1" t="s">
        <v>2078</v>
      </c>
      <c r="Q1522" s="7" t="s">
        <v>2446</v>
      </c>
    </row>
    <row r="1523" spans="1:17" ht="14.25" thickBot="1">
      <c r="A1523" s="1" t="s">
        <v>1636</v>
      </c>
      <c r="B1523" s="2">
        <v>0</v>
      </c>
      <c r="C1523" s="1" t="s">
        <v>2038</v>
      </c>
      <c r="D1523" s="1" t="str">
        <f t="shared" si="118"/>
        <v>护腿</v>
      </c>
      <c r="E1523" s="1">
        <f>INDEX([1]游戏类型定义!$C$20:$C$29,MATCH(D1523,[1]!装备部位,0))</f>
        <v>7</v>
      </c>
      <c r="F1523" s="1">
        <v>5</v>
      </c>
      <c r="G1523" s="1">
        <f t="shared" si="119"/>
        <v>40</v>
      </c>
      <c r="H1523" s="10">
        <v>0</v>
      </c>
      <c r="I1523" s="1">
        <v>86000</v>
      </c>
      <c r="J1523" s="1">
        <v>150</v>
      </c>
      <c r="K1523" s="1">
        <v>1500</v>
      </c>
      <c r="L1523" s="1">
        <v>25000</v>
      </c>
      <c r="M1523" s="1" t="s">
        <v>1934</v>
      </c>
      <c r="N1523" s="1" t="s">
        <v>1784</v>
      </c>
      <c r="O1523" s="1">
        <v>0</v>
      </c>
      <c r="P1523" s="1" t="s">
        <v>2078</v>
      </c>
      <c r="Q1523" s="7" t="s">
        <v>2064</v>
      </c>
    </row>
    <row r="1524" spans="1:17" ht="14.25" thickBot="1">
      <c r="A1524" s="1" t="s">
        <v>1637</v>
      </c>
      <c r="B1524" s="2">
        <v>0</v>
      </c>
      <c r="C1524" s="1" t="s">
        <v>2104</v>
      </c>
      <c r="D1524" s="1" t="str">
        <f t="shared" si="118"/>
        <v>头盔</v>
      </c>
      <c r="E1524" s="1">
        <f>INDEX([1]游戏类型定义!$C$20:$C$29,MATCH(D1524,[1]!装备部位,0))</f>
        <v>1</v>
      </c>
      <c r="F1524" s="1">
        <v>5</v>
      </c>
      <c r="G1524" s="1">
        <f t="shared" si="119"/>
        <v>45</v>
      </c>
      <c r="H1524" s="10">
        <v>0</v>
      </c>
      <c r="I1524" s="1">
        <v>90000</v>
      </c>
      <c r="J1524" s="1">
        <v>150</v>
      </c>
      <c r="K1524" s="1">
        <v>1500</v>
      </c>
      <c r="L1524" s="1">
        <v>25000</v>
      </c>
      <c r="M1524" s="1" t="s">
        <v>1920</v>
      </c>
      <c r="N1524" s="1" t="s">
        <v>1786</v>
      </c>
      <c r="O1524" s="1">
        <v>0</v>
      </c>
      <c r="P1524" s="1" t="s">
        <v>2079</v>
      </c>
      <c r="Q1524" s="7" t="s">
        <v>2051</v>
      </c>
    </row>
    <row r="1525" spans="1:17" ht="14.25" thickBot="1">
      <c r="A1525" s="1" t="s">
        <v>1638</v>
      </c>
      <c r="B1525" s="2">
        <v>0</v>
      </c>
      <c r="C1525" s="1" t="s">
        <v>2032</v>
      </c>
      <c r="D1525" s="1" t="str">
        <f t="shared" si="118"/>
        <v>戒指</v>
      </c>
      <c r="E1525" s="1">
        <f>INDEX([1]游戏类型定义!$C$20:$C$29,MATCH(D1525,[1]!装备部位,0))</f>
        <v>2</v>
      </c>
      <c r="F1525" s="1">
        <v>5</v>
      </c>
      <c r="G1525" s="1">
        <f t="shared" si="119"/>
        <v>45</v>
      </c>
      <c r="H1525" s="10">
        <v>0</v>
      </c>
      <c r="I1525" s="1">
        <v>90000</v>
      </c>
      <c r="J1525" s="1">
        <v>150</v>
      </c>
      <c r="K1525" s="1">
        <v>1500</v>
      </c>
      <c r="L1525" s="1">
        <v>25000</v>
      </c>
      <c r="M1525" s="1" t="s">
        <v>1921</v>
      </c>
      <c r="N1525" s="1" t="s">
        <v>1786</v>
      </c>
      <c r="O1525" s="1">
        <v>0</v>
      </c>
      <c r="P1525" s="1" t="s">
        <v>2079</v>
      </c>
      <c r="Q1525" s="7" t="s">
        <v>2052</v>
      </c>
    </row>
    <row r="1526" spans="1:17" ht="14.25" thickBot="1">
      <c r="A1526" s="1" t="s">
        <v>1639</v>
      </c>
      <c r="B1526" s="3">
        <v>1</v>
      </c>
      <c r="C1526" s="1" t="s">
        <v>2110</v>
      </c>
      <c r="D1526" s="1" t="str">
        <f t="shared" si="118"/>
        <v>腰带</v>
      </c>
      <c r="E1526" s="1">
        <f>INDEX([1]游戏类型定义!$C$20:$C$29,MATCH(D1526,[1]!装备部位,0))</f>
        <v>3</v>
      </c>
      <c r="F1526" s="1">
        <v>5</v>
      </c>
      <c r="G1526" s="1">
        <f t="shared" si="119"/>
        <v>45</v>
      </c>
      <c r="H1526" s="10">
        <v>0</v>
      </c>
      <c r="I1526" s="1">
        <v>90000</v>
      </c>
      <c r="J1526" s="1">
        <v>150</v>
      </c>
      <c r="K1526" s="1">
        <v>1500</v>
      </c>
      <c r="L1526" s="1">
        <v>25000</v>
      </c>
      <c r="M1526" s="1" t="s">
        <v>1935</v>
      </c>
      <c r="N1526" s="1" t="s">
        <v>1786</v>
      </c>
      <c r="O1526" s="1">
        <v>0</v>
      </c>
      <c r="P1526" s="1" t="s">
        <v>2079</v>
      </c>
      <c r="Q1526" s="7" t="s">
        <v>2447</v>
      </c>
    </row>
    <row r="1527" spans="1:17" ht="14.25" thickBot="1">
      <c r="A1527" s="1" t="s">
        <v>1640</v>
      </c>
      <c r="B1527" s="3">
        <v>1</v>
      </c>
      <c r="C1527" s="1" t="s">
        <v>2125</v>
      </c>
      <c r="D1527" s="1" t="str">
        <f t="shared" si="118"/>
        <v>鞋子</v>
      </c>
      <c r="E1527" s="1">
        <f>INDEX([1]游戏类型定义!$C$20:$C$29,MATCH(D1527,[1]!装备部位,0))</f>
        <v>8</v>
      </c>
      <c r="F1527" s="1">
        <v>5</v>
      </c>
      <c r="G1527" s="1">
        <f t="shared" si="119"/>
        <v>45</v>
      </c>
      <c r="H1527" s="10">
        <v>0</v>
      </c>
      <c r="I1527" s="1">
        <v>90000</v>
      </c>
      <c r="J1527" s="1">
        <v>150</v>
      </c>
      <c r="K1527" s="1">
        <v>1500</v>
      </c>
      <c r="L1527" s="1">
        <v>25000</v>
      </c>
      <c r="M1527" s="1" t="s">
        <v>1936</v>
      </c>
      <c r="N1527" s="1" t="s">
        <v>1786</v>
      </c>
      <c r="O1527" s="1">
        <v>0</v>
      </c>
      <c r="P1527" s="1" t="s">
        <v>2079</v>
      </c>
      <c r="Q1527" s="7" t="s">
        <v>2448</v>
      </c>
    </row>
    <row r="1528" spans="1:17" ht="14.25" thickBot="1">
      <c r="A1528" s="1" t="s">
        <v>1641</v>
      </c>
      <c r="B1528" s="3">
        <v>1</v>
      </c>
      <c r="C1528" s="1" t="s">
        <v>2143</v>
      </c>
      <c r="D1528" s="1" t="str">
        <f t="shared" si="118"/>
        <v>手套</v>
      </c>
      <c r="E1528" s="1">
        <f>INDEX([1]游戏类型定义!$C$20:$C$29,MATCH(D1528,[1]!装备部位,0))</f>
        <v>9</v>
      </c>
      <c r="F1528" s="1">
        <v>5</v>
      </c>
      <c r="G1528" s="1">
        <f t="shared" si="119"/>
        <v>45</v>
      </c>
      <c r="H1528" s="10">
        <v>0</v>
      </c>
      <c r="I1528" s="1">
        <v>90000</v>
      </c>
      <c r="J1528" s="1">
        <v>150</v>
      </c>
      <c r="K1528" s="1">
        <v>1500</v>
      </c>
      <c r="L1528" s="1">
        <v>25000</v>
      </c>
      <c r="M1528" s="1" t="s">
        <v>1937</v>
      </c>
      <c r="N1528" s="1" t="s">
        <v>1786</v>
      </c>
      <c r="O1528" s="1">
        <v>0</v>
      </c>
      <c r="P1528" s="1" t="s">
        <v>2079</v>
      </c>
      <c r="Q1528" s="7" t="s">
        <v>2449</v>
      </c>
    </row>
    <row r="1529" spans="1:17" ht="14.25" thickBot="1">
      <c r="A1529" s="1" t="s">
        <v>1642</v>
      </c>
      <c r="B1529" s="3">
        <v>1</v>
      </c>
      <c r="C1529" s="1" t="s">
        <v>2151</v>
      </c>
      <c r="D1529" s="1" t="str">
        <f t="shared" si="118"/>
        <v>项链</v>
      </c>
      <c r="E1529" s="1">
        <f>INDEX([1]游戏类型定义!$C$20:$C$29,MATCH(D1529,[1]!装备部位,0))</f>
        <v>10</v>
      </c>
      <c r="F1529" s="1">
        <v>5</v>
      </c>
      <c r="G1529" s="1">
        <f t="shared" si="119"/>
        <v>45</v>
      </c>
      <c r="H1529" s="10">
        <v>0</v>
      </c>
      <c r="I1529" s="1">
        <v>90000</v>
      </c>
      <c r="J1529" s="1">
        <v>150</v>
      </c>
      <c r="K1529" s="1">
        <v>1500</v>
      </c>
      <c r="L1529" s="1">
        <v>25000</v>
      </c>
      <c r="M1529" s="1" t="s">
        <v>1938</v>
      </c>
      <c r="N1529" s="1" t="s">
        <v>1786</v>
      </c>
      <c r="O1529" s="1">
        <v>0</v>
      </c>
      <c r="P1529" s="1" t="s">
        <v>2079</v>
      </c>
      <c r="Q1529" s="7" t="s">
        <v>2450</v>
      </c>
    </row>
    <row r="1530" spans="1:17" ht="14.25" thickBot="1">
      <c r="A1530" s="1" t="s">
        <v>1643</v>
      </c>
      <c r="B1530" s="3">
        <v>1</v>
      </c>
      <c r="C1530" s="9" t="s">
        <v>2260</v>
      </c>
      <c r="D1530" s="1" t="str">
        <f t="shared" si="118"/>
        <v>主手武器</v>
      </c>
      <c r="E1530" s="1">
        <f>INDEX([1]游戏类型定义!$C$20:$C$29,MATCH(D1530,[1]!装备部位,0))</f>
        <v>5</v>
      </c>
      <c r="F1530" s="1">
        <v>5</v>
      </c>
      <c r="G1530" s="1">
        <f t="shared" si="119"/>
        <v>45</v>
      </c>
      <c r="H1530" s="10" t="s">
        <v>2320</v>
      </c>
      <c r="I1530" s="1">
        <v>90000</v>
      </c>
      <c r="J1530" s="1">
        <v>150</v>
      </c>
      <c r="K1530" s="1">
        <v>1500</v>
      </c>
      <c r="L1530" s="1">
        <v>25000</v>
      </c>
      <c r="M1530" s="1" t="s">
        <v>2024</v>
      </c>
      <c r="N1530" s="1" t="s">
        <v>1787</v>
      </c>
      <c r="O1530" s="1">
        <v>0</v>
      </c>
      <c r="P1530" s="1" t="s">
        <v>2079</v>
      </c>
      <c r="Q1530" s="7" t="s">
        <v>2451</v>
      </c>
    </row>
    <row r="1531" spans="1:17" ht="14.25" thickBot="1">
      <c r="A1531" s="1" t="s">
        <v>1644</v>
      </c>
      <c r="B1531" s="2">
        <v>0</v>
      </c>
      <c r="C1531" s="9" t="s">
        <v>2046</v>
      </c>
      <c r="D1531" s="1" t="str">
        <f t="shared" si="118"/>
        <v>主手武器</v>
      </c>
      <c r="E1531" s="1">
        <f>INDEX([1]游戏类型定义!$C$20:$C$29,MATCH(D1531,[1]!装备部位,0))</f>
        <v>5</v>
      </c>
      <c r="F1531" s="1">
        <v>5</v>
      </c>
      <c r="G1531" s="1">
        <f t="shared" si="119"/>
        <v>45</v>
      </c>
      <c r="H1531" s="10" t="s">
        <v>2320</v>
      </c>
      <c r="I1531" s="1">
        <v>96000</v>
      </c>
      <c r="J1531" s="1">
        <v>150</v>
      </c>
      <c r="K1531" s="1">
        <v>1500</v>
      </c>
      <c r="L1531" s="1">
        <v>27500</v>
      </c>
      <c r="M1531" s="1" t="s">
        <v>2025</v>
      </c>
      <c r="N1531" s="1" t="s">
        <v>1787</v>
      </c>
      <c r="O1531" s="1">
        <v>0</v>
      </c>
      <c r="P1531" s="1" t="s">
        <v>2079</v>
      </c>
      <c r="Q1531" s="7" t="s">
        <v>2057</v>
      </c>
    </row>
    <row r="1532" spans="1:17" ht="14.25" thickBot="1">
      <c r="A1532" s="1" t="s">
        <v>1645</v>
      </c>
      <c r="B1532" s="3">
        <v>1</v>
      </c>
      <c r="C1532" s="9" t="s">
        <v>2261</v>
      </c>
      <c r="D1532" s="1" t="str">
        <f t="shared" si="118"/>
        <v>副手武器</v>
      </c>
      <c r="E1532" s="1">
        <f>INDEX([1]游戏类型定义!$C$20:$C$29,MATCH(D1532,[1]!装备部位,0))</f>
        <v>6</v>
      </c>
      <c r="F1532" s="1">
        <v>5</v>
      </c>
      <c r="G1532" s="1">
        <f t="shared" si="119"/>
        <v>45</v>
      </c>
      <c r="H1532" s="10" t="s">
        <v>2320</v>
      </c>
      <c r="I1532" s="1">
        <v>90000</v>
      </c>
      <c r="J1532" s="1">
        <v>150</v>
      </c>
      <c r="K1532" s="1">
        <v>1500</v>
      </c>
      <c r="L1532" s="1">
        <v>25000</v>
      </c>
      <c r="M1532" s="1" t="s">
        <v>1939</v>
      </c>
      <c r="N1532" s="1" t="s">
        <v>1787</v>
      </c>
      <c r="O1532" s="1">
        <v>0</v>
      </c>
      <c r="P1532" s="1" t="s">
        <v>2079</v>
      </c>
      <c r="Q1532" s="7" t="s">
        <v>2452</v>
      </c>
    </row>
    <row r="1533" spans="1:17" ht="14.25" thickBot="1">
      <c r="A1533" s="1" t="s">
        <v>1646</v>
      </c>
      <c r="B1533" s="2">
        <v>0</v>
      </c>
      <c r="C1533" s="9" t="s">
        <v>2044</v>
      </c>
      <c r="D1533" s="1" t="str">
        <f t="shared" si="118"/>
        <v>副手武器</v>
      </c>
      <c r="E1533" s="1">
        <f>INDEX([1]游戏类型定义!$C$20:$C$29,MATCH(D1533,[1]!装备部位,0))</f>
        <v>6</v>
      </c>
      <c r="F1533" s="1">
        <v>5</v>
      </c>
      <c r="G1533" s="1">
        <f t="shared" si="119"/>
        <v>45</v>
      </c>
      <c r="H1533" s="10" t="s">
        <v>2320</v>
      </c>
      <c r="I1533" s="1">
        <v>96000</v>
      </c>
      <c r="J1533" s="1">
        <v>150</v>
      </c>
      <c r="K1533" s="1">
        <v>1500</v>
      </c>
      <c r="L1533" s="1">
        <v>27500</v>
      </c>
      <c r="M1533" s="1" t="s">
        <v>1940</v>
      </c>
      <c r="N1533" s="1" t="s">
        <v>1787</v>
      </c>
      <c r="O1533" s="1">
        <v>0</v>
      </c>
      <c r="P1533" s="1" t="s">
        <v>2079</v>
      </c>
      <c r="Q1533" s="7" t="s">
        <v>2058</v>
      </c>
    </row>
    <row r="1534" spans="1:17" ht="14.25" thickBot="1">
      <c r="A1534" s="1" t="s">
        <v>1647</v>
      </c>
      <c r="B1534" s="3">
        <v>1</v>
      </c>
      <c r="C1534" s="1" t="s">
        <v>2262</v>
      </c>
      <c r="D1534" s="1" t="str">
        <f t="shared" si="118"/>
        <v>主手武器</v>
      </c>
      <c r="E1534" s="1">
        <f>INDEX([1]游戏类型定义!$C$20:$C$29,MATCH(D1534,[1]!装备部位,0))</f>
        <v>5</v>
      </c>
      <c r="F1534" s="1">
        <v>5</v>
      </c>
      <c r="G1534" s="1">
        <f t="shared" si="119"/>
        <v>45</v>
      </c>
      <c r="H1534" s="10" t="s">
        <v>2321</v>
      </c>
      <c r="I1534" s="1">
        <v>90000</v>
      </c>
      <c r="J1534" s="1">
        <v>150</v>
      </c>
      <c r="K1534" s="1">
        <v>1500</v>
      </c>
      <c r="L1534" s="1">
        <v>25000</v>
      </c>
      <c r="M1534" s="1" t="s">
        <v>2024</v>
      </c>
      <c r="N1534" s="1" t="s">
        <v>1787</v>
      </c>
      <c r="O1534" s="1">
        <v>0</v>
      </c>
      <c r="P1534" s="1" t="s">
        <v>2079</v>
      </c>
      <c r="Q1534" s="7" t="s">
        <v>2453</v>
      </c>
    </row>
    <row r="1535" spans="1:17" ht="14.25" thickBot="1">
      <c r="A1535" s="1" t="s">
        <v>1648</v>
      </c>
      <c r="B1535" s="2">
        <v>0</v>
      </c>
      <c r="C1535" s="1" t="s">
        <v>2040</v>
      </c>
      <c r="D1535" s="1" t="str">
        <f t="shared" si="118"/>
        <v>主手武器</v>
      </c>
      <c r="E1535" s="1">
        <f>INDEX([1]游戏类型定义!$C$20:$C$29,MATCH(D1535,[1]!装备部位,0))</f>
        <v>5</v>
      </c>
      <c r="F1535" s="1">
        <v>5</v>
      </c>
      <c r="G1535" s="1">
        <f t="shared" si="119"/>
        <v>45</v>
      </c>
      <c r="H1535" s="10" t="s">
        <v>2321</v>
      </c>
      <c r="I1535" s="1">
        <v>96000</v>
      </c>
      <c r="J1535" s="1">
        <v>150</v>
      </c>
      <c r="K1535" s="1">
        <v>1500</v>
      </c>
      <c r="L1535" s="1">
        <v>27500</v>
      </c>
      <c r="M1535" s="1" t="s">
        <v>2025</v>
      </c>
      <c r="N1535" s="1" t="s">
        <v>1787</v>
      </c>
      <c r="O1535" s="1">
        <v>0</v>
      </c>
      <c r="P1535" s="1" t="s">
        <v>2079</v>
      </c>
      <c r="Q1535" s="7" t="s">
        <v>2059</v>
      </c>
    </row>
    <row r="1536" spans="1:17" ht="14.25" thickBot="1">
      <c r="A1536" s="1" t="s">
        <v>1649</v>
      </c>
      <c r="B1536" s="3">
        <v>1</v>
      </c>
      <c r="C1536" s="9" t="s">
        <v>2263</v>
      </c>
      <c r="D1536" s="1" t="str">
        <f t="shared" ref="D1536:D1555" si="120">D1206</f>
        <v>副手武器</v>
      </c>
      <c r="E1536" s="1">
        <f>INDEX([1]游戏类型定义!$C$20:$C$29,MATCH(D1536,[1]!装备部位,0))</f>
        <v>6</v>
      </c>
      <c r="F1536" s="1">
        <v>5</v>
      </c>
      <c r="G1536" s="1">
        <f t="shared" ref="G1536:G1555" si="121">G1206</f>
        <v>45</v>
      </c>
      <c r="H1536" s="10" t="s">
        <v>2321</v>
      </c>
      <c r="I1536" s="1">
        <v>90000</v>
      </c>
      <c r="J1536" s="1">
        <v>150</v>
      </c>
      <c r="K1536" s="1">
        <v>1500</v>
      </c>
      <c r="L1536" s="1">
        <v>25000</v>
      </c>
      <c r="M1536" s="1" t="s">
        <v>1941</v>
      </c>
      <c r="N1536" s="1" t="s">
        <v>1787</v>
      </c>
      <c r="O1536" s="1">
        <v>0</v>
      </c>
      <c r="P1536" s="1" t="s">
        <v>2079</v>
      </c>
      <c r="Q1536" s="7" t="s">
        <v>2454</v>
      </c>
    </row>
    <row r="1537" spans="1:17" ht="14.25" thickBot="1">
      <c r="A1537" s="1" t="s">
        <v>1650</v>
      </c>
      <c r="B1537" s="2">
        <v>0</v>
      </c>
      <c r="C1537" s="9" t="s">
        <v>2042</v>
      </c>
      <c r="D1537" s="1" t="str">
        <f t="shared" si="120"/>
        <v>副手武器</v>
      </c>
      <c r="E1537" s="1">
        <f>INDEX([1]游戏类型定义!$C$20:$C$29,MATCH(D1537,[1]!装备部位,0))</f>
        <v>6</v>
      </c>
      <c r="F1537" s="1">
        <v>5</v>
      </c>
      <c r="G1537" s="1">
        <f t="shared" si="121"/>
        <v>45</v>
      </c>
      <c r="H1537" s="10" t="s">
        <v>2321</v>
      </c>
      <c r="I1537" s="1">
        <v>96000</v>
      </c>
      <c r="J1537" s="1">
        <v>150</v>
      </c>
      <c r="K1537" s="1">
        <v>1500</v>
      </c>
      <c r="L1537" s="1">
        <v>27500</v>
      </c>
      <c r="M1537" s="1" t="s">
        <v>1942</v>
      </c>
      <c r="N1537" s="1" t="s">
        <v>1787</v>
      </c>
      <c r="O1537" s="1">
        <v>0</v>
      </c>
      <c r="P1537" s="1" t="s">
        <v>2079</v>
      </c>
      <c r="Q1537" s="7" t="s">
        <v>2060</v>
      </c>
    </row>
    <row r="1538" spans="1:17" ht="14.25" thickBot="1">
      <c r="A1538" s="1" t="s">
        <v>1651</v>
      </c>
      <c r="B1538" s="3">
        <v>1</v>
      </c>
      <c r="C1538" s="9" t="s">
        <v>2257</v>
      </c>
      <c r="D1538" s="1" t="str">
        <f t="shared" si="120"/>
        <v>主手武器</v>
      </c>
      <c r="E1538" s="1">
        <f>INDEX([1]游戏类型定义!$C$20:$C$29,MATCH(D1538,[1]!装备部位,0))</f>
        <v>5</v>
      </c>
      <c r="F1538" s="1">
        <v>5</v>
      </c>
      <c r="G1538" s="1">
        <f t="shared" si="121"/>
        <v>45</v>
      </c>
      <c r="H1538" s="10" t="s">
        <v>2322</v>
      </c>
      <c r="I1538" s="1">
        <v>90000</v>
      </c>
      <c r="J1538" s="1">
        <v>150</v>
      </c>
      <c r="K1538" s="1">
        <v>1500</v>
      </c>
      <c r="L1538" s="1">
        <v>25000</v>
      </c>
      <c r="M1538" s="1" t="s">
        <v>2024</v>
      </c>
      <c r="N1538" s="1" t="s">
        <v>1787</v>
      </c>
      <c r="O1538" s="1">
        <v>0</v>
      </c>
      <c r="P1538" s="1" t="s">
        <v>2079</v>
      </c>
      <c r="Q1538" s="7" t="s">
        <v>2455</v>
      </c>
    </row>
    <row r="1539" spans="1:17" ht="14.25" thickBot="1">
      <c r="A1539" s="1" t="s">
        <v>1652</v>
      </c>
      <c r="B1539" s="3">
        <v>1</v>
      </c>
      <c r="C1539" s="9" t="s">
        <v>2264</v>
      </c>
      <c r="D1539" s="1" t="str">
        <f t="shared" si="120"/>
        <v>主手武器</v>
      </c>
      <c r="E1539" s="1">
        <f>INDEX([1]游戏类型定义!$C$20:$C$29,MATCH(D1539,[1]!装备部位,0))</f>
        <v>5</v>
      </c>
      <c r="F1539" s="1">
        <v>5</v>
      </c>
      <c r="G1539" s="1">
        <f t="shared" si="121"/>
        <v>45</v>
      </c>
      <c r="H1539" s="10" t="s">
        <v>2322</v>
      </c>
      <c r="I1539" s="1">
        <v>96000</v>
      </c>
      <c r="J1539" s="1">
        <v>150</v>
      </c>
      <c r="K1539" s="1">
        <v>1500</v>
      </c>
      <c r="L1539" s="1">
        <v>27500</v>
      </c>
      <c r="M1539" s="1" t="s">
        <v>2025</v>
      </c>
      <c r="N1539" s="1" t="s">
        <v>1787</v>
      </c>
      <c r="O1539" s="1">
        <v>0</v>
      </c>
      <c r="P1539" s="1" t="s">
        <v>2079</v>
      </c>
      <c r="Q1539" s="7" t="s">
        <v>2456</v>
      </c>
    </row>
    <row r="1540" spans="1:17" ht="14.25" thickBot="1">
      <c r="A1540" s="1" t="s">
        <v>1653</v>
      </c>
      <c r="B1540" s="3">
        <v>1</v>
      </c>
      <c r="C1540" s="9" t="s">
        <v>2266</v>
      </c>
      <c r="D1540" s="1" t="str">
        <f t="shared" si="120"/>
        <v>副手武器</v>
      </c>
      <c r="E1540" s="1">
        <f>INDEX([1]游戏类型定义!$C$20:$C$29,MATCH(D1540,[1]!装备部位,0))</f>
        <v>6</v>
      </c>
      <c r="F1540" s="1">
        <v>5</v>
      </c>
      <c r="G1540" s="1">
        <f t="shared" si="121"/>
        <v>45</v>
      </c>
      <c r="H1540" s="10" t="s">
        <v>2322</v>
      </c>
      <c r="I1540" s="1">
        <v>90000</v>
      </c>
      <c r="J1540" s="1">
        <v>150</v>
      </c>
      <c r="K1540" s="1">
        <v>1500</v>
      </c>
      <c r="L1540" s="1">
        <v>25000</v>
      </c>
      <c r="M1540" s="1" t="s">
        <v>1943</v>
      </c>
      <c r="N1540" s="1" t="s">
        <v>1787</v>
      </c>
      <c r="O1540" s="1">
        <v>0</v>
      </c>
      <c r="P1540" s="1" t="s">
        <v>2079</v>
      </c>
      <c r="Q1540" s="7" t="s">
        <v>2457</v>
      </c>
    </row>
    <row r="1541" spans="1:17" ht="14.25" thickBot="1">
      <c r="A1541" s="1" t="s">
        <v>1654</v>
      </c>
      <c r="B1541" s="2">
        <v>0</v>
      </c>
      <c r="C1541" s="9" t="s">
        <v>2050</v>
      </c>
      <c r="D1541" s="1" t="str">
        <f t="shared" si="120"/>
        <v>副手武器</v>
      </c>
      <c r="E1541" s="1">
        <f>INDEX([1]游戏类型定义!$C$20:$C$29,MATCH(D1541,[1]!装备部位,0))</f>
        <v>6</v>
      </c>
      <c r="F1541" s="1">
        <v>5</v>
      </c>
      <c r="G1541" s="1">
        <f t="shared" si="121"/>
        <v>45</v>
      </c>
      <c r="H1541" s="10" t="s">
        <v>2322</v>
      </c>
      <c r="I1541" s="1">
        <v>96000</v>
      </c>
      <c r="J1541" s="1">
        <v>150</v>
      </c>
      <c r="K1541" s="1">
        <v>1500</v>
      </c>
      <c r="L1541" s="1">
        <v>27500</v>
      </c>
      <c r="M1541" s="1" t="s">
        <v>1944</v>
      </c>
      <c r="N1541" s="1" t="s">
        <v>1787</v>
      </c>
      <c r="O1541" s="1">
        <v>0</v>
      </c>
      <c r="P1541" s="1" t="s">
        <v>2079</v>
      </c>
      <c r="Q1541" s="7" t="s">
        <v>2062</v>
      </c>
    </row>
    <row r="1542" spans="1:17" ht="14.25" thickBot="1">
      <c r="A1542" s="1" t="s">
        <v>1655</v>
      </c>
      <c r="B1542" s="3">
        <v>1</v>
      </c>
      <c r="C1542" s="1" t="s">
        <v>2168</v>
      </c>
      <c r="D1542" s="1" t="str">
        <f t="shared" si="120"/>
        <v>胸甲</v>
      </c>
      <c r="E1542" s="1">
        <f>INDEX([1]游戏类型定义!$C$20:$C$29,MATCH(D1542,[1]!装备部位,0))</f>
        <v>4</v>
      </c>
      <c r="F1542" s="1">
        <v>5</v>
      </c>
      <c r="G1542" s="1">
        <f t="shared" si="121"/>
        <v>45</v>
      </c>
      <c r="H1542" s="10">
        <v>0</v>
      </c>
      <c r="I1542" s="1">
        <v>90000</v>
      </c>
      <c r="J1542" s="1">
        <v>150</v>
      </c>
      <c r="K1542" s="1">
        <v>1500</v>
      </c>
      <c r="L1542" s="1">
        <v>25000</v>
      </c>
      <c r="M1542" s="1" t="s">
        <v>1945</v>
      </c>
      <c r="N1542" s="1" t="s">
        <v>1786</v>
      </c>
      <c r="O1542" s="1">
        <v>0</v>
      </c>
      <c r="P1542" s="1" t="s">
        <v>2079</v>
      </c>
      <c r="Q1542" s="7" t="s">
        <v>2458</v>
      </c>
    </row>
    <row r="1543" spans="1:17" ht="14.25" thickBot="1">
      <c r="A1543" s="1" t="s">
        <v>1656</v>
      </c>
      <c r="B1543" s="3">
        <v>1</v>
      </c>
      <c r="C1543" s="1" t="s">
        <v>2169</v>
      </c>
      <c r="D1543" s="1" t="str">
        <f t="shared" si="120"/>
        <v>胸甲</v>
      </c>
      <c r="E1543" s="1">
        <f>INDEX([1]游戏类型定义!$C$20:$C$29,MATCH(D1543,[1]!装备部位,0))</f>
        <v>4</v>
      </c>
      <c r="F1543" s="1">
        <v>5</v>
      </c>
      <c r="G1543" s="1">
        <f t="shared" si="121"/>
        <v>45</v>
      </c>
      <c r="H1543" s="10">
        <v>0</v>
      </c>
      <c r="I1543" s="1">
        <v>96000</v>
      </c>
      <c r="J1543" s="1">
        <v>150</v>
      </c>
      <c r="K1543" s="1">
        <v>1500</v>
      </c>
      <c r="L1543" s="1">
        <v>27500</v>
      </c>
      <c r="M1543" s="1" t="s">
        <v>1946</v>
      </c>
      <c r="N1543" s="1" t="s">
        <v>1786</v>
      </c>
      <c r="O1543" s="1">
        <v>0</v>
      </c>
      <c r="P1543" s="1" t="s">
        <v>2079</v>
      </c>
      <c r="Q1543" s="7" t="s">
        <v>2459</v>
      </c>
    </row>
    <row r="1544" spans="1:17" ht="14.25" thickBot="1">
      <c r="A1544" s="1" t="s">
        <v>1657</v>
      </c>
      <c r="B1544" s="3">
        <v>1</v>
      </c>
      <c r="C1544" s="1" t="s">
        <v>2186</v>
      </c>
      <c r="D1544" s="1" t="str">
        <f t="shared" si="120"/>
        <v>护腿</v>
      </c>
      <c r="E1544" s="1">
        <f>INDEX([1]游戏类型定义!$C$20:$C$29,MATCH(D1544,[1]!装备部位,0))</f>
        <v>7</v>
      </c>
      <c r="F1544" s="1">
        <v>5</v>
      </c>
      <c r="G1544" s="1">
        <f t="shared" si="121"/>
        <v>45</v>
      </c>
      <c r="H1544" s="10">
        <v>0</v>
      </c>
      <c r="I1544" s="1">
        <v>90000</v>
      </c>
      <c r="J1544" s="1">
        <v>150</v>
      </c>
      <c r="K1544" s="1">
        <v>1500</v>
      </c>
      <c r="L1544" s="1">
        <v>25000</v>
      </c>
      <c r="M1544" s="1" t="s">
        <v>1931</v>
      </c>
      <c r="N1544" s="1" t="s">
        <v>1786</v>
      </c>
      <c r="O1544" s="1">
        <v>0</v>
      </c>
      <c r="P1544" s="1" t="s">
        <v>2079</v>
      </c>
      <c r="Q1544" s="7" t="s">
        <v>2460</v>
      </c>
    </row>
    <row r="1545" spans="1:17" ht="14.25" thickBot="1">
      <c r="A1545" s="1" t="s">
        <v>1658</v>
      </c>
      <c r="B1545" s="3">
        <v>1</v>
      </c>
      <c r="C1545" s="1" t="s">
        <v>2187</v>
      </c>
      <c r="D1545" s="1" t="str">
        <f t="shared" si="120"/>
        <v>护腿</v>
      </c>
      <c r="E1545" s="1">
        <f>INDEX([1]游戏类型定义!$C$20:$C$29,MATCH(D1545,[1]!装备部位,0))</f>
        <v>7</v>
      </c>
      <c r="F1545" s="1">
        <v>5</v>
      </c>
      <c r="G1545" s="1">
        <f t="shared" si="121"/>
        <v>45</v>
      </c>
      <c r="H1545" s="10">
        <v>0</v>
      </c>
      <c r="I1545" s="1">
        <v>96000</v>
      </c>
      <c r="J1545" s="1">
        <v>150</v>
      </c>
      <c r="K1545" s="1">
        <v>1500</v>
      </c>
      <c r="L1545" s="1">
        <v>27500</v>
      </c>
      <c r="M1545" s="1" t="s">
        <v>1932</v>
      </c>
      <c r="N1545" s="1" t="s">
        <v>1786</v>
      </c>
      <c r="O1545" s="1">
        <v>0</v>
      </c>
      <c r="P1545" s="1" t="s">
        <v>2079</v>
      </c>
      <c r="Q1545" s="7" t="s">
        <v>2461</v>
      </c>
    </row>
    <row r="1546" spans="1:17" ht="14.25" thickBot="1">
      <c r="A1546" s="1" t="s">
        <v>1659</v>
      </c>
      <c r="B1546" s="3">
        <v>1</v>
      </c>
      <c r="C1546" s="1" t="s">
        <v>2105</v>
      </c>
      <c r="D1546" s="1" t="str">
        <f t="shared" si="120"/>
        <v>头盔</v>
      </c>
      <c r="E1546" s="1">
        <f>INDEX([1]游戏类型定义!$C$20:$C$29,MATCH(D1546,[1]!装备部位,0))</f>
        <v>1</v>
      </c>
      <c r="F1546" s="1">
        <v>5</v>
      </c>
      <c r="G1546" s="1">
        <f t="shared" si="121"/>
        <v>50</v>
      </c>
      <c r="H1546" s="10">
        <v>0</v>
      </c>
      <c r="I1546" s="1">
        <v>100000</v>
      </c>
      <c r="J1546" s="1">
        <v>150</v>
      </c>
      <c r="K1546" s="1">
        <v>1500</v>
      </c>
      <c r="L1546" s="1">
        <v>27500</v>
      </c>
      <c r="M1546" s="1" t="s">
        <v>1947</v>
      </c>
      <c r="N1546" s="1" t="s">
        <v>1788</v>
      </c>
      <c r="O1546" s="1">
        <v>0</v>
      </c>
      <c r="P1546" s="1" t="s">
        <v>2080</v>
      </c>
      <c r="Q1546" s="7" t="s">
        <v>2462</v>
      </c>
    </row>
    <row r="1547" spans="1:17" ht="14.25" thickBot="1">
      <c r="A1547" s="1" t="s">
        <v>1660</v>
      </c>
      <c r="B1547" s="3">
        <v>1</v>
      </c>
      <c r="C1547" s="1" t="s">
        <v>2115</v>
      </c>
      <c r="D1547" s="1" t="str">
        <f t="shared" si="120"/>
        <v>戒指</v>
      </c>
      <c r="E1547" s="1">
        <f>INDEX([1]游戏类型定义!$C$20:$C$29,MATCH(D1547,[1]!装备部位,0))</f>
        <v>2</v>
      </c>
      <c r="F1547" s="1">
        <v>5</v>
      </c>
      <c r="G1547" s="1">
        <f t="shared" si="121"/>
        <v>50</v>
      </c>
      <c r="H1547" s="10">
        <v>0</v>
      </c>
      <c r="I1547" s="1">
        <v>100000</v>
      </c>
      <c r="J1547" s="1">
        <v>150</v>
      </c>
      <c r="K1547" s="1">
        <v>1500</v>
      </c>
      <c r="L1547" s="1">
        <v>27500</v>
      </c>
      <c r="M1547" s="1" t="s">
        <v>1948</v>
      </c>
      <c r="N1547" s="1" t="s">
        <v>1788</v>
      </c>
      <c r="O1547" s="1">
        <v>0</v>
      </c>
      <c r="P1547" s="1" t="s">
        <v>2080</v>
      </c>
      <c r="Q1547" s="7" t="s">
        <v>2463</v>
      </c>
    </row>
    <row r="1548" spans="1:17" ht="14.25" thickBot="1">
      <c r="A1548" s="1" t="s">
        <v>1661</v>
      </c>
      <c r="B1548" s="3">
        <v>1</v>
      </c>
      <c r="C1548" s="1" t="s">
        <v>2092</v>
      </c>
      <c r="D1548" s="1" t="str">
        <f t="shared" si="120"/>
        <v>腰带</v>
      </c>
      <c r="E1548" s="1">
        <f>INDEX([1]游戏类型定义!$C$20:$C$29,MATCH(D1548,[1]!装备部位,0))</f>
        <v>3</v>
      </c>
      <c r="F1548" s="1">
        <v>5</v>
      </c>
      <c r="G1548" s="1">
        <f t="shared" si="121"/>
        <v>50</v>
      </c>
      <c r="H1548" s="10">
        <v>0</v>
      </c>
      <c r="I1548" s="1">
        <v>100000</v>
      </c>
      <c r="J1548" s="1">
        <v>150</v>
      </c>
      <c r="K1548" s="1">
        <v>1500</v>
      </c>
      <c r="L1548" s="1">
        <v>27500</v>
      </c>
      <c r="M1548" s="1" t="s">
        <v>1949</v>
      </c>
      <c r="N1548" s="1" t="s">
        <v>1788</v>
      </c>
      <c r="O1548" s="1">
        <v>0</v>
      </c>
      <c r="P1548" s="1" t="s">
        <v>2080</v>
      </c>
      <c r="Q1548" s="7" t="s">
        <v>2464</v>
      </c>
    </row>
    <row r="1549" spans="1:17" ht="14.25" thickBot="1">
      <c r="A1549" s="1" t="s">
        <v>1662</v>
      </c>
      <c r="B1549" s="2">
        <v>0</v>
      </c>
      <c r="C1549" s="1" t="s">
        <v>2127</v>
      </c>
      <c r="D1549" s="1" t="str">
        <f t="shared" si="120"/>
        <v>鞋子</v>
      </c>
      <c r="E1549" s="1">
        <f>INDEX([1]游戏类型定义!$C$20:$C$29,MATCH(D1549,[1]!装备部位,0))</f>
        <v>8</v>
      </c>
      <c r="F1549" s="1">
        <v>5</v>
      </c>
      <c r="G1549" s="1">
        <f t="shared" si="121"/>
        <v>50</v>
      </c>
      <c r="H1549" s="10">
        <v>0</v>
      </c>
      <c r="I1549" s="1">
        <v>100000</v>
      </c>
      <c r="J1549" s="1">
        <v>150</v>
      </c>
      <c r="K1549" s="1">
        <v>1500</v>
      </c>
      <c r="L1549" s="1">
        <v>27500</v>
      </c>
      <c r="M1549" s="1" t="s">
        <v>1950</v>
      </c>
      <c r="N1549" s="1" t="s">
        <v>1788</v>
      </c>
      <c r="O1549" s="1">
        <v>0</v>
      </c>
      <c r="P1549" s="1" t="s">
        <v>2080</v>
      </c>
      <c r="Q1549" s="7" t="s">
        <v>2054</v>
      </c>
    </row>
    <row r="1550" spans="1:17" ht="14.25" thickBot="1">
      <c r="A1550" s="1" t="s">
        <v>1663</v>
      </c>
      <c r="B1550" s="3">
        <v>1</v>
      </c>
      <c r="C1550" s="1" t="s">
        <v>2137</v>
      </c>
      <c r="D1550" s="1" t="str">
        <f t="shared" si="120"/>
        <v>手套</v>
      </c>
      <c r="E1550" s="1">
        <f>INDEX([1]游戏类型定义!$C$20:$C$29,MATCH(D1550,[1]!装备部位,0))</f>
        <v>9</v>
      </c>
      <c r="F1550" s="1">
        <v>5</v>
      </c>
      <c r="G1550" s="1">
        <f t="shared" si="121"/>
        <v>50</v>
      </c>
      <c r="H1550" s="10">
        <v>0</v>
      </c>
      <c r="I1550" s="1">
        <v>100000</v>
      </c>
      <c r="J1550" s="1">
        <v>150</v>
      </c>
      <c r="K1550" s="1">
        <v>1500</v>
      </c>
      <c r="L1550" s="1">
        <v>27500</v>
      </c>
      <c r="M1550" s="1" t="s">
        <v>1951</v>
      </c>
      <c r="N1550" s="1" t="s">
        <v>1788</v>
      </c>
      <c r="O1550" s="1">
        <v>0</v>
      </c>
      <c r="P1550" s="1" t="s">
        <v>2080</v>
      </c>
      <c r="Q1550" s="7" t="s">
        <v>2465</v>
      </c>
    </row>
    <row r="1551" spans="1:17" ht="14.25" thickBot="1">
      <c r="A1551" s="1" t="s">
        <v>1664</v>
      </c>
      <c r="B1551" s="3">
        <v>1</v>
      </c>
      <c r="C1551" s="1" t="s">
        <v>2152</v>
      </c>
      <c r="D1551" s="1" t="str">
        <f t="shared" si="120"/>
        <v>项链</v>
      </c>
      <c r="E1551" s="1">
        <f>INDEX([1]游戏类型定义!$C$20:$C$29,MATCH(D1551,[1]!装备部位,0))</f>
        <v>10</v>
      </c>
      <c r="F1551" s="1">
        <v>5</v>
      </c>
      <c r="G1551" s="1">
        <f t="shared" si="121"/>
        <v>50</v>
      </c>
      <c r="H1551" s="10">
        <v>0</v>
      </c>
      <c r="I1551" s="1">
        <v>100000</v>
      </c>
      <c r="J1551" s="1">
        <v>150</v>
      </c>
      <c r="K1551" s="1">
        <v>1500</v>
      </c>
      <c r="L1551" s="1">
        <v>27500</v>
      </c>
      <c r="M1551" s="1" t="s">
        <v>1952</v>
      </c>
      <c r="N1551" s="1" t="s">
        <v>1788</v>
      </c>
      <c r="O1551" s="1">
        <v>0</v>
      </c>
      <c r="P1551" s="1" t="s">
        <v>2080</v>
      </c>
      <c r="Q1551" s="7" t="s">
        <v>2466</v>
      </c>
    </row>
    <row r="1552" spans="1:17" ht="14.25" thickBot="1">
      <c r="A1552" s="1" t="s">
        <v>1665</v>
      </c>
      <c r="B1552" s="3">
        <v>1</v>
      </c>
      <c r="C1552" s="9" t="s">
        <v>2269</v>
      </c>
      <c r="D1552" s="1" t="str">
        <f t="shared" si="120"/>
        <v>主手武器</v>
      </c>
      <c r="E1552" s="1">
        <f>INDEX([1]游戏类型定义!$C$20:$C$29,MATCH(D1552,[1]!装备部位,0))</f>
        <v>5</v>
      </c>
      <c r="F1552" s="1">
        <v>5</v>
      </c>
      <c r="G1552" s="1">
        <f t="shared" si="121"/>
        <v>50</v>
      </c>
      <c r="H1552" s="10" t="s">
        <v>2320</v>
      </c>
      <c r="I1552" s="1">
        <v>100000</v>
      </c>
      <c r="J1552" s="1">
        <v>150</v>
      </c>
      <c r="K1552" s="1">
        <v>1500</v>
      </c>
      <c r="L1552" s="1">
        <v>27500</v>
      </c>
      <c r="M1552" s="1" t="s">
        <v>1953</v>
      </c>
      <c r="N1552" s="1" t="s">
        <v>1789</v>
      </c>
      <c r="O1552" s="1">
        <v>0</v>
      </c>
      <c r="P1552" s="1" t="s">
        <v>2080</v>
      </c>
      <c r="Q1552" s="7" t="s">
        <v>2467</v>
      </c>
    </row>
    <row r="1553" spans="1:17" ht="14.25" thickBot="1">
      <c r="A1553" s="1" t="s">
        <v>1666</v>
      </c>
      <c r="B1553" s="3">
        <v>1</v>
      </c>
      <c r="C1553" s="9" t="s">
        <v>2267</v>
      </c>
      <c r="D1553" s="1" t="str">
        <f t="shared" si="120"/>
        <v>主手武器</v>
      </c>
      <c r="E1553" s="1">
        <f>INDEX([1]游戏类型定义!$C$20:$C$29,MATCH(D1553,[1]!装备部位,0))</f>
        <v>5</v>
      </c>
      <c r="F1553" s="1">
        <v>5</v>
      </c>
      <c r="G1553" s="1">
        <f t="shared" si="121"/>
        <v>50</v>
      </c>
      <c r="H1553" s="10" t="s">
        <v>2320</v>
      </c>
      <c r="I1553" s="1">
        <v>106000</v>
      </c>
      <c r="J1553" s="1">
        <v>150</v>
      </c>
      <c r="K1553" s="1">
        <v>1500</v>
      </c>
      <c r="L1553" s="1">
        <v>30000</v>
      </c>
      <c r="M1553" s="1" t="s">
        <v>1954</v>
      </c>
      <c r="N1553" s="1" t="s">
        <v>1789</v>
      </c>
      <c r="O1553" s="1">
        <v>0</v>
      </c>
      <c r="P1553" s="1" t="s">
        <v>2080</v>
      </c>
      <c r="Q1553" s="7" t="s">
        <v>2468</v>
      </c>
    </row>
    <row r="1554" spans="1:17" ht="14.25" thickBot="1">
      <c r="A1554" s="1" t="s">
        <v>1667</v>
      </c>
      <c r="B1554" s="3">
        <v>1</v>
      </c>
      <c r="C1554" s="9" t="s">
        <v>2268</v>
      </c>
      <c r="D1554" s="1" t="str">
        <f t="shared" si="120"/>
        <v>副手武器</v>
      </c>
      <c r="E1554" s="1">
        <f>INDEX([1]游戏类型定义!$C$20:$C$29,MATCH(D1554,[1]!装备部位,0))</f>
        <v>6</v>
      </c>
      <c r="F1554" s="1">
        <v>5</v>
      </c>
      <c r="G1554" s="1">
        <f t="shared" si="121"/>
        <v>50</v>
      </c>
      <c r="H1554" s="10" t="s">
        <v>2320</v>
      </c>
      <c r="I1554" s="1">
        <v>100000</v>
      </c>
      <c r="J1554" s="1">
        <v>150</v>
      </c>
      <c r="K1554" s="1">
        <v>1500</v>
      </c>
      <c r="L1554" s="1">
        <v>27500</v>
      </c>
      <c r="M1554" s="1" t="s">
        <v>1955</v>
      </c>
      <c r="N1554" s="1" t="s">
        <v>1789</v>
      </c>
      <c r="O1554" s="1">
        <v>0</v>
      </c>
      <c r="P1554" s="1" t="s">
        <v>2080</v>
      </c>
      <c r="Q1554" s="7" t="s">
        <v>2469</v>
      </c>
    </row>
    <row r="1555" spans="1:17" ht="14.25" thickBot="1">
      <c r="A1555" s="1" t="s">
        <v>1668</v>
      </c>
      <c r="B1555" s="3">
        <v>1</v>
      </c>
      <c r="C1555" s="9" t="s">
        <v>2271</v>
      </c>
      <c r="D1555" s="1" t="str">
        <f t="shared" si="120"/>
        <v>副手武器</v>
      </c>
      <c r="E1555" s="1">
        <f>INDEX([1]游戏类型定义!$C$20:$C$29,MATCH(D1555,[1]!装备部位,0))</f>
        <v>6</v>
      </c>
      <c r="F1555" s="1">
        <v>5</v>
      </c>
      <c r="G1555" s="1">
        <f t="shared" si="121"/>
        <v>50</v>
      </c>
      <c r="H1555" s="10" t="s">
        <v>2320</v>
      </c>
      <c r="I1555" s="1">
        <v>106000</v>
      </c>
      <c r="J1555" s="1">
        <v>150</v>
      </c>
      <c r="K1555" s="1">
        <v>1500</v>
      </c>
      <c r="L1555" s="1">
        <v>30000</v>
      </c>
      <c r="M1555" s="1" t="s">
        <v>1956</v>
      </c>
      <c r="N1555" s="1" t="s">
        <v>1789</v>
      </c>
      <c r="O1555" s="1">
        <v>0</v>
      </c>
      <c r="P1555" s="1" t="s">
        <v>2080</v>
      </c>
      <c r="Q1555" s="7" t="s">
        <v>2470</v>
      </c>
    </row>
    <row r="1556" spans="1:17" ht="14.25" thickBot="1">
      <c r="A1556" s="1" t="s">
        <v>1669</v>
      </c>
      <c r="B1556" s="3">
        <v>1</v>
      </c>
      <c r="C1556" s="1" t="s">
        <v>2270</v>
      </c>
      <c r="D1556" s="1" t="str">
        <f t="shared" ref="D1556:D1575" si="122">D1226</f>
        <v>主手武器</v>
      </c>
      <c r="E1556" s="1">
        <f>INDEX([1]游戏类型定义!$C$20:$C$29,MATCH(D1556,[1]!装备部位,0))</f>
        <v>5</v>
      </c>
      <c r="F1556" s="1">
        <v>5</v>
      </c>
      <c r="G1556" s="1">
        <f t="shared" ref="G1556:G1575" si="123">G1226</f>
        <v>50</v>
      </c>
      <c r="H1556" s="10" t="s">
        <v>2321</v>
      </c>
      <c r="I1556" s="1">
        <v>100000</v>
      </c>
      <c r="J1556" s="1">
        <v>150</v>
      </c>
      <c r="K1556" s="1">
        <v>1500</v>
      </c>
      <c r="L1556" s="1">
        <v>27500</v>
      </c>
      <c r="M1556" s="1" t="s">
        <v>1953</v>
      </c>
      <c r="N1556" s="1" t="s">
        <v>1789</v>
      </c>
      <c r="O1556" s="1">
        <v>0</v>
      </c>
      <c r="P1556" s="1" t="s">
        <v>2080</v>
      </c>
      <c r="Q1556" s="7" t="s">
        <v>2471</v>
      </c>
    </row>
    <row r="1557" spans="1:17" ht="14.25" thickBot="1">
      <c r="A1557" s="1" t="s">
        <v>1670</v>
      </c>
      <c r="B1557" s="3">
        <v>1</v>
      </c>
      <c r="C1557" s="1" t="s">
        <v>2318</v>
      </c>
      <c r="D1557" s="1" t="str">
        <f t="shared" si="122"/>
        <v>主手武器</v>
      </c>
      <c r="E1557" s="1">
        <f>INDEX([1]游戏类型定义!$C$20:$C$29,MATCH(D1557,[1]!装备部位,0))</f>
        <v>5</v>
      </c>
      <c r="F1557" s="1">
        <v>5</v>
      </c>
      <c r="G1557" s="1">
        <f t="shared" si="123"/>
        <v>50</v>
      </c>
      <c r="H1557" s="10" t="s">
        <v>2321</v>
      </c>
      <c r="I1557" s="1">
        <v>106000</v>
      </c>
      <c r="J1557" s="1">
        <v>150</v>
      </c>
      <c r="K1557" s="1">
        <v>1500</v>
      </c>
      <c r="L1557" s="1">
        <v>30000</v>
      </c>
      <c r="M1557" s="1" t="s">
        <v>1954</v>
      </c>
      <c r="N1557" s="1" t="s">
        <v>1789</v>
      </c>
      <c r="O1557" s="1">
        <v>0</v>
      </c>
      <c r="P1557" s="1" t="s">
        <v>2080</v>
      </c>
      <c r="Q1557" s="7" t="s">
        <v>2472</v>
      </c>
    </row>
    <row r="1558" spans="1:17" ht="14.25" thickBot="1">
      <c r="A1558" s="1" t="s">
        <v>1671</v>
      </c>
      <c r="B1558" s="3">
        <v>1</v>
      </c>
      <c r="C1558" s="9" t="s">
        <v>2272</v>
      </c>
      <c r="D1558" s="1" t="str">
        <f t="shared" si="122"/>
        <v>副手武器</v>
      </c>
      <c r="E1558" s="1">
        <f>INDEX([1]游戏类型定义!$C$20:$C$29,MATCH(D1558,[1]!装备部位,0))</f>
        <v>6</v>
      </c>
      <c r="F1558" s="1">
        <v>5</v>
      </c>
      <c r="G1558" s="1">
        <f t="shared" si="123"/>
        <v>50</v>
      </c>
      <c r="H1558" s="10" t="s">
        <v>2321</v>
      </c>
      <c r="I1558" s="1">
        <v>100000</v>
      </c>
      <c r="J1558" s="1">
        <v>150</v>
      </c>
      <c r="K1558" s="1">
        <v>1500</v>
      </c>
      <c r="L1558" s="1">
        <v>27500</v>
      </c>
      <c r="M1558" s="1" t="s">
        <v>1957</v>
      </c>
      <c r="N1558" s="1" t="s">
        <v>1789</v>
      </c>
      <c r="O1558" s="1">
        <v>0</v>
      </c>
      <c r="P1558" s="1" t="s">
        <v>2080</v>
      </c>
      <c r="Q1558" s="7" t="s">
        <v>2473</v>
      </c>
    </row>
    <row r="1559" spans="1:17" ht="14.25" thickBot="1">
      <c r="A1559" s="1" t="s">
        <v>1672</v>
      </c>
      <c r="B1559" s="3">
        <v>1</v>
      </c>
      <c r="C1559" s="9" t="s">
        <v>2273</v>
      </c>
      <c r="D1559" s="1" t="str">
        <f t="shared" si="122"/>
        <v>副手武器</v>
      </c>
      <c r="E1559" s="1">
        <f>INDEX([1]游戏类型定义!$C$20:$C$29,MATCH(D1559,[1]!装备部位,0))</f>
        <v>6</v>
      </c>
      <c r="F1559" s="1">
        <v>5</v>
      </c>
      <c r="G1559" s="1">
        <f t="shared" si="123"/>
        <v>50</v>
      </c>
      <c r="H1559" s="10" t="s">
        <v>2321</v>
      </c>
      <c r="I1559" s="1">
        <v>106000</v>
      </c>
      <c r="J1559" s="1">
        <v>150</v>
      </c>
      <c r="K1559" s="1">
        <v>1500</v>
      </c>
      <c r="L1559" s="1">
        <v>30000</v>
      </c>
      <c r="M1559" s="1" t="s">
        <v>1958</v>
      </c>
      <c r="N1559" s="1" t="s">
        <v>1789</v>
      </c>
      <c r="O1559" s="1">
        <v>0</v>
      </c>
      <c r="P1559" s="1" t="s">
        <v>2080</v>
      </c>
      <c r="Q1559" s="7" t="s">
        <v>2474</v>
      </c>
    </row>
    <row r="1560" spans="1:17" ht="14.25" thickBot="1">
      <c r="A1560" s="1" t="s">
        <v>1673</v>
      </c>
      <c r="B1560" s="3">
        <v>1</v>
      </c>
      <c r="C1560" s="9" t="s">
        <v>2265</v>
      </c>
      <c r="D1560" s="1" t="str">
        <f t="shared" si="122"/>
        <v>主手武器</v>
      </c>
      <c r="E1560" s="1">
        <f>INDEX([1]游戏类型定义!$C$20:$C$29,MATCH(D1560,[1]!装备部位,0))</f>
        <v>5</v>
      </c>
      <c r="F1560" s="1">
        <v>5</v>
      </c>
      <c r="G1560" s="1">
        <f t="shared" si="123"/>
        <v>50</v>
      </c>
      <c r="H1560" s="10" t="s">
        <v>2322</v>
      </c>
      <c r="I1560" s="1">
        <v>100000</v>
      </c>
      <c r="J1560" s="1">
        <v>150</v>
      </c>
      <c r="K1560" s="1">
        <v>1500</v>
      </c>
      <c r="L1560" s="1">
        <v>27500</v>
      </c>
      <c r="M1560" s="1" t="s">
        <v>1953</v>
      </c>
      <c r="N1560" s="1" t="s">
        <v>1789</v>
      </c>
      <c r="O1560" s="1">
        <v>0</v>
      </c>
      <c r="P1560" s="1" t="s">
        <v>2080</v>
      </c>
      <c r="Q1560" s="7" t="s">
        <v>2475</v>
      </c>
    </row>
    <row r="1561" spans="1:17" ht="14.25" thickBot="1">
      <c r="A1561" s="1" t="s">
        <v>1674</v>
      </c>
      <c r="B1561" s="3">
        <v>1</v>
      </c>
      <c r="C1561" s="9" t="s">
        <v>2290</v>
      </c>
      <c r="D1561" s="1" t="str">
        <f t="shared" si="122"/>
        <v>主手武器</v>
      </c>
      <c r="E1561" s="1">
        <f>INDEX([1]游戏类型定义!$C$20:$C$29,MATCH(D1561,[1]!装备部位,0))</f>
        <v>5</v>
      </c>
      <c r="F1561" s="1">
        <v>5</v>
      </c>
      <c r="G1561" s="1">
        <f t="shared" si="123"/>
        <v>50</v>
      </c>
      <c r="H1561" s="10" t="s">
        <v>2322</v>
      </c>
      <c r="I1561" s="1">
        <v>106000</v>
      </c>
      <c r="J1561" s="1">
        <v>150</v>
      </c>
      <c r="K1561" s="1">
        <v>1500</v>
      </c>
      <c r="L1561" s="1">
        <v>30000</v>
      </c>
      <c r="M1561" s="1" t="s">
        <v>1954</v>
      </c>
      <c r="N1561" s="1" t="s">
        <v>1789</v>
      </c>
      <c r="O1561" s="1">
        <v>0</v>
      </c>
      <c r="P1561" s="1" t="s">
        <v>2080</v>
      </c>
      <c r="Q1561" s="7" t="s">
        <v>2476</v>
      </c>
    </row>
    <row r="1562" spans="1:17" ht="14.25" thickBot="1">
      <c r="A1562" s="1" t="s">
        <v>1675</v>
      </c>
      <c r="B1562" s="3">
        <v>1</v>
      </c>
      <c r="C1562" s="9" t="s">
        <v>2275</v>
      </c>
      <c r="D1562" s="1" t="str">
        <f t="shared" si="122"/>
        <v>副手武器</v>
      </c>
      <c r="E1562" s="1">
        <f>INDEX([1]游戏类型定义!$C$20:$C$29,MATCH(D1562,[1]!装备部位,0))</f>
        <v>6</v>
      </c>
      <c r="F1562" s="1">
        <v>5</v>
      </c>
      <c r="G1562" s="1">
        <f t="shared" si="123"/>
        <v>50</v>
      </c>
      <c r="H1562" s="10" t="s">
        <v>2322</v>
      </c>
      <c r="I1562" s="1">
        <v>100000</v>
      </c>
      <c r="J1562" s="1">
        <v>150</v>
      </c>
      <c r="K1562" s="1">
        <v>1500</v>
      </c>
      <c r="L1562" s="1">
        <v>27500</v>
      </c>
      <c r="M1562" s="1" t="s">
        <v>1959</v>
      </c>
      <c r="N1562" s="1" t="s">
        <v>1789</v>
      </c>
      <c r="O1562" s="1">
        <v>0</v>
      </c>
      <c r="P1562" s="1" t="s">
        <v>2080</v>
      </c>
      <c r="Q1562" s="7" t="s">
        <v>2477</v>
      </c>
    </row>
    <row r="1563" spans="1:17" ht="14.25" thickBot="1">
      <c r="A1563" s="1" t="s">
        <v>1676</v>
      </c>
      <c r="B1563" s="3">
        <v>1</v>
      </c>
      <c r="C1563" s="9" t="s">
        <v>2276</v>
      </c>
      <c r="D1563" s="1" t="str">
        <f t="shared" si="122"/>
        <v>副手武器</v>
      </c>
      <c r="E1563" s="1">
        <f>INDEX([1]游戏类型定义!$C$20:$C$29,MATCH(D1563,[1]!装备部位,0))</f>
        <v>6</v>
      </c>
      <c r="F1563" s="1">
        <v>5</v>
      </c>
      <c r="G1563" s="1">
        <f t="shared" si="123"/>
        <v>50</v>
      </c>
      <c r="H1563" s="10" t="s">
        <v>2322</v>
      </c>
      <c r="I1563" s="1">
        <v>106000</v>
      </c>
      <c r="J1563" s="1">
        <v>150</v>
      </c>
      <c r="K1563" s="1">
        <v>1500</v>
      </c>
      <c r="L1563" s="1">
        <v>30000</v>
      </c>
      <c r="M1563" s="1" t="s">
        <v>1960</v>
      </c>
      <c r="N1563" s="1" t="s">
        <v>1789</v>
      </c>
      <c r="O1563" s="1">
        <v>0</v>
      </c>
      <c r="P1563" s="1" t="s">
        <v>2080</v>
      </c>
      <c r="Q1563" s="7" t="s">
        <v>2478</v>
      </c>
    </row>
    <row r="1564" spans="1:17" ht="14.25" thickBot="1">
      <c r="A1564" s="1" t="s">
        <v>1677</v>
      </c>
      <c r="B1564" s="2">
        <v>0</v>
      </c>
      <c r="C1564" s="1" t="s">
        <v>2030</v>
      </c>
      <c r="D1564" s="1" t="str">
        <f t="shared" si="122"/>
        <v>胸甲</v>
      </c>
      <c r="E1564" s="1">
        <f>INDEX([1]游戏类型定义!$C$20:$C$29,MATCH(D1564,[1]!装备部位,0))</f>
        <v>4</v>
      </c>
      <c r="F1564" s="1">
        <v>5</v>
      </c>
      <c r="G1564" s="1">
        <f t="shared" si="123"/>
        <v>50</v>
      </c>
      <c r="H1564" s="10">
        <v>0</v>
      </c>
      <c r="I1564" s="1">
        <v>100000</v>
      </c>
      <c r="J1564" s="1">
        <v>150</v>
      </c>
      <c r="K1564" s="1">
        <v>1500</v>
      </c>
      <c r="L1564" s="1">
        <v>27500</v>
      </c>
      <c r="M1564" s="1" t="s">
        <v>1961</v>
      </c>
      <c r="N1564" s="1" t="s">
        <v>1788</v>
      </c>
      <c r="O1564" s="1">
        <v>0</v>
      </c>
      <c r="P1564" s="1" t="s">
        <v>2080</v>
      </c>
      <c r="Q1564" s="7" t="s">
        <v>2063</v>
      </c>
    </row>
    <row r="1565" spans="1:17" ht="14.25" thickBot="1">
      <c r="A1565" s="1" t="s">
        <v>1678</v>
      </c>
      <c r="B1565" s="2">
        <v>0</v>
      </c>
      <c r="C1565" s="1" t="s">
        <v>2030</v>
      </c>
      <c r="D1565" s="1" t="str">
        <f t="shared" si="122"/>
        <v>胸甲</v>
      </c>
      <c r="E1565" s="1">
        <f>INDEX([1]游戏类型定义!$C$20:$C$29,MATCH(D1565,[1]!装备部位,0))</f>
        <v>4</v>
      </c>
      <c r="F1565" s="1">
        <v>5</v>
      </c>
      <c r="G1565" s="1">
        <f t="shared" si="123"/>
        <v>50</v>
      </c>
      <c r="H1565" s="10">
        <v>0</v>
      </c>
      <c r="I1565" s="1">
        <v>106000</v>
      </c>
      <c r="J1565" s="1">
        <v>150</v>
      </c>
      <c r="K1565" s="1">
        <v>1500</v>
      </c>
      <c r="L1565" s="1">
        <v>30000</v>
      </c>
      <c r="M1565" s="1" t="s">
        <v>1962</v>
      </c>
      <c r="N1565" s="1" t="s">
        <v>1788</v>
      </c>
      <c r="O1565" s="1">
        <v>0</v>
      </c>
      <c r="P1565" s="1" t="s">
        <v>2080</v>
      </c>
      <c r="Q1565" s="7" t="s">
        <v>2063</v>
      </c>
    </row>
    <row r="1566" spans="1:17" ht="14.25" thickBot="1">
      <c r="A1566" s="1" t="s">
        <v>1679</v>
      </c>
      <c r="B1566" s="3">
        <v>1</v>
      </c>
      <c r="C1566" s="1" t="s">
        <v>2188</v>
      </c>
      <c r="D1566" s="1" t="str">
        <f t="shared" si="122"/>
        <v>护腿</v>
      </c>
      <c r="E1566" s="1">
        <f>INDEX([1]游戏类型定义!$C$20:$C$29,MATCH(D1566,[1]!装备部位,0))</f>
        <v>7</v>
      </c>
      <c r="F1566" s="1">
        <v>5</v>
      </c>
      <c r="G1566" s="1">
        <f t="shared" si="123"/>
        <v>50</v>
      </c>
      <c r="H1566" s="10">
        <v>0</v>
      </c>
      <c r="I1566" s="1">
        <v>100000</v>
      </c>
      <c r="J1566" s="1">
        <v>150</v>
      </c>
      <c r="K1566" s="1">
        <v>1500</v>
      </c>
      <c r="L1566" s="1">
        <v>27500</v>
      </c>
      <c r="M1566" s="1" t="s">
        <v>1945</v>
      </c>
      <c r="N1566" s="1" t="s">
        <v>1788</v>
      </c>
      <c r="O1566" s="1">
        <v>0</v>
      </c>
      <c r="P1566" s="1" t="s">
        <v>2080</v>
      </c>
      <c r="Q1566" s="7" t="s">
        <v>2479</v>
      </c>
    </row>
    <row r="1567" spans="1:17" ht="14.25" thickBot="1">
      <c r="A1567" s="1" t="s">
        <v>1680</v>
      </c>
      <c r="B1567" s="2">
        <v>0</v>
      </c>
      <c r="C1567" s="1" t="s">
        <v>2038</v>
      </c>
      <c r="D1567" s="1" t="str">
        <f t="shared" si="122"/>
        <v>护腿</v>
      </c>
      <c r="E1567" s="1">
        <f>INDEX([1]游戏类型定义!$C$20:$C$29,MATCH(D1567,[1]!装备部位,0))</f>
        <v>7</v>
      </c>
      <c r="F1567" s="1">
        <v>5</v>
      </c>
      <c r="G1567" s="1">
        <f t="shared" si="123"/>
        <v>50</v>
      </c>
      <c r="H1567" s="10">
        <v>0</v>
      </c>
      <c r="I1567" s="1">
        <v>106000</v>
      </c>
      <c r="J1567" s="1">
        <v>150</v>
      </c>
      <c r="K1567" s="1">
        <v>1500</v>
      </c>
      <c r="L1567" s="1">
        <v>30000</v>
      </c>
      <c r="M1567" s="1" t="s">
        <v>1946</v>
      </c>
      <c r="N1567" s="1" t="s">
        <v>1788</v>
      </c>
      <c r="O1567" s="1">
        <v>0</v>
      </c>
      <c r="P1567" s="1" t="s">
        <v>2080</v>
      </c>
      <c r="Q1567" s="7" t="s">
        <v>2064</v>
      </c>
    </row>
    <row r="1568" spans="1:17" ht="14.25" thickBot="1">
      <c r="A1568" s="1" t="s">
        <v>1681</v>
      </c>
      <c r="B1568" s="3">
        <v>1</v>
      </c>
      <c r="C1568" s="1" t="s">
        <v>2106</v>
      </c>
      <c r="D1568" s="1" t="str">
        <f t="shared" si="122"/>
        <v>头盔</v>
      </c>
      <c r="E1568" s="1">
        <f>INDEX([1]游戏类型定义!$C$20:$C$29,MATCH(D1568,[1]!装备部位,0))</f>
        <v>1</v>
      </c>
      <c r="F1568" s="1">
        <v>5</v>
      </c>
      <c r="G1568" s="1">
        <f t="shared" si="123"/>
        <v>55</v>
      </c>
      <c r="H1568" s="10">
        <v>0</v>
      </c>
      <c r="I1568" s="1">
        <v>110000</v>
      </c>
      <c r="J1568" s="1">
        <v>150</v>
      </c>
      <c r="K1568" s="1">
        <v>1500</v>
      </c>
      <c r="L1568" s="1">
        <v>30000</v>
      </c>
      <c r="M1568" s="1" t="s">
        <v>1963</v>
      </c>
      <c r="N1568" s="1" t="s">
        <v>1790</v>
      </c>
      <c r="O1568" s="1">
        <v>0</v>
      </c>
      <c r="P1568" s="1" t="s">
        <v>2081</v>
      </c>
      <c r="Q1568" s="7" t="s">
        <v>2480</v>
      </c>
    </row>
    <row r="1569" spans="1:17" ht="14.25" thickBot="1">
      <c r="A1569" s="1" t="s">
        <v>1682</v>
      </c>
      <c r="B1569" s="3">
        <v>1</v>
      </c>
      <c r="C1569" s="1" t="s">
        <v>2117</v>
      </c>
      <c r="D1569" s="1" t="str">
        <f t="shared" si="122"/>
        <v>戒指</v>
      </c>
      <c r="E1569" s="1">
        <f>INDEX([1]游戏类型定义!$C$20:$C$29,MATCH(D1569,[1]!装备部位,0))</f>
        <v>2</v>
      </c>
      <c r="F1569" s="1">
        <v>5</v>
      </c>
      <c r="G1569" s="1">
        <f t="shared" si="123"/>
        <v>55</v>
      </c>
      <c r="H1569" s="10">
        <v>0</v>
      </c>
      <c r="I1569" s="1">
        <v>110000</v>
      </c>
      <c r="J1569" s="1">
        <v>150</v>
      </c>
      <c r="K1569" s="1">
        <v>1500</v>
      </c>
      <c r="L1569" s="1">
        <v>30000</v>
      </c>
      <c r="M1569" s="1" t="s">
        <v>1964</v>
      </c>
      <c r="N1569" s="1" t="s">
        <v>1790</v>
      </c>
      <c r="O1569" s="1">
        <v>0</v>
      </c>
      <c r="P1569" s="1" t="s">
        <v>2081</v>
      </c>
      <c r="Q1569" s="7" t="s">
        <v>2481</v>
      </c>
    </row>
    <row r="1570" spans="1:17" ht="14.25" thickBot="1">
      <c r="A1570" s="1" t="s">
        <v>1683</v>
      </c>
      <c r="B1570" s="2">
        <v>0</v>
      </c>
      <c r="C1570" s="1" t="s">
        <v>2095</v>
      </c>
      <c r="D1570" s="1" t="str">
        <f t="shared" si="122"/>
        <v>腰带</v>
      </c>
      <c r="E1570" s="1">
        <f>INDEX([1]游戏类型定义!$C$20:$C$29,MATCH(D1570,[1]!装备部位,0))</f>
        <v>3</v>
      </c>
      <c r="F1570" s="1">
        <v>5</v>
      </c>
      <c r="G1570" s="1">
        <f t="shared" si="123"/>
        <v>55</v>
      </c>
      <c r="H1570" s="10">
        <v>0</v>
      </c>
      <c r="I1570" s="1">
        <v>110000</v>
      </c>
      <c r="J1570" s="1">
        <v>150</v>
      </c>
      <c r="K1570" s="1">
        <v>1500</v>
      </c>
      <c r="L1570" s="1">
        <v>30000</v>
      </c>
      <c r="M1570" s="1" t="s">
        <v>1965</v>
      </c>
      <c r="N1570" s="1" t="s">
        <v>1790</v>
      </c>
      <c r="O1570" s="1">
        <v>0</v>
      </c>
      <c r="P1570" s="1" t="s">
        <v>2081</v>
      </c>
      <c r="Q1570" s="7" t="s">
        <v>2053</v>
      </c>
    </row>
    <row r="1571" spans="1:17" ht="14.25" thickBot="1">
      <c r="A1571" s="1" t="s">
        <v>1684</v>
      </c>
      <c r="B1571" s="3">
        <v>1</v>
      </c>
      <c r="C1571" s="1" t="s">
        <v>2128</v>
      </c>
      <c r="D1571" s="1" t="str">
        <f t="shared" si="122"/>
        <v>鞋子</v>
      </c>
      <c r="E1571" s="1">
        <f>INDEX([1]游戏类型定义!$C$20:$C$29,MATCH(D1571,[1]!装备部位,0))</f>
        <v>8</v>
      </c>
      <c r="F1571" s="1">
        <v>5</v>
      </c>
      <c r="G1571" s="1">
        <f t="shared" si="123"/>
        <v>55</v>
      </c>
      <c r="H1571" s="10">
        <v>0</v>
      </c>
      <c r="I1571" s="1">
        <v>110000</v>
      </c>
      <c r="J1571" s="1">
        <v>150</v>
      </c>
      <c r="K1571" s="1">
        <v>1500</v>
      </c>
      <c r="L1571" s="1">
        <v>30000</v>
      </c>
      <c r="M1571" s="1" t="s">
        <v>1966</v>
      </c>
      <c r="N1571" s="1" t="s">
        <v>1790</v>
      </c>
      <c r="O1571" s="1">
        <v>0</v>
      </c>
      <c r="P1571" s="1" t="s">
        <v>2081</v>
      </c>
      <c r="Q1571" s="7" t="s">
        <v>2482</v>
      </c>
    </row>
    <row r="1572" spans="1:17" ht="14.25" thickBot="1">
      <c r="A1572" s="1" t="s">
        <v>1685</v>
      </c>
      <c r="B1572" s="2">
        <v>0</v>
      </c>
      <c r="C1572" s="1" t="s">
        <v>2035</v>
      </c>
      <c r="D1572" s="1" t="str">
        <f t="shared" si="122"/>
        <v>手套</v>
      </c>
      <c r="E1572" s="1">
        <f>INDEX([1]游戏类型定义!$C$20:$C$29,MATCH(D1572,[1]!装备部位,0))</f>
        <v>9</v>
      </c>
      <c r="F1572" s="1">
        <v>5</v>
      </c>
      <c r="G1572" s="1">
        <f t="shared" si="123"/>
        <v>55</v>
      </c>
      <c r="H1572" s="10">
        <v>0</v>
      </c>
      <c r="I1572" s="1">
        <v>110000</v>
      </c>
      <c r="J1572" s="1">
        <v>150</v>
      </c>
      <c r="K1572" s="1">
        <v>1500</v>
      </c>
      <c r="L1572" s="1">
        <v>30000</v>
      </c>
      <c r="M1572" s="1" t="s">
        <v>1951</v>
      </c>
      <c r="N1572" s="1" t="s">
        <v>1790</v>
      </c>
      <c r="O1572" s="1">
        <v>0</v>
      </c>
      <c r="P1572" s="1" t="s">
        <v>2081</v>
      </c>
      <c r="Q1572" s="7" t="s">
        <v>2055</v>
      </c>
    </row>
    <row r="1573" spans="1:17" ht="14.25" thickBot="1">
      <c r="A1573" s="1" t="s">
        <v>1686</v>
      </c>
      <c r="B1573" s="3">
        <v>1</v>
      </c>
      <c r="C1573" s="1" t="s">
        <v>2153</v>
      </c>
      <c r="D1573" s="1" t="str">
        <f t="shared" si="122"/>
        <v>项链</v>
      </c>
      <c r="E1573" s="1">
        <f>INDEX([1]游戏类型定义!$C$20:$C$29,MATCH(D1573,[1]!装备部位,0))</f>
        <v>10</v>
      </c>
      <c r="F1573" s="1">
        <v>5</v>
      </c>
      <c r="G1573" s="1">
        <f t="shared" si="123"/>
        <v>55</v>
      </c>
      <c r="H1573" s="10">
        <v>0</v>
      </c>
      <c r="I1573" s="1">
        <v>110000</v>
      </c>
      <c r="J1573" s="1">
        <v>150</v>
      </c>
      <c r="K1573" s="1">
        <v>1500</v>
      </c>
      <c r="L1573" s="1">
        <v>30000</v>
      </c>
      <c r="M1573" s="1" t="s">
        <v>1967</v>
      </c>
      <c r="N1573" s="1" t="s">
        <v>1790</v>
      </c>
      <c r="O1573" s="1">
        <v>0</v>
      </c>
      <c r="P1573" s="1" t="s">
        <v>2081</v>
      </c>
      <c r="Q1573" s="7" t="s">
        <v>2483</v>
      </c>
    </row>
    <row r="1574" spans="1:17" ht="14.25" thickBot="1">
      <c r="A1574" s="1" t="s">
        <v>1687</v>
      </c>
      <c r="B1574" s="3">
        <v>1</v>
      </c>
      <c r="C1574" s="9" t="s">
        <v>2277</v>
      </c>
      <c r="D1574" s="1" t="str">
        <f t="shared" si="122"/>
        <v>主手武器</v>
      </c>
      <c r="E1574" s="1">
        <f>INDEX([1]游戏类型定义!$C$20:$C$29,MATCH(D1574,[1]!装备部位,0))</f>
        <v>5</v>
      </c>
      <c r="F1574" s="1">
        <v>5</v>
      </c>
      <c r="G1574" s="1">
        <f t="shared" si="123"/>
        <v>55</v>
      </c>
      <c r="H1574" s="10" t="s">
        <v>2320</v>
      </c>
      <c r="I1574" s="1">
        <v>110000</v>
      </c>
      <c r="J1574" s="1">
        <v>150</v>
      </c>
      <c r="K1574" s="1">
        <v>1500</v>
      </c>
      <c r="L1574" s="1">
        <v>30000</v>
      </c>
      <c r="M1574" s="1" t="s">
        <v>2026</v>
      </c>
      <c r="N1574" s="1" t="s">
        <v>1791</v>
      </c>
      <c r="O1574" s="1">
        <v>0</v>
      </c>
      <c r="P1574" s="1" t="s">
        <v>2081</v>
      </c>
      <c r="Q1574" s="7" t="s">
        <v>2484</v>
      </c>
    </row>
    <row r="1575" spans="1:17" ht="14.25" thickBot="1">
      <c r="A1575" s="1" t="s">
        <v>1688</v>
      </c>
      <c r="B1575" s="2">
        <v>0</v>
      </c>
      <c r="C1575" s="9" t="s">
        <v>2046</v>
      </c>
      <c r="D1575" s="1" t="str">
        <f t="shared" si="122"/>
        <v>主手武器</v>
      </c>
      <c r="E1575" s="1">
        <f>INDEX([1]游戏类型定义!$C$20:$C$29,MATCH(D1575,[1]!装备部位,0))</f>
        <v>5</v>
      </c>
      <c r="F1575" s="1">
        <v>5</v>
      </c>
      <c r="G1575" s="1">
        <f t="shared" si="123"/>
        <v>55</v>
      </c>
      <c r="H1575" s="10" t="s">
        <v>2320</v>
      </c>
      <c r="I1575" s="1">
        <v>116000</v>
      </c>
      <c r="J1575" s="1">
        <v>150</v>
      </c>
      <c r="K1575" s="1">
        <v>1500</v>
      </c>
      <c r="L1575" s="1">
        <v>32500</v>
      </c>
      <c r="M1575" s="1" t="s">
        <v>2027</v>
      </c>
      <c r="N1575" s="1" t="s">
        <v>1791</v>
      </c>
      <c r="O1575" s="1">
        <v>0</v>
      </c>
      <c r="P1575" s="1" t="s">
        <v>2081</v>
      </c>
      <c r="Q1575" s="7" t="s">
        <v>2057</v>
      </c>
    </row>
    <row r="1576" spans="1:17" ht="14.25" thickBot="1">
      <c r="A1576" s="1" t="s">
        <v>1689</v>
      </c>
      <c r="B1576" s="3">
        <v>1</v>
      </c>
      <c r="C1576" s="9" t="s">
        <v>2278</v>
      </c>
      <c r="D1576" s="1" t="str">
        <f t="shared" ref="D1576:D1595" si="124">D1246</f>
        <v>副手武器</v>
      </c>
      <c r="E1576" s="1">
        <f>INDEX([1]游戏类型定义!$C$20:$C$29,MATCH(D1576,[1]!装备部位,0))</f>
        <v>6</v>
      </c>
      <c r="F1576" s="1">
        <v>5</v>
      </c>
      <c r="G1576" s="1">
        <f t="shared" ref="G1576:G1595" si="125">G1246</f>
        <v>55</v>
      </c>
      <c r="H1576" s="10" t="s">
        <v>2320</v>
      </c>
      <c r="I1576" s="1">
        <v>110000</v>
      </c>
      <c r="J1576" s="1">
        <v>150</v>
      </c>
      <c r="K1576" s="1">
        <v>1500</v>
      </c>
      <c r="L1576" s="1">
        <v>30000</v>
      </c>
      <c r="M1576" s="1" t="s">
        <v>1968</v>
      </c>
      <c r="N1576" s="1" t="s">
        <v>1791</v>
      </c>
      <c r="O1576" s="1">
        <v>0</v>
      </c>
      <c r="P1576" s="1" t="s">
        <v>2081</v>
      </c>
      <c r="Q1576" s="7" t="s">
        <v>2485</v>
      </c>
    </row>
    <row r="1577" spans="1:17" ht="14.25" thickBot="1">
      <c r="A1577" s="1" t="s">
        <v>1690</v>
      </c>
      <c r="B1577" s="3">
        <v>1</v>
      </c>
      <c r="C1577" s="9" t="s">
        <v>2279</v>
      </c>
      <c r="D1577" s="1" t="str">
        <f t="shared" si="124"/>
        <v>副手武器</v>
      </c>
      <c r="E1577" s="1">
        <f>INDEX([1]游戏类型定义!$C$20:$C$29,MATCH(D1577,[1]!装备部位,0))</f>
        <v>6</v>
      </c>
      <c r="F1577" s="1">
        <v>5</v>
      </c>
      <c r="G1577" s="1">
        <f t="shared" si="125"/>
        <v>55</v>
      </c>
      <c r="H1577" s="10" t="s">
        <v>2320</v>
      </c>
      <c r="I1577" s="1">
        <v>116000</v>
      </c>
      <c r="J1577" s="1">
        <v>150</v>
      </c>
      <c r="K1577" s="1">
        <v>1500</v>
      </c>
      <c r="L1577" s="1">
        <v>32500</v>
      </c>
      <c r="M1577" s="1" t="s">
        <v>1969</v>
      </c>
      <c r="N1577" s="1" t="s">
        <v>1791</v>
      </c>
      <c r="O1577" s="1">
        <v>0</v>
      </c>
      <c r="P1577" s="1" t="s">
        <v>2081</v>
      </c>
      <c r="Q1577" s="7" t="s">
        <v>2486</v>
      </c>
    </row>
    <row r="1578" spans="1:17" ht="14.25" thickBot="1">
      <c r="A1578" s="1" t="s">
        <v>1691</v>
      </c>
      <c r="B1578" s="3">
        <v>1</v>
      </c>
      <c r="C1578" s="1" t="s">
        <v>2280</v>
      </c>
      <c r="D1578" s="1" t="str">
        <f t="shared" si="124"/>
        <v>主手武器</v>
      </c>
      <c r="E1578" s="1">
        <f>INDEX([1]游戏类型定义!$C$20:$C$29,MATCH(D1578,[1]!装备部位,0))</f>
        <v>5</v>
      </c>
      <c r="F1578" s="1">
        <v>5</v>
      </c>
      <c r="G1578" s="1">
        <f t="shared" si="125"/>
        <v>55</v>
      </c>
      <c r="H1578" s="10" t="s">
        <v>2321</v>
      </c>
      <c r="I1578" s="1">
        <v>110000</v>
      </c>
      <c r="J1578" s="1">
        <v>150</v>
      </c>
      <c r="K1578" s="1">
        <v>1500</v>
      </c>
      <c r="L1578" s="1">
        <v>30000</v>
      </c>
      <c r="M1578" s="1" t="s">
        <v>2026</v>
      </c>
      <c r="N1578" s="1" t="s">
        <v>1791</v>
      </c>
      <c r="O1578" s="1">
        <v>0</v>
      </c>
      <c r="P1578" s="1" t="s">
        <v>2081</v>
      </c>
      <c r="Q1578" s="7" t="s">
        <v>2471</v>
      </c>
    </row>
    <row r="1579" spans="1:17" ht="14.25" thickBot="1">
      <c r="A1579" s="1" t="s">
        <v>1692</v>
      </c>
      <c r="B1579" s="2">
        <v>0</v>
      </c>
      <c r="C1579" s="1" t="s">
        <v>2040</v>
      </c>
      <c r="D1579" s="1" t="str">
        <f t="shared" si="124"/>
        <v>主手武器</v>
      </c>
      <c r="E1579" s="1">
        <f>INDEX([1]游戏类型定义!$C$20:$C$29,MATCH(D1579,[1]!装备部位,0))</f>
        <v>5</v>
      </c>
      <c r="F1579" s="1">
        <v>5</v>
      </c>
      <c r="G1579" s="1">
        <f t="shared" si="125"/>
        <v>55</v>
      </c>
      <c r="H1579" s="10" t="s">
        <v>2321</v>
      </c>
      <c r="I1579" s="1">
        <v>116000</v>
      </c>
      <c r="J1579" s="1">
        <v>150</v>
      </c>
      <c r="K1579" s="1">
        <v>1500</v>
      </c>
      <c r="L1579" s="1">
        <v>32500</v>
      </c>
      <c r="M1579" s="1" t="s">
        <v>2027</v>
      </c>
      <c r="N1579" s="1" t="s">
        <v>1791</v>
      </c>
      <c r="O1579" s="1">
        <v>0</v>
      </c>
      <c r="P1579" s="1" t="s">
        <v>2081</v>
      </c>
      <c r="Q1579" s="7" t="s">
        <v>2059</v>
      </c>
    </row>
    <row r="1580" spans="1:17" ht="14.25" thickBot="1">
      <c r="A1580" s="1" t="s">
        <v>1693</v>
      </c>
      <c r="B1580" s="3">
        <v>1</v>
      </c>
      <c r="C1580" s="9" t="s">
        <v>2281</v>
      </c>
      <c r="D1580" s="1" t="str">
        <f t="shared" si="124"/>
        <v>副手武器</v>
      </c>
      <c r="E1580" s="1">
        <f>INDEX([1]游戏类型定义!$C$20:$C$29,MATCH(D1580,[1]!装备部位,0))</f>
        <v>6</v>
      </c>
      <c r="F1580" s="1">
        <v>5</v>
      </c>
      <c r="G1580" s="1">
        <f t="shared" si="125"/>
        <v>55</v>
      </c>
      <c r="H1580" s="10" t="s">
        <v>2321</v>
      </c>
      <c r="I1580" s="1">
        <v>110000</v>
      </c>
      <c r="J1580" s="1">
        <v>150</v>
      </c>
      <c r="K1580" s="1">
        <v>1500</v>
      </c>
      <c r="L1580" s="1">
        <v>30000</v>
      </c>
      <c r="M1580" s="1" t="s">
        <v>1970</v>
      </c>
      <c r="N1580" s="1" t="s">
        <v>1791</v>
      </c>
      <c r="O1580" s="1">
        <v>0</v>
      </c>
      <c r="P1580" s="1" t="s">
        <v>2081</v>
      </c>
      <c r="Q1580" s="7" t="s">
        <v>2487</v>
      </c>
    </row>
    <row r="1581" spans="1:17" ht="14.25" thickBot="1">
      <c r="A1581" s="1" t="s">
        <v>1694</v>
      </c>
      <c r="B1581" s="3">
        <v>1</v>
      </c>
      <c r="C1581" s="9" t="s">
        <v>2282</v>
      </c>
      <c r="D1581" s="1" t="str">
        <f t="shared" si="124"/>
        <v>副手武器</v>
      </c>
      <c r="E1581" s="1">
        <f>INDEX([1]游戏类型定义!$C$20:$C$29,MATCH(D1581,[1]!装备部位,0))</f>
        <v>6</v>
      </c>
      <c r="F1581" s="1">
        <v>5</v>
      </c>
      <c r="G1581" s="1">
        <f t="shared" si="125"/>
        <v>55</v>
      </c>
      <c r="H1581" s="10" t="s">
        <v>2321</v>
      </c>
      <c r="I1581" s="1">
        <v>116000</v>
      </c>
      <c r="J1581" s="1">
        <v>150</v>
      </c>
      <c r="K1581" s="1">
        <v>1500</v>
      </c>
      <c r="L1581" s="1">
        <v>32500</v>
      </c>
      <c r="M1581" s="1" t="s">
        <v>1971</v>
      </c>
      <c r="N1581" s="1" t="s">
        <v>1791</v>
      </c>
      <c r="O1581" s="1">
        <v>0</v>
      </c>
      <c r="P1581" s="1" t="s">
        <v>2081</v>
      </c>
      <c r="Q1581" s="7" t="s">
        <v>2488</v>
      </c>
    </row>
    <row r="1582" spans="1:17" ht="14.25" thickBot="1">
      <c r="A1582" s="1" t="s">
        <v>1695</v>
      </c>
      <c r="B1582" s="3">
        <v>1</v>
      </c>
      <c r="C1582" s="9" t="s">
        <v>2274</v>
      </c>
      <c r="D1582" s="1" t="str">
        <f t="shared" si="124"/>
        <v>主手武器</v>
      </c>
      <c r="E1582" s="1">
        <f>INDEX([1]游戏类型定义!$C$20:$C$29,MATCH(D1582,[1]!装备部位,0))</f>
        <v>5</v>
      </c>
      <c r="F1582" s="1">
        <v>5</v>
      </c>
      <c r="G1582" s="1">
        <f t="shared" si="125"/>
        <v>55</v>
      </c>
      <c r="H1582" s="10" t="s">
        <v>2322</v>
      </c>
      <c r="I1582" s="1">
        <v>110000</v>
      </c>
      <c r="J1582" s="1">
        <v>150</v>
      </c>
      <c r="K1582" s="1">
        <v>1500</v>
      </c>
      <c r="L1582" s="1">
        <v>30000</v>
      </c>
      <c r="M1582" s="1" t="s">
        <v>2026</v>
      </c>
      <c r="N1582" s="1" t="s">
        <v>1791</v>
      </c>
      <c r="O1582" s="1">
        <v>0</v>
      </c>
      <c r="P1582" s="1" t="s">
        <v>2081</v>
      </c>
      <c r="Q1582" s="7" t="s">
        <v>2489</v>
      </c>
    </row>
    <row r="1583" spans="1:17" ht="14.25" thickBot="1">
      <c r="A1583" s="1" t="s">
        <v>1696</v>
      </c>
      <c r="B1583" s="2">
        <v>0</v>
      </c>
      <c r="C1583" s="9" t="s">
        <v>2048</v>
      </c>
      <c r="D1583" s="1" t="str">
        <f t="shared" si="124"/>
        <v>主手武器</v>
      </c>
      <c r="E1583" s="1">
        <f>INDEX([1]游戏类型定义!$C$20:$C$29,MATCH(D1583,[1]!装备部位,0))</f>
        <v>5</v>
      </c>
      <c r="F1583" s="1">
        <v>5</v>
      </c>
      <c r="G1583" s="1">
        <f t="shared" si="125"/>
        <v>55</v>
      </c>
      <c r="H1583" s="10" t="s">
        <v>2322</v>
      </c>
      <c r="I1583" s="1">
        <v>116000</v>
      </c>
      <c r="J1583" s="1">
        <v>150</v>
      </c>
      <c r="K1583" s="1">
        <v>1500</v>
      </c>
      <c r="L1583" s="1">
        <v>32500</v>
      </c>
      <c r="M1583" s="1" t="s">
        <v>2027</v>
      </c>
      <c r="N1583" s="1" t="s">
        <v>1791</v>
      </c>
      <c r="O1583" s="1">
        <v>0</v>
      </c>
      <c r="P1583" s="1" t="s">
        <v>2081</v>
      </c>
      <c r="Q1583" s="7" t="s">
        <v>2061</v>
      </c>
    </row>
    <row r="1584" spans="1:17" ht="14.25" thickBot="1">
      <c r="A1584" s="1" t="s">
        <v>1697</v>
      </c>
      <c r="B1584" s="3">
        <v>1</v>
      </c>
      <c r="C1584" s="9" t="s">
        <v>2283</v>
      </c>
      <c r="D1584" s="1" t="str">
        <f t="shared" si="124"/>
        <v>副手武器</v>
      </c>
      <c r="E1584" s="1">
        <f>INDEX([1]游戏类型定义!$C$20:$C$29,MATCH(D1584,[1]!装备部位,0))</f>
        <v>6</v>
      </c>
      <c r="F1584" s="1">
        <v>5</v>
      </c>
      <c r="G1584" s="1">
        <f t="shared" si="125"/>
        <v>55</v>
      </c>
      <c r="H1584" s="10" t="s">
        <v>2322</v>
      </c>
      <c r="I1584" s="1">
        <v>110000</v>
      </c>
      <c r="J1584" s="1">
        <v>150</v>
      </c>
      <c r="K1584" s="1">
        <v>1500</v>
      </c>
      <c r="L1584" s="1">
        <v>30000</v>
      </c>
      <c r="M1584" s="1" t="s">
        <v>1972</v>
      </c>
      <c r="N1584" s="1" t="s">
        <v>1791</v>
      </c>
      <c r="O1584" s="1">
        <v>0</v>
      </c>
      <c r="P1584" s="1" t="s">
        <v>2081</v>
      </c>
      <c r="Q1584" s="7" t="s">
        <v>2490</v>
      </c>
    </row>
    <row r="1585" spans="1:17" ht="14.25" thickBot="1">
      <c r="A1585" s="1" t="s">
        <v>1698</v>
      </c>
      <c r="B1585" s="3">
        <v>1</v>
      </c>
      <c r="C1585" s="9" t="s">
        <v>2285</v>
      </c>
      <c r="D1585" s="1" t="str">
        <f t="shared" si="124"/>
        <v>副手武器</v>
      </c>
      <c r="E1585" s="1">
        <f>INDEX([1]游戏类型定义!$C$20:$C$29,MATCH(D1585,[1]!装备部位,0))</f>
        <v>6</v>
      </c>
      <c r="F1585" s="1">
        <v>5</v>
      </c>
      <c r="G1585" s="1">
        <f t="shared" si="125"/>
        <v>55</v>
      </c>
      <c r="H1585" s="10" t="s">
        <v>2322</v>
      </c>
      <c r="I1585" s="1">
        <v>116000</v>
      </c>
      <c r="J1585" s="1">
        <v>150</v>
      </c>
      <c r="K1585" s="1">
        <v>1500</v>
      </c>
      <c r="L1585" s="1">
        <v>32500</v>
      </c>
      <c r="M1585" s="1" t="s">
        <v>1973</v>
      </c>
      <c r="N1585" s="1" t="s">
        <v>1791</v>
      </c>
      <c r="O1585" s="1">
        <v>0</v>
      </c>
      <c r="P1585" s="1" t="s">
        <v>2081</v>
      </c>
      <c r="Q1585" s="7" t="s">
        <v>2491</v>
      </c>
    </row>
    <row r="1586" spans="1:17" ht="14.25" thickBot="1">
      <c r="A1586" s="1" t="s">
        <v>1699</v>
      </c>
      <c r="B1586" s="3">
        <v>1</v>
      </c>
      <c r="C1586" s="1" t="s">
        <v>2170</v>
      </c>
      <c r="D1586" s="1" t="str">
        <f t="shared" si="124"/>
        <v>胸甲</v>
      </c>
      <c r="E1586" s="1">
        <f>INDEX([1]游戏类型定义!$C$20:$C$29,MATCH(D1586,[1]!装备部位,0))</f>
        <v>4</v>
      </c>
      <c r="F1586" s="1">
        <v>5</v>
      </c>
      <c r="G1586" s="1">
        <f t="shared" si="125"/>
        <v>55</v>
      </c>
      <c r="H1586" s="10">
        <v>0</v>
      </c>
      <c r="I1586" s="1">
        <v>110000</v>
      </c>
      <c r="J1586" s="1">
        <v>150</v>
      </c>
      <c r="K1586" s="1">
        <v>1500</v>
      </c>
      <c r="L1586" s="1">
        <v>30000</v>
      </c>
      <c r="M1586" s="1" t="s">
        <v>1974</v>
      </c>
      <c r="N1586" s="1" t="s">
        <v>1790</v>
      </c>
      <c r="O1586" s="1">
        <v>0</v>
      </c>
      <c r="P1586" s="1" t="s">
        <v>2081</v>
      </c>
      <c r="Q1586" s="7" t="s">
        <v>2492</v>
      </c>
    </row>
    <row r="1587" spans="1:17" ht="14.25" thickBot="1">
      <c r="A1587" s="1" t="s">
        <v>1700</v>
      </c>
      <c r="B1587" s="2">
        <v>0</v>
      </c>
      <c r="C1587" s="1" t="s">
        <v>2030</v>
      </c>
      <c r="D1587" s="1" t="str">
        <f t="shared" si="124"/>
        <v>胸甲</v>
      </c>
      <c r="E1587" s="1">
        <f>INDEX([1]游戏类型定义!$C$20:$C$29,MATCH(D1587,[1]!装备部位,0))</f>
        <v>4</v>
      </c>
      <c r="F1587" s="1">
        <v>5</v>
      </c>
      <c r="G1587" s="1">
        <f t="shared" si="125"/>
        <v>55</v>
      </c>
      <c r="H1587" s="10">
        <v>0</v>
      </c>
      <c r="I1587" s="1">
        <v>116000</v>
      </c>
      <c r="J1587" s="1">
        <v>150</v>
      </c>
      <c r="K1587" s="1">
        <v>1500</v>
      </c>
      <c r="L1587" s="1">
        <v>32500</v>
      </c>
      <c r="M1587" s="1" t="s">
        <v>1975</v>
      </c>
      <c r="N1587" s="1" t="s">
        <v>1790</v>
      </c>
      <c r="O1587" s="1">
        <v>0</v>
      </c>
      <c r="P1587" s="1" t="s">
        <v>2081</v>
      </c>
      <c r="Q1587" s="7" t="s">
        <v>2063</v>
      </c>
    </row>
    <row r="1588" spans="1:17" ht="14.25" thickBot="1">
      <c r="A1588" s="1" t="s">
        <v>1701</v>
      </c>
      <c r="B1588" s="3">
        <v>1</v>
      </c>
      <c r="C1588" s="1" t="s">
        <v>2189</v>
      </c>
      <c r="D1588" s="1" t="str">
        <f t="shared" si="124"/>
        <v>护腿</v>
      </c>
      <c r="E1588" s="1">
        <f>INDEX([1]游戏类型定义!$C$20:$C$29,MATCH(D1588,[1]!装备部位,0))</f>
        <v>7</v>
      </c>
      <c r="F1588" s="1">
        <v>5</v>
      </c>
      <c r="G1588" s="1">
        <f t="shared" si="125"/>
        <v>55</v>
      </c>
      <c r="H1588" s="10">
        <v>0</v>
      </c>
      <c r="I1588" s="1">
        <v>110000</v>
      </c>
      <c r="J1588" s="1">
        <v>150</v>
      </c>
      <c r="K1588" s="1">
        <v>1500</v>
      </c>
      <c r="L1588" s="1">
        <v>30000</v>
      </c>
      <c r="M1588" s="1" t="s">
        <v>1961</v>
      </c>
      <c r="N1588" s="1" t="s">
        <v>1790</v>
      </c>
      <c r="O1588" s="1">
        <v>0</v>
      </c>
      <c r="P1588" s="1" t="s">
        <v>2081</v>
      </c>
      <c r="Q1588" s="7" t="s">
        <v>2493</v>
      </c>
    </row>
    <row r="1589" spans="1:17" ht="14.25" thickBot="1">
      <c r="A1589" s="1" t="s">
        <v>1702</v>
      </c>
      <c r="B1589" s="2">
        <v>0</v>
      </c>
      <c r="C1589" s="1" t="s">
        <v>2038</v>
      </c>
      <c r="D1589" s="1" t="str">
        <f t="shared" si="124"/>
        <v>护腿</v>
      </c>
      <c r="E1589" s="1">
        <f>INDEX([1]游戏类型定义!$C$20:$C$29,MATCH(D1589,[1]!装备部位,0))</f>
        <v>7</v>
      </c>
      <c r="F1589" s="1">
        <v>5</v>
      </c>
      <c r="G1589" s="1">
        <f t="shared" si="125"/>
        <v>55</v>
      </c>
      <c r="H1589" s="10">
        <v>0</v>
      </c>
      <c r="I1589" s="1">
        <v>116000</v>
      </c>
      <c r="J1589" s="1">
        <v>150</v>
      </c>
      <c r="K1589" s="1">
        <v>1500</v>
      </c>
      <c r="L1589" s="1">
        <v>32500</v>
      </c>
      <c r="M1589" s="1" t="s">
        <v>1962</v>
      </c>
      <c r="N1589" s="1" t="s">
        <v>1790</v>
      </c>
      <c r="O1589" s="1">
        <v>0</v>
      </c>
      <c r="P1589" s="1" t="s">
        <v>2081</v>
      </c>
      <c r="Q1589" s="7" t="s">
        <v>2064</v>
      </c>
    </row>
    <row r="1590" spans="1:17" ht="14.25" thickBot="1">
      <c r="A1590" s="1" t="s">
        <v>1703</v>
      </c>
      <c r="B1590" s="3">
        <v>1</v>
      </c>
      <c r="C1590" s="1" t="s">
        <v>2142</v>
      </c>
      <c r="D1590" s="1" t="str">
        <f t="shared" si="124"/>
        <v>头盔</v>
      </c>
      <c r="E1590" s="1">
        <f>INDEX([1]游戏类型定义!$C$20:$C$29,MATCH(D1590,[1]!装备部位,0))</f>
        <v>1</v>
      </c>
      <c r="F1590" s="1">
        <v>5</v>
      </c>
      <c r="G1590" s="1">
        <f t="shared" si="125"/>
        <v>60</v>
      </c>
      <c r="H1590" s="10">
        <v>0</v>
      </c>
      <c r="I1590" s="1">
        <v>120000</v>
      </c>
      <c r="J1590" s="1">
        <v>150</v>
      </c>
      <c r="K1590" s="1">
        <v>1500</v>
      </c>
      <c r="L1590" s="1">
        <v>32500</v>
      </c>
      <c r="M1590" s="1" t="s">
        <v>1976</v>
      </c>
      <c r="N1590" s="1" t="s">
        <v>1792</v>
      </c>
      <c r="O1590" s="1">
        <v>0</v>
      </c>
      <c r="P1590" s="1" t="s">
        <v>2082</v>
      </c>
      <c r="Q1590" s="7" t="s">
        <v>2494</v>
      </c>
    </row>
    <row r="1591" spans="1:17" ht="14.25" thickBot="1">
      <c r="A1591" s="1" t="s">
        <v>1704</v>
      </c>
      <c r="B1591" s="3">
        <v>1</v>
      </c>
      <c r="C1591" s="1" t="s">
        <v>2116</v>
      </c>
      <c r="D1591" s="1" t="str">
        <f t="shared" si="124"/>
        <v>戒指</v>
      </c>
      <c r="E1591" s="1">
        <f>INDEX([1]游戏类型定义!$C$20:$C$29,MATCH(D1591,[1]!装备部位,0))</f>
        <v>2</v>
      </c>
      <c r="F1591" s="1">
        <v>5</v>
      </c>
      <c r="G1591" s="1">
        <f t="shared" si="125"/>
        <v>60</v>
      </c>
      <c r="H1591" s="10">
        <v>0</v>
      </c>
      <c r="I1591" s="1">
        <v>120000</v>
      </c>
      <c r="J1591" s="1">
        <v>150</v>
      </c>
      <c r="K1591" s="1">
        <v>1500</v>
      </c>
      <c r="L1591" s="1">
        <v>32500</v>
      </c>
      <c r="M1591" s="1" t="s">
        <v>1977</v>
      </c>
      <c r="N1591" s="1" t="s">
        <v>1792</v>
      </c>
      <c r="O1591" s="1">
        <v>0</v>
      </c>
      <c r="P1591" s="1" t="s">
        <v>2082</v>
      </c>
      <c r="Q1591" s="7" t="s">
        <v>2495</v>
      </c>
    </row>
    <row r="1592" spans="1:17" ht="14.25" thickBot="1">
      <c r="A1592" s="1" t="s">
        <v>1705</v>
      </c>
      <c r="B1592" s="3">
        <v>1</v>
      </c>
      <c r="C1592" s="1" t="s">
        <v>2096</v>
      </c>
      <c r="D1592" s="1" t="str">
        <f t="shared" si="124"/>
        <v>腰带</v>
      </c>
      <c r="E1592" s="1">
        <f>INDEX([1]游戏类型定义!$C$20:$C$29,MATCH(D1592,[1]!装备部位,0))</f>
        <v>3</v>
      </c>
      <c r="F1592" s="1">
        <v>5</v>
      </c>
      <c r="G1592" s="1">
        <f t="shared" si="125"/>
        <v>60</v>
      </c>
      <c r="H1592" s="10">
        <v>0</v>
      </c>
      <c r="I1592" s="1">
        <v>120000</v>
      </c>
      <c r="J1592" s="1">
        <v>150</v>
      </c>
      <c r="K1592" s="1">
        <v>1500</v>
      </c>
      <c r="L1592" s="1">
        <v>32500</v>
      </c>
      <c r="M1592" s="1" t="s">
        <v>1965</v>
      </c>
      <c r="N1592" s="1" t="s">
        <v>1792</v>
      </c>
      <c r="O1592" s="1">
        <v>0</v>
      </c>
      <c r="P1592" s="1" t="s">
        <v>2082</v>
      </c>
      <c r="Q1592" s="7" t="s">
        <v>2496</v>
      </c>
    </row>
    <row r="1593" spans="1:17" ht="14.25" thickBot="1">
      <c r="A1593" s="1" t="s">
        <v>1706</v>
      </c>
      <c r="B1593" s="3">
        <v>1</v>
      </c>
      <c r="C1593" s="1" t="s">
        <v>2140</v>
      </c>
      <c r="D1593" s="1" t="str">
        <f t="shared" si="124"/>
        <v>鞋子</v>
      </c>
      <c r="E1593" s="1">
        <f>INDEX([1]游戏类型定义!$C$20:$C$29,MATCH(D1593,[1]!装备部位,0))</f>
        <v>8</v>
      </c>
      <c r="F1593" s="1">
        <v>5</v>
      </c>
      <c r="G1593" s="1">
        <f t="shared" si="125"/>
        <v>60</v>
      </c>
      <c r="H1593" s="10">
        <v>0</v>
      </c>
      <c r="I1593" s="1">
        <v>120000</v>
      </c>
      <c r="J1593" s="1">
        <v>150</v>
      </c>
      <c r="K1593" s="1">
        <v>1500</v>
      </c>
      <c r="L1593" s="1">
        <v>32500</v>
      </c>
      <c r="M1593" s="1" t="s">
        <v>1978</v>
      </c>
      <c r="N1593" s="1" t="s">
        <v>1792</v>
      </c>
      <c r="O1593" s="1">
        <v>0</v>
      </c>
      <c r="P1593" s="1" t="s">
        <v>2082</v>
      </c>
      <c r="Q1593" s="7" t="s">
        <v>2497</v>
      </c>
    </row>
    <row r="1594" spans="1:17" ht="14.25" thickBot="1">
      <c r="A1594" s="1" t="s">
        <v>1707</v>
      </c>
      <c r="B1594" s="3">
        <v>1</v>
      </c>
      <c r="C1594" s="1" t="s">
        <v>2138</v>
      </c>
      <c r="D1594" s="1" t="str">
        <f t="shared" si="124"/>
        <v>手套</v>
      </c>
      <c r="E1594" s="1">
        <f>INDEX([1]游戏类型定义!$C$20:$C$29,MATCH(D1594,[1]!装备部位,0))</f>
        <v>9</v>
      </c>
      <c r="F1594" s="1">
        <v>5</v>
      </c>
      <c r="G1594" s="1">
        <f t="shared" si="125"/>
        <v>60</v>
      </c>
      <c r="H1594" s="10">
        <v>0</v>
      </c>
      <c r="I1594" s="1">
        <v>120000</v>
      </c>
      <c r="J1594" s="1">
        <v>150</v>
      </c>
      <c r="K1594" s="1">
        <v>1500</v>
      </c>
      <c r="L1594" s="1">
        <v>32500</v>
      </c>
      <c r="M1594" s="1" t="s">
        <v>1979</v>
      </c>
      <c r="N1594" s="1" t="s">
        <v>1792</v>
      </c>
      <c r="O1594" s="1">
        <v>0</v>
      </c>
      <c r="P1594" s="1" t="s">
        <v>2082</v>
      </c>
      <c r="Q1594" s="7" t="s">
        <v>2498</v>
      </c>
    </row>
    <row r="1595" spans="1:17" ht="14.25" thickBot="1">
      <c r="A1595" s="1" t="s">
        <v>1708</v>
      </c>
      <c r="B1595" s="3">
        <v>1</v>
      </c>
      <c r="C1595" s="1" t="s">
        <v>2154</v>
      </c>
      <c r="D1595" s="1" t="str">
        <f t="shared" si="124"/>
        <v>项链</v>
      </c>
      <c r="E1595" s="1">
        <f>INDEX([1]游戏类型定义!$C$20:$C$29,MATCH(D1595,[1]!装备部位,0))</f>
        <v>10</v>
      </c>
      <c r="F1595" s="1">
        <v>5</v>
      </c>
      <c r="G1595" s="1">
        <f t="shared" si="125"/>
        <v>60</v>
      </c>
      <c r="H1595" s="10">
        <v>0</v>
      </c>
      <c r="I1595" s="1">
        <v>120000</v>
      </c>
      <c r="J1595" s="1">
        <v>150</v>
      </c>
      <c r="K1595" s="1">
        <v>1500</v>
      </c>
      <c r="L1595" s="1">
        <v>32500</v>
      </c>
      <c r="M1595" s="1" t="s">
        <v>1980</v>
      </c>
      <c r="N1595" s="1" t="s">
        <v>1792</v>
      </c>
      <c r="O1595" s="1">
        <v>0</v>
      </c>
      <c r="P1595" s="1" t="s">
        <v>2082</v>
      </c>
      <c r="Q1595" s="7" t="s">
        <v>2499</v>
      </c>
    </row>
    <row r="1596" spans="1:17" ht="14.25" thickBot="1">
      <c r="A1596" s="1" t="s">
        <v>1709</v>
      </c>
      <c r="B1596" s="3">
        <v>1</v>
      </c>
      <c r="C1596" s="9" t="s">
        <v>2297</v>
      </c>
      <c r="D1596" s="1" t="str">
        <f t="shared" ref="D1596:D1615" si="126">D1266</f>
        <v>主手武器</v>
      </c>
      <c r="E1596" s="1">
        <f>INDEX([1]游戏类型定义!$C$20:$C$29,MATCH(D1596,[1]!装备部位,0))</f>
        <v>5</v>
      </c>
      <c r="F1596" s="1">
        <v>5</v>
      </c>
      <c r="G1596" s="1">
        <f t="shared" ref="G1596:G1615" si="127">G1266</f>
        <v>60</v>
      </c>
      <c r="H1596" s="10" t="s">
        <v>2320</v>
      </c>
      <c r="I1596" s="1">
        <v>120000</v>
      </c>
      <c r="J1596" s="1">
        <v>150</v>
      </c>
      <c r="K1596" s="1">
        <v>1500</v>
      </c>
      <c r="L1596" s="1">
        <v>32500</v>
      </c>
      <c r="M1596" s="1" t="s">
        <v>1981</v>
      </c>
      <c r="N1596" s="1" t="s">
        <v>1793</v>
      </c>
      <c r="O1596" s="1">
        <v>0</v>
      </c>
      <c r="P1596" s="1" t="s">
        <v>2082</v>
      </c>
      <c r="Q1596" s="7" t="s">
        <v>2500</v>
      </c>
    </row>
    <row r="1597" spans="1:17" ht="14.25" thickBot="1">
      <c r="A1597" s="1" t="s">
        <v>1710</v>
      </c>
      <c r="B1597" s="3">
        <v>1</v>
      </c>
      <c r="C1597" s="9" t="s">
        <v>2286</v>
      </c>
      <c r="D1597" s="1" t="str">
        <f t="shared" si="126"/>
        <v>主手武器</v>
      </c>
      <c r="E1597" s="1">
        <f>INDEX([1]游戏类型定义!$C$20:$C$29,MATCH(D1597,[1]!装备部位,0))</f>
        <v>5</v>
      </c>
      <c r="F1597" s="1">
        <v>5</v>
      </c>
      <c r="G1597" s="1">
        <f t="shared" si="127"/>
        <v>60</v>
      </c>
      <c r="H1597" s="10" t="s">
        <v>2320</v>
      </c>
      <c r="I1597" s="1">
        <v>126000</v>
      </c>
      <c r="J1597" s="1">
        <v>150</v>
      </c>
      <c r="K1597" s="1">
        <v>1500</v>
      </c>
      <c r="L1597" s="1">
        <v>35000</v>
      </c>
      <c r="M1597" s="1" t="s">
        <v>1982</v>
      </c>
      <c r="N1597" s="1" t="s">
        <v>1793</v>
      </c>
      <c r="O1597" s="1">
        <v>0</v>
      </c>
      <c r="P1597" s="1" t="s">
        <v>2082</v>
      </c>
      <c r="Q1597" s="7" t="s">
        <v>2501</v>
      </c>
    </row>
    <row r="1598" spans="1:17" ht="14.25" thickBot="1">
      <c r="A1598" s="1" t="s">
        <v>1711</v>
      </c>
      <c r="B1598" s="3">
        <v>1</v>
      </c>
      <c r="C1598" s="9" t="s">
        <v>2288</v>
      </c>
      <c r="D1598" s="1" t="str">
        <f t="shared" si="126"/>
        <v>副手武器</v>
      </c>
      <c r="E1598" s="1">
        <f>INDEX([1]游戏类型定义!$C$20:$C$29,MATCH(D1598,[1]!装备部位,0))</f>
        <v>6</v>
      </c>
      <c r="F1598" s="1">
        <v>5</v>
      </c>
      <c r="G1598" s="1">
        <f t="shared" si="127"/>
        <v>60</v>
      </c>
      <c r="H1598" s="10" t="s">
        <v>2320</v>
      </c>
      <c r="I1598" s="1">
        <v>120000</v>
      </c>
      <c r="J1598" s="1">
        <v>150</v>
      </c>
      <c r="K1598" s="1">
        <v>1500</v>
      </c>
      <c r="L1598" s="1">
        <v>32500</v>
      </c>
      <c r="M1598" s="1" t="s">
        <v>1983</v>
      </c>
      <c r="N1598" s="1" t="s">
        <v>1793</v>
      </c>
      <c r="O1598" s="1">
        <v>0</v>
      </c>
      <c r="P1598" s="1" t="s">
        <v>2082</v>
      </c>
      <c r="Q1598" s="7" t="s">
        <v>2502</v>
      </c>
    </row>
    <row r="1599" spans="1:17" ht="14.25" thickBot="1">
      <c r="A1599" s="1" t="s">
        <v>1712</v>
      </c>
      <c r="B1599" s="2">
        <v>0</v>
      </c>
      <c r="C1599" s="9" t="s">
        <v>2044</v>
      </c>
      <c r="D1599" s="1" t="str">
        <f t="shared" si="126"/>
        <v>副手武器</v>
      </c>
      <c r="E1599" s="1">
        <f>INDEX([1]游戏类型定义!$C$20:$C$29,MATCH(D1599,[1]!装备部位,0))</f>
        <v>6</v>
      </c>
      <c r="F1599" s="1">
        <v>5</v>
      </c>
      <c r="G1599" s="1">
        <f t="shared" si="127"/>
        <v>60</v>
      </c>
      <c r="H1599" s="10" t="s">
        <v>2320</v>
      </c>
      <c r="I1599" s="1">
        <v>126000</v>
      </c>
      <c r="J1599" s="1">
        <v>150</v>
      </c>
      <c r="K1599" s="1">
        <v>1500</v>
      </c>
      <c r="L1599" s="1">
        <v>35000</v>
      </c>
      <c r="M1599" s="1" t="s">
        <v>1984</v>
      </c>
      <c r="N1599" s="1" t="s">
        <v>1793</v>
      </c>
      <c r="O1599" s="1">
        <v>0</v>
      </c>
      <c r="P1599" s="1" t="s">
        <v>2082</v>
      </c>
      <c r="Q1599" s="7" t="s">
        <v>2058</v>
      </c>
    </row>
    <row r="1600" spans="1:17" ht="14.25" thickBot="1">
      <c r="A1600" s="1" t="s">
        <v>1713</v>
      </c>
      <c r="B1600" s="3">
        <v>1</v>
      </c>
      <c r="C1600" s="1" t="s">
        <v>2289</v>
      </c>
      <c r="D1600" s="1" t="str">
        <f t="shared" si="126"/>
        <v>主手武器</v>
      </c>
      <c r="E1600" s="1">
        <f>INDEX([1]游戏类型定义!$C$20:$C$29,MATCH(D1600,[1]!装备部位,0))</f>
        <v>5</v>
      </c>
      <c r="F1600" s="1">
        <v>5</v>
      </c>
      <c r="G1600" s="1">
        <f t="shared" si="127"/>
        <v>60</v>
      </c>
      <c r="H1600" s="10" t="s">
        <v>2321</v>
      </c>
      <c r="I1600" s="1">
        <v>120000</v>
      </c>
      <c r="J1600" s="1">
        <v>150</v>
      </c>
      <c r="K1600" s="1">
        <v>1500</v>
      </c>
      <c r="L1600" s="1">
        <v>32500</v>
      </c>
      <c r="M1600" s="1" t="s">
        <v>1981</v>
      </c>
      <c r="N1600" s="1" t="s">
        <v>1793</v>
      </c>
      <c r="O1600" s="1">
        <v>0</v>
      </c>
      <c r="P1600" s="1" t="s">
        <v>2082</v>
      </c>
      <c r="Q1600" s="7" t="s">
        <v>2503</v>
      </c>
    </row>
    <row r="1601" spans="1:17" ht="14.25" thickBot="1">
      <c r="A1601" s="1" t="s">
        <v>1714</v>
      </c>
      <c r="B1601" s="2">
        <v>0</v>
      </c>
      <c r="C1601" s="1" t="s">
        <v>2040</v>
      </c>
      <c r="D1601" s="1" t="str">
        <f t="shared" si="126"/>
        <v>主手武器</v>
      </c>
      <c r="E1601" s="1">
        <f>INDEX([1]游戏类型定义!$C$20:$C$29,MATCH(D1601,[1]!装备部位,0))</f>
        <v>5</v>
      </c>
      <c r="F1601" s="1">
        <v>5</v>
      </c>
      <c r="G1601" s="1">
        <f t="shared" si="127"/>
        <v>60</v>
      </c>
      <c r="H1601" s="10" t="s">
        <v>2321</v>
      </c>
      <c r="I1601" s="1">
        <v>126000</v>
      </c>
      <c r="J1601" s="1">
        <v>150</v>
      </c>
      <c r="K1601" s="1">
        <v>1500</v>
      </c>
      <c r="L1601" s="1">
        <v>35000</v>
      </c>
      <c r="M1601" s="1" t="s">
        <v>1982</v>
      </c>
      <c r="N1601" s="1" t="s">
        <v>1793</v>
      </c>
      <c r="O1601" s="1">
        <v>0</v>
      </c>
      <c r="P1601" s="1" t="s">
        <v>2082</v>
      </c>
      <c r="Q1601" s="7" t="s">
        <v>2059</v>
      </c>
    </row>
    <row r="1602" spans="1:17" ht="14.25" thickBot="1">
      <c r="A1602" s="1" t="s">
        <v>1715</v>
      </c>
      <c r="B1602" s="3">
        <v>1</v>
      </c>
      <c r="C1602" s="9" t="s">
        <v>2292</v>
      </c>
      <c r="D1602" s="1" t="str">
        <f t="shared" si="126"/>
        <v>副手武器</v>
      </c>
      <c r="E1602" s="1">
        <f>INDEX([1]游戏类型定义!$C$20:$C$29,MATCH(D1602,[1]!装备部位,0))</f>
        <v>6</v>
      </c>
      <c r="F1602" s="1">
        <v>5</v>
      </c>
      <c r="G1602" s="1">
        <f t="shared" si="127"/>
        <v>60</v>
      </c>
      <c r="H1602" s="10" t="s">
        <v>2321</v>
      </c>
      <c r="I1602" s="1">
        <v>120000</v>
      </c>
      <c r="J1602" s="1">
        <v>150</v>
      </c>
      <c r="K1602" s="1">
        <v>1500</v>
      </c>
      <c r="L1602" s="1">
        <v>32500</v>
      </c>
      <c r="M1602" s="1" t="s">
        <v>1985</v>
      </c>
      <c r="N1602" s="1" t="s">
        <v>1793</v>
      </c>
      <c r="O1602" s="1">
        <v>0</v>
      </c>
      <c r="P1602" s="1" t="s">
        <v>2082</v>
      </c>
      <c r="Q1602" s="7" t="s">
        <v>2504</v>
      </c>
    </row>
    <row r="1603" spans="1:17" ht="14.25" thickBot="1">
      <c r="A1603" s="1" t="s">
        <v>1716</v>
      </c>
      <c r="B1603" s="2">
        <v>0</v>
      </c>
      <c r="C1603" s="9" t="s">
        <v>2042</v>
      </c>
      <c r="D1603" s="1" t="str">
        <f t="shared" si="126"/>
        <v>副手武器</v>
      </c>
      <c r="E1603" s="1">
        <f>INDEX([1]游戏类型定义!$C$20:$C$29,MATCH(D1603,[1]!装备部位,0))</f>
        <v>6</v>
      </c>
      <c r="F1603" s="1">
        <v>5</v>
      </c>
      <c r="G1603" s="1">
        <f t="shared" si="127"/>
        <v>60</v>
      </c>
      <c r="H1603" s="10" t="s">
        <v>2321</v>
      </c>
      <c r="I1603" s="1">
        <v>126000</v>
      </c>
      <c r="J1603" s="1">
        <v>150</v>
      </c>
      <c r="K1603" s="1">
        <v>1500</v>
      </c>
      <c r="L1603" s="1">
        <v>35000</v>
      </c>
      <c r="M1603" s="1" t="s">
        <v>1986</v>
      </c>
      <c r="N1603" s="1" t="s">
        <v>1793</v>
      </c>
      <c r="O1603" s="1">
        <v>0</v>
      </c>
      <c r="P1603" s="1" t="s">
        <v>2082</v>
      </c>
      <c r="Q1603" s="7" t="s">
        <v>2060</v>
      </c>
    </row>
    <row r="1604" spans="1:17" ht="14.25" thickBot="1">
      <c r="A1604" s="1" t="s">
        <v>1717</v>
      </c>
      <c r="B1604" s="3">
        <v>1</v>
      </c>
      <c r="C1604" s="9" t="s">
        <v>2291</v>
      </c>
      <c r="D1604" s="1" t="str">
        <f t="shared" si="126"/>
        <v>主手武器</v>
      </c>
      <c r="E1604" s="1">
        <f>INDEX([1]游戏类型定义!$C$20:$C$29,MATCH(D1604,[1]!装备部位,0))</f>
        <v>5</v>
      </c>
      <c r="F1604" s="1">
        <v>5</v>
      </c>
      <c r="G1604" s="1">
        <f t="shared" si="127"/>
        <v>60</v>
      </c>
      <c r="H1604" s="10" t="s">
        <v>2322</v>
      </c>
      <c r="I1604" s="1">
        <v>120000</v>
      </c>
      <c r="J1604" s="1">
        <v>150</v>
      </c>
      <c r="K1604" s="1">
        <v>1500</v>
      </c>
      <c r="L1604" s="1">
        <v>32500</v>
      </c>
      <c r="M1604" s="1" t="s">
        <v>1981</v>
      </c>
      <c r="N1604" s="1" t="s">
        <v>1793</v>
      </c>
      <c r="O1604" s="1">
        <v>0</v>
      </c>
      <c r="P1604" s="1" t="s">
        <v>2082</v>
      </c>
      <c r="Q1604" s="7" t="s">
        <v>2505</v>
      </c>
    </row>
    <row r="1605" spans="1:17" ht="14.25" thickBot="1">
      <c r="A1605" s="1" t="s">
        <v>1718</v>
      </c>
      <c r="B1605" s="2">
        <v>0</v>
      </c>
      <c r="C1605" s="9" t="s">
        <v>2295</v>
      </c>
      <c r="D1605" s="1" t="str">
        <f t="shared" si="126"/>
        <v>主手武器</v>
      </c>
      <c r="E1605" s="1">
        <f>INDEX([1]游戏类型定义!$C$20:$C$29,MATCH(D1605,[1]!装备部位,0))</f>
        <v>5</v>
      </c>
      <c r="F1605" s="1">
        <v>5</v>
      </c>
      <c r="G1605" s="1">
        <f t="shared" si="127"/>
        <v>60</v>
      </c>
      <c r="H1605" s="10" t="s">
        <v>2322</v>
      </c>
      <c r="I1605" s="1">
        <v>126000</v>
      </c>
      <c r="J1605" s="1">
        <v>150</v>
      </c>
      <c r="K1605" s="1">
        <v>1500</v>
      </c>
      <c r="L1605" s="1">
        <v>35000</v>
      </c>
      <c r="M1605" s="1" t="s">
        <v>1982</v>
      </c>
      <c r="N1605" s="1" t="s">
        <v>1793</v>
      </c>
      <c r="O1605" s="1">
        <v>0</v>
      </c>
      <c r="P1605" s="1" t="s">
        <v>2082</v>
      </c>
      <c r="Q1605" s="7" t="s">
        <v>2061</v>
      </c>
    </row>
    <row r="1606" spans="1:17" ht="14.25" thickBot="1">
      <c r="A1606" s="1" t="s">
        <v>1719</v>
      </c>
      <c r="B1606" s="3">
        <v>1</v>
      </c>
      <c r="C1606" s="9" t="s">
        <v>2296</v>
      </c>
      <c r="D1606" s="1" t="str">
        <f t="shared" si="126"/>
        <v>副手武器</v>
      </c>
      <c r="E1606" s="1">
        <f>INDEX([1]游戏类型定义!$C$20:$C$29,MATCH(D1606,[1]!装备部位,0))</f>
        <v>6</v>
      </c>
      <c r="F1606" s="1">
        <v>5</v>
      </c>
      <c r="G1606" s="1">
        <f t="shared" si="127"/>
        <v>60</v>
      </c>
      <c r="H1606" s="10" t="s">
        <v>2322</v>
      </c>
      <c r="I1606" s="1">
        <v>120000</v>
      </c>
      <c r="J1606" s="1">
        <v>150</v>
      </c>
      <c r="K1606" s="1">
        <v>1500</v>
      </c>
      <c r="L1606" s="1">
        <v>32500</v>
      </c>
      <c r="M1606" s="1" t="s">
        <v>1987</v>
      </c>
      <c r="N1606" s="1" t="s">
        <v>1793</v>
      </c>
      <c r="O1606" s="1">
        <v>0</v>
      </c>
      <c r="P1606" s="1" t="s">
        <v>2082</v>
      </c>
      <c r="Q1606" s="7" t="s">
        <v>2506</v>
      </c>
    </row>
    <row r="1607" spans="1:17" ht="14.25" thickBot="1">
      <c r="A1607" s="1" t="s">
        <v>1720</v>
      </c>
      <c r="B1607" s="2">
        <v>0</v>
      </c>
      <c r="C1607" s="9" t="s">
        <v>2050</v>
      </c>
      <c r="D1607" s="1" t="str">
        <f t="shared" si="126"/>
        <v>副手武器</v>
      </c>
      <c r="E1607" s="1">
        <f>INDEX([1]游戏类型定义!$C$20:$C$29,MATCH(D1607,[1]!装备部位,0))</f>
        <v>6</v>
      </c>
      <c r="F1607" s="1">
        <v>5</v>
      </c>
      <c r="G1607" s="1">
        <f t="shared" si="127"/>
        <v>60</v>
      </c>
      <c r="H1607" s="10" t="s">
        <v>2322</v>
      </c>
      <c r="I1607" s="1">
        <v>126000</v>
      </c>
      <c r="J1607" s="1">
        <v>150</v>
      </c>
      <c r="K1607" s="1">
        <v>1500</v>
      </c>
      <c r="L1607" s="1">
        <v>35000</v>
      </c>
      <c r="M1607" s="1" t="s">
        <v>1988</v>
      </c>
      <c r="N1607" s="1" t="s">
        <v>1793</v>
      </c>
      <c r="O1607" s="1">
        <v>0</v>
      </c>
      <c r="P1607" s="1" t="s">
        <v>2082</v>
      </c>
      <c r="Q1607" s="7" t="s">
        <v>2062</v>
      </c>
    </row>
    <row r="1608" spans="1:17" ht="14.25" thickBot="1">
      <c r="A1608" s="1" t="s">
        <v>1721</v>
      </c>
      <c r="B1608" s="3">
        <v>1</v>
      </c>
      <c r="C1608" s="1" t="s">
        <v>2171</v>
      </c>
      <c r="D1608" s="1" t="str">
        <f t="shared" si="126"/>
        <v>胸甲</v>
      </c>
      <c r="E1608" s="1">
        <f>INDEX([1]游戏类型定义!$C$20:$C$29,MATCH(D1608,[1]!装备部位,0))</f>
        <v>4</v>
      </c>
      <c r="F1608" s="1">
        <v>5</v>
      </c>
      <c r="G1608" s="1">
        <f t="shared" si="127"/>
        <v>60</v>
      </c>
      <c r="H1608" s="10">
        <v>0</v>
      </c>
      <c r="I1608" s="1">
        <v>120000</v>
      </c>
      <c r="J1608" s="1">
        <v>150</v>
      </c>
      <c r="K1608" s="1">
        <v>1500</v>
      </c>
      <c r="L1608" s="1">
        <v>32500</v>
      </c>
      <c r="M1608" s="1" t="s">
        <v>1989</v>
      </c>
      <c r="N1608" s="1" t="s">
        <v>1792</v>
      </c>
      <c r="O1608" s="1">
        <v>0</v>
      </c>
      <c r="P1608" s="1" t="s">
        <v>2082</v>
      </c>
      <c r="Q1608" s="7" t="s">
        <v>2507</v>
      </c>
    </row>
    <row r="1609" spans="1:17" ht="14.25" thickBot="1">
      <c r="A1609" s="1" t="s">
        <v>1722</v>
      </c>
      <c r="B1609" s="2">
        <v>0</v>
      </c>
      <c r="C1609" s="1" t="s">
        <v>2172</v>
      </c>
      <c r="D1609" s="1" t="str">
        <f t="shared" si="126"/>
        <v>胸甲</v>
      </c>
      <c r="E1609" s="1">
        <f>INDEX([1]游戏类型定义!$C$20:$C$29,MATCH(D1609,[1]!装备部位,0))</f>
        <v>4</v>
      </c>
      <c r="F1609" s="1">
        <v>5</v>
      </c>
      <c r="G1609" s="1">
        <f t="shared" si="127"/>
        <v>60</v>
      </c>
      <c r="H1609" s="10">
        <v>0</v>
      </c>
      <c r="I1609" s="1">
        <v>126000</v>
      </c>
      <c r="J1609" s="1">
        <v>150</v>
      </c>
      <c r="K1609" s="1">
        <v>1500</v>
      </c>
      <c r="L1609" s="1">
        <v>35000</v>
      </c>
      <c r="M1609" s="1" t="s">
        <v>1990</v>
      </c>
      <c r="N1609" s="1" t="s">
        <v>1792</v>
      </c>
      <c r="O1609" s="1">
        <v>0</v>
      </c>
      <c r="P1609" s="1" t="s">
        <v>2082</v>
      </c>
      <c r="Q1609" s="7" t="s">
        <v>2063</v>
      </c>
    </row>
    <row r="1610" spans="1:17" ht="14.25" thickBot="1">
      <c r="A1610" s="1" t="s">
        <v>1723</v>
      </c>
      <c r="B1610" s="3">
        <v>1</v>
      </c>
      <c r="C1610" s="1" t="s">
        <v>2191</v>
      </c>
      <c r="D1610" s="1" t="str">
        <f t="shared" si="126"/>
        <v>护腿</v>
      </c>
      <c r="E1610" s="1">
        <f>INDEX([1]游戏类型定义!$C$20:$C$29,MATCH(D1610,[1]!装备部位,0))</f>
        <v>7</v>
      </c>
      <c r="F1610" s="1">
        <v>5</v>
      </c>
      <c r="G1610" s="1">
        <f t="shared" si="127"/>
        <v>60</v>
      </c>
      <c r="H1610" s="10">
        <v>0</v>
      </c>
      <c r="I1610" s="1">
        <v>120000</v>
      </c>
      <c r="J1610" s="1">
        <v>150</v>
      </c>
      <c r="K1610" s="1">
        <v>1500</v>
      </c>
      <c r="L1610" s="1">
        <v>32500</v>
      </c>
      <c r="M1610" s="1" t="s">
        <v>1991</v>
      </c>
      <c r="N1610" s="1" t="s">
        <v>1792</v>
      </c>
      <c r="O1610" s="1">
        <v>0</v>
      </c>
      <c r="P1610" s="1" t="s">
        <v>2082</v>
      </c>
      <c r="Q1610" s="7" t="s">
        <v>2508</v>
      </c>
    </row>
    <row r="1611" spans="1:17" ht="14.25" thickBot="1">
      <c r="A1611" s="1" t="s">
        <v>1724</v>
      </c>
      <c r="B1611" s="3">
        <v>1</v>
      </c>
      <c r="C1611" s="1" t="s">
        <v>2190</v>
      </c>
      <c r="D1611" s="1" t="str">
        <f t="shared" si="126"/>
        <v>护腿</v>
      </c>
      <c r="E1611" s="1">
        <f>INDEX([1]游戏类型定义!$C$20:$C$29,MATCH(D1611,[1]!装备部位,0))</f>
        <v>7</v>
      </c>
      <c r="F1611" s="1">
        <v>5</v>
      </c>
      <c r="G1611" s="1">
        <f t="shared" si="127"/>
        <v>60</v>
      </c>
      <c r="H1611" s="10">
        <v>0</v>
      </c>
      <c r="I1611" s="1">
        <v>126000</v>
      </c>
      <c r="J1611" s="1">
        <v>150</v>
      </c>
      <c r="K1611" s="1">
        <v>1500</v>
      </c>
      <c r="L1611" s="1">
        <v>35000</v>
      </c>
      <c r="M1611" s="1" t="s">
        <v>1992</v>
      </c>
      <c r="N1611" s="1" t="s">
        <v>1792</v>
      </c>
      <c r="O1611" s="1">
        <v>0</v>
      </c>
      <c r="P1611" s="1" t="s">
        <v>2082</v>
      </c>
      <c r="Q1611" s="7" t="s">
        <v>2509</v>
      </c>
    </row>
    <row r="1612" spans="1:17" ht="14.25" thickBot="1">
      <c r="A1612" s="1" t="s">
        <v>1725</v>
      </c>
      <c r="B1612" s="3">
        <v>1</v>
      </c>
      <c r="C1612" s="1" t="s">
        <v>2107</v>
      </c>
      <c r="D1612" s="1" t="str">
        <f t="shared" si="126"/>
        <v>头盔</v>
      </c>
      <c r="E1612" s="1">
        <f>INDEX([1]游戏类型定义!$C$20:$C$29,MATCH(D1612,[1]!装备部位,0))</f>
        <v>1</v>
      </c>
      <c r="F1612" s="1">
        <v>5</v>
      </c>
      <c r="G1612" s="1">
        <f t="shared" si="127"/>
        <v>65</v>
      </c>
      <c r="H1612" s="10">
        <v>0</v>
      </c>
      <c r="I1612" s="1">
        <v>130000</v>
      </c>
      <c r="J1612" s="1">
        <v>150</v>
      </c>
      <c r="K1612" s="1">
        <v>1500</v>
      </c>
      <c r="L1612" s="1">
        <v>35000</v>
      </c>
      <c r="M1612" s="1" t="s">
        <v>1993</v>
      </c>
      <c r="N1612" s="1" t="s">
        <v>1794</v>
      </c>
      <c r="O1612" s="1">
        <v>0</v>
      </c>
      <c r="P1612" s="1" t="s">
        <v>2083</v>
      </c>
      <c r="Q1612" s="7" t="s">
        <v>2510</v>
      </c>
    </row>
    <row r="1613" spans="1:17" ht="14.25" thickBot="1">
      <c r="A1613" s="1" t="s">
        <v>1726</v>
      </c>
      <c r="B1613" s="3">
        <v>1</v>
      </c>
      <c r="C1613" s="1" t="s">
        <v>2118</v>
      </c>
      <c r="D1613" s="1" t="str">
        <f t="shared" si="126"/>
        <v>戒指</v>
      </c>
      <c r="E1613" s="1">
        <f>INDEX([1]游戏类型定义!$C$20:$C$29,MATCH(D1613,[1]!装备部位,0))</f>
        <v>2</v>
      </c>
      <c r="F1613" s="1">
        <v>5</v>
      </c>
      <c r="G1613" s="1">
        <f t="shared" si="127"/>
        <v>65</v>
      </c>
      <c r="H1613" s="10">
        <v>0</v>
      </c>
      <c r="I1613" s="1">
        <v>130000</v>
      </c>
      <c r="J1613" s="1">
        <v>150</v>
      </c>
      <c r="K1613" s="1">
        <v>1500</v>
      </c>
      <c r="L1613" s="1">
        <v>35000</v>
      </c>
      <c r="M1613" s="1" t="s">
        <v>1994</v>
      </c>
      <c r="N1613" s="1" t="s">
        <v>1794</v>
      </c>
      <c r="O1613" s="1">
        <v>0</v>
      </c>
      <c r="P1613" s="1" t="s">
        <v>2083</v>
      </c>
      <c r="Q1613" s="7" t="s">
        <v>2511</v>
      </c>
    </row>
    <row r="1614" spans="1:17" ht="14.25" thickBot="1">
      <c r="A1614" s="1" t="s">
        <v>1727</v>
      </c>
      <c r="B1614" s="3">
        <v>1</v>
      </c>
      <c r="C1614" s="1" t="s">
        <v>2097</v>
      </c>
      <c r="D1614" s="1" t="str">
        <f t="shared" si="126"/>
        <v>腰带</v>
      </c>
      <c r="E1614" s="1">
        <f>INDEX([1]游戏类型定义!$C$20:$C$29,MATCH(D1614,[1]!装备部位,0))</f>
        <v>3</v>
      </c>
      <c r="F1614" s="1">
        <v>5</v>
      </c>
      <c r="G1614" s="1">
        <f t="shared" si="127"/>
        <v>65</v>
      </c>
      <c r="H1614" s="10">
        <v>0</v>
      </c>
      <c r="I1614" s="1">
        <v>130000</v>
      </c>
      <c r="J1614" s="1">
        <v>150</v>
      </c>
      <c r="K1614" s="1">
        <v>1500</v>
      </c>
      <c r="L1614" s="1">
        <v>35000</v>
      </c>
      <c r="M1614" s="1" t="s">
        <v>1995</v>
      </c>
      <c r="N1614" s="1" t="s">
        <v>1794</v>
      </c>
      <c r="O1614" s="1">
        <v>0</v>
      </c>
      <c r="P1614" s="1" t="s">
        <v>2083</v>
      </c>
      <c r="Q1614" s="7" t="s">
        <v>2512</v>
      </c>
    </row>
    <row r="1615" spans="1:17" ht="14.25" thickBot="1">
      <c r="A1615" s="1" t="s">
        <v>1728</v>
      </c>
      <c r="B1615" s="3">
        <v>1</v>
      </c>
      <c r="C1615" s="1" t="s">
        <v>2139</v>
      </c>
      <c r="D1615" s="1" t="str">
        <f t="shared" si="126"/>
        <v>鞋子</v>
      </c>
      <c r="E1615" s="1">
        <f>INDEX([1]游戏类型定义!$C$20:$C$29,MATCH(D1615,[1]!装备部位,0))</f>
        <v>8</v>
      </c>
      <c r="F1615" s="1">
        <v>5</v>
      </c>
      <c r="G1615" s="1">
        <f t="shared" si="127"/>
        <v>65</v>
      </c>
      <c r="H1615" s="10">
        <v>0</v>
      </c>
      <c r="I1615" s="1">
        <v>130000</v>
      </c>
      <c r="J1615" s="1">
        <v>150</v>
      </c>
      <c r="K1615" s="1">
        <v>1500</v>
      </c>
      <c r="L1615" s="1">
        <v>35000</v>
      </c>
      <c r="M1615" s="1" t="s">
        <v>1996</v>
      </c>
      <c r="N1615" s="1" t="s">
        <v>1794</v>
      </c>
      <c r="O1615" s="1">
        <v>0</v>
      </c>
      <c r="P1615" s="1" t="s">
        <v>2083</v>
      </c>
      <c r="Q1615" s="7" t="s">
        <v>2513</v>
      </c>
    </row>
    <row r="1616" spans="1:17" ht="14.25" thickBot="1">
      <c r="A1616" s="1" t="s">
        <v>1729</v>
      </c>
      <c r="B1616" s="3">
        <v>1</v>
      </c>
      <c r="C1616" s="1" t="s">
        <v>2144</v>
      </c>
      <c r="D1616" s="1" t="str">
        <f t="shared" ref="D1616:D1635" si="128">D1286</f>
        <v>手套</v>
      </c>
      <c r="E1616" s="1">
        <f>INDEX([1]游戏类型定义!$C$20:$C$29,MATCH(D1616,[1]!装备部位,0))</f>
        <v>9</v>
      </c>
      <c r="F1616" s="1">
        <v>5</v>
      </c>
      <c r="G1616" s="1">
        <f t="shared" ref="G1616:G1635" si="129">G1286</f>
        <v>65</v>
      </c>
      <c r="H1616" s="10">
        <v>0</v>
      </c>
      <c r="I1616" s="1">
        <v>130000</v>
      </c>
      <c r="J1616" s="1">
        <v>150</v>
      </c>
      <c r="K1616" s="1">
        <v>1500</v>
      </c>
      <c r="L1616" s="1">
        <v>35000</v>
      </c>
      <c r="M1616" s="1" t="s">
        <v>1997</v>
      </c>
      <c r="N1616" s="1" t="s">
        <v>1794</v>
      </c>
      <c r="O1616" s="1">
        <v>0</v>
      </c>
      <c r="P1616" s="1" t="s">
        <v>2083</v>
      </c>
      <c r="Q1616" s="7" t="s">
        <v>2514</v>
      </c>
    </row>
    <row r="1617" spans="1:17" ht="14.25" thickBot="1">
      <c r="A1617" s="1" t="s">
        <v>1730</v>
      </c>
      <c r="B1617" s="3">
        <v>1</v>
      </c>
      <c r="C1617" s="1" t="s">
        <v>2155</v>
      </c>
      <c r="D1617" s="1" t="str">
        <f t="shared" si="128"/>
        <v>项链</v>
      </c>
      <c r="E1617" s="1">
        <f>INDEX([1]游戏类型定义!$C$20:$C$29,MATCH(D1617,[1]!装备部位,0))</f>
        <v>10</v>
      </c>
      <c r="F1617" s="1">
        <v>5</v>
      </c>
      <c r="G1617" s="1">
        <f t="shared" si="129"/>
        <v>65</v>
      </c>
      <c r="H1617" s="10">
        <v>0</v>
      </c>
      <c r="I1617" s="1">
        <v>130000</v>
      </c>
      <c r="J1617" s="1">
        <v>150</v>
      </c>
      <c r="K1617" s="1">
        <v>1500</v>
      </c>
      <c r="L1617" s="1">
        <v>35000</v>
      </c>
      <c r="M1617" s="1" t="s">
        <v>1998</v>
      </c>
      <c r="N1617" s="1" t="s">
        <v>1794</v>
      </c>
      <c r="O1617" s="1">
        <v>0</v>
      </c>
      <c r="P1617" s="1" t="s">
        <v>2083</v>
      </c>
      <c r="Q1617" s="7" t="s">
        <v>2515</v>
      </c>
    </row>
    <row r="1618" spans="1:17" ht="14.25" thickBot="1">
      <c r="A1618" s="1" t="s">
        <v>1731</v>
      </c>
      <c r="B1618" s="3">
        <v>1</v>
      </c>
      <c r="C1618" s="9" t="s">
        <v>2287</v>
      </c>
      <c r="D1618" s="1" t="str">
        <f t="shared" si="128"/>
        <v>主手武器</v>
      </c>
      <c r="E1618" s="1">
        <f>INDEX([1]游戏类型定义!$C$20:$C$29,MATCH(D1618,[1]!装备部位,0))</f>
        <v>5</v>
      </c>
      <c r="F1618" s="1">
        <v>5</v>
      </c>
      <c r="G1618" s="1">
        <f t="shared" si="129"/>
        <v>65</v>
      </c>
      <c r="H1618" s="10" t="s">
        <v>2320</v>
      </c>
      <c r="I1618" s="1">
        <v>130000</v>
      </c>
      <c r="J1618" s="1">
        <v>150</v>
      </c>
      <c r="K1618" s="1">
        <v>1500</v>
      </c>
      <c r="L1618" s="1">
        <v>35000</v>
      </c>
      <c r="M1618" s="1" t="s">
        <v>2028</v>
      </c>
      <c r="N1618" s="1" t="s">
        <v>1795</v>
      </c>
      <c r="O1618" s="1">
        <v>0</v>
      </c>
      <c r="P1618" s="1" t="s">
        <v>2083</v>
      </c>
      <c r="Q1618" s="7" t="s">
        <v>2516</v>
      </c>
    </row>
    <row r="1619" spans="1:17" ht="14.25" thickBot="1">
      <c r="A1619" s="1" t="s">
        <v>1732</v>
      </c>
      <c r="B1619" s="2">
        <v>0</v>
      </c>
      <c r="C1619" s="9" t="s">
        <v>2298</v>
      </c>
      <c r="D1619" s="1" t="str">
        <f t="shared" si="128"/>
        <v>主手武器</v>
      </c>
      <c r="E1619" s="1">
        <f>INDEX([1]游戏类型定义!$C$20:$C$29,MATCH(D1619,[1]!装备部位,0))</f>
        <v>5</v>
      </c>
      <c r="F1619" s="1">
        <v>5</v>
      </c>
      <c r="G1619" s="1">
        <f t="shared" si="129"/>
        <v>65</v>
      </c>
      <c r="H1619" s="10" t="s">
        <v>2320</v>
      </c>
      <c r="I1619" s="1">
        <v>136000</v>
      </c>
      <c r="J1619" s="1">
        <v>150</v>
      </c>
      <c r="K1619" s="1">
        <v>1500</v>
      </c>
      <c r="L1619" s="1">
        <v>37500</v>
      </c>
      <c r="M1619" s="1" t="s">
        <v>1999</v>
      </c>
      <c r="N1619" s="1" t="s">
        <v>1795</v>
      </c>
      <c r="O1619" s="1">
        <v>0</v>
      </c>
      <c r="P1619" s="1" t="s">
        <v>2083</v>
      </c>
      <c r="Q1619" s="7" t="s">
        <v>2057</v>
      </c>
    </row>
    <row r="1620" spans="1:17" ht="14.25" thickBot="1">
      <c r="A1620" s="1" t="s">
        <v>1733</v>
      </c>
      <c r="B1620" s="3">
        <v>1</v>
      </c>
      <c r="C1620" s="9" t="s">
        <v>2299</v>
      </c>
      <c r="D1620" s="1" t="str">
        <f t="shared" si="128"/>
        <v>副手武器</v>
      </c>
      <c r="E1620" s="1">
        <f>INDEX([1]游戏类型定义!$C$20:$C$29,MATCH(D1620,[1]!装备部位,0))</f>
        <v>6</v>
      </c>
      <c r="F1620" s="1">
        <v>5</v>
      </c>
      <c r="G1620" s="1">
        <f t="shared" si="129"/>
        <v>65</v>
      </c>
      <c r="H1620" s="10" t="s">
        <v>2320</v>
      </c>
      <c r="I1620" s="1">
        <v>130000</v>
      </c>
      <c r="J1620" s="1">
        <v>150</v>
      </c>
      <c r="K1620" s="1">
        <v>1500</v>
      </c>
      <c r="L1620" s="1">
        <v>35000</v>
      </c>
      <c r="M1620" s="1" t="s">
        <v>2000</v>
      </c>
      <c r="N1620" s="1" t="s">
        <v>1795</v>
      </c>
      <c r="O1620" s="1">
        <v>0</v>
      </c>
      <c r="P1620" s="1" t="s">
        <v>2083</v>
      </c>
      <c r="Q1620" s="7" t="s">
        <v>2517</v>
      </c>
    </row>
    <row r="1621" spans="1:17" ht="14.25" thickBot="1">
      <c r="A1621" s="1" t="s">
        <v>1734</v>
      </c>
      <c r="B1621" s="2">
        <v>0</v>
      </c>
      <c r="C1621" s="9" t="s">
        <v>2044</v>
      </c>
      <c r="D1621" s="1" t="str">
        <f t="shared" si="128"/>
        <v>副手武器</v>
      </c>
      <c r="E1621" s="1">
        <f>INDEX([1]游戏类型定义!$C$20:$C$29,MATCH(D1621,[1]!装备部位,0))</f>
        <v>6</v>
      </c>
      <c r="F1621" s="1">
        <v>5</v>
      </c>
      <c r="G1621" s="1">
        <f t="shared" si="129"/>
        <v>65</v>
      </c>
      <c r="H1621" s="10" t="s">
        <v>2320</v>
      </c>
      <c r="I1621" s="1">
        <v>136000</v>
      </c>
      <c r="J1621" s="1">
        <v>150</v>
      </c>
      <c r="K1621" s="1">
        <v>1500</v>
      </c>
      <c r="L1621" s="1">
        <v>37500</v>
      </c>
      <c r="M1621" s="1" t="s">
        <v>2000</v>
      </c>
      <c r="N1621" s="1" t="s">
        <v>1795</v>
      </c>
      <c r="O1621" s="1">
        <v>0</v>
      </c>
      <c r="P1621" s="1" t="s">
        <v>2083</v>
      </c>
      <c r="Q1621" s="7" t="s">
        <v>2058</v>
      </c>
    </row>
    <row r="1622" spans="1:17" ht="14.25" thickBot="1">
      <c r="A1622" s="1" t="s">
        <v>1735</v>
      </c>
      <c r="B1622" s="3">
        <v>1</v>
      </c>
      <c r="C1622" s="1" t="s">
        <v>2306</v>
      </c>
      <c r="D1622" s="1" t="str">
        <f t="shared" si="128"/>
        <v>主手武器</v>
      </c>
      <c r="E1622" s="1">
        <f>INDEX([1]游戏类型定义!$C$20:$C$29,MATCH(D1622,[1]!装备部位,0))</f>
        <v>5</v>
      </c>
      <c r="F1622" s="1">
        <v>5</v>
      </c>
      <c r="G1622" s="1">
        <f t="shared" si="129"/>
        <v>65</v>
      </c>
      <c r="H1622" s="10" t="s">
        <v>2321</v>
      </c>
      <c r="I1622" s="1">
        <v>130000</v>
      </c>
      <c r="J1622" s="1">
        <v>150</v>
      </c>
      <c r="K1622" s="1">
        <v>1500</v>
      </c>
      <c r="L1622" s="1">
        <v>35000</v>
      </c>
      <c r="M1622" s="1" t="s">
        <v>2028</v>
      </c>
      <c r="N1622" s="1" t="s">
        <v>1795</v>
      </c>
      <c r="O1622" s="1">
        <v>0</v>
      </c>
      <c r="P1622" s="1" t="s">
        <v>2083</v>
      </c>
      <c r="Q1622" s="7" t="s">
        <v>2518</v>
      </c>
    </row>
    <row r="1623" spans="1:17" ht="14.25" thickBot="1">
      <c r="A1623" s="1" t="s">
        <v>1736</v>
      </c>
      <c r="B1623" s="2">
        <v>0</v>
      </c>
      <c r="C1623" s="1" t="s">
        <v>2303</v>
      </c>
      <c r="D1623" s="1" t="str">
        <f t="shared" si="128"/>
        <v>主手武器</v>
      </c>
      <c r="E1623" s="1">
        <f>INDEX([1]游戏类型定义!$C$20:$C$29,MATCH(D1623,[1]!装备部位,0))</f>
        <v>5</v>
      </c>
      <c r="F1623" s="1">
        <v>5</v>
      </c>
      <c r="G1623" s="1">
        <f t="shared" si="129"/>
        <v>65</v>
      </c>
      <c r="H1623" s="10" t="s">
        <v>2321</v>
      </c>
      <c r="I1623" s="1">
        <v>136000</v>
      </c>
      <c r="J1623" s="1">
        <v>150</v>
      </c>
      <c r="K1623" s="1">
        <v>1500</v>
      </c>
      <c r="L1623" s="1">
        <v>37500</v>
      </c>
      <c r="M1623" s="1" t="s">
        <v>1999</v>
      </c>
      <c r="N1623" s="1" t="s">
        <v>1795</v>
      </c>
      <c r="O1623" s="1">
        <v>0</v>
      </c>
      <c r="P1623" s="1" t="s">
        <v>2083</v>
      </c>
      <c r="Q1623" s="7" t="s">
        <v>2059</v>
      </c>
    </row>
    <row r="1624" spans="1:17" ht="14.25" thickBot="1">
      <c r="A1624" s="1" t="s">
        <v>1737</v>
      </c>
      <c r="B1624" s="3">
        <v>1</v>
      </c>
      <c r="C1624" s="9" t="s">
        <v>2307</v>
      </c>
      <c r="D1624" s="1" t="str">
        <f t="shared" si="128"/>
        <v>副手武器</v>
      </c>
      <c r="E1624" s="1">
        <f>INDEX([1]游戏类型定义!$C$20:$C$29,MATCH(D1624,[1]!装备部位,0))</f>
        <v>6</v>
      </c>
      <c r="F1624" s="1">
        <v>5</v>
      </c>
      <c r="G1624" s="1">
        <f t="shared" si="129"/>
        <v>65</v>
      </c>
      <c r="H1624" s="10" t="s">
        <v>2321</v>
      </c>
      <c r="I1624" s="1">
        <v>130000</v>
      </c>
      <c r="J1624" s="1">
        <v>150</v>
      </c>
      <c r="K1624" s="1">
        <v>1500</v>
      </c>
      <c r="L1624" s="1">
        <v>35000</v>
      </c>
      <c r="M1624" s="1" t="s">
        <v>2001</v>
      </c>
      <c r="N1624" s="1" t="s">
        <v>1795</v>
      </c>
      <c r="O1624" s="1">
        <v>0</v>
      </c>
      <c r="P1624" s="1" t="s">
        <v>2083</v>
      </c>
      <c r="Q1624" s="7" t="s">
        <v>2519</v>
      </c>
    </row>
    <row r="1625" spans="1:17" ht="14.25" thickBot="1">
      <c r="A1625" s="1" t="s">
        <v>1738</v>
      </c>
      <c r="B1625" s="2">
        <v>0</v>
      </c>
      <c r="C1625" s="9" t="s">
        <v>2042</v>
      </c>
      <c r="D1625" s="1" t="str">
        <f t="shared" si="128"/>
        <v>副手武器</v>
      </c>
      <c r="E1625" s="1">
        <f>INDEX([1]游戏类型定义!$C$20:$C$29,MATCH(D1625,[1]!装备部位,0))</f>
        <v>6</v>
      </c>
      <c r="F1625" s="1">
        <v>5</v>
      </c>
      <c r="G1625" s="1">
        <f t="shared" si="129"/>
        <v>65</v>
      </c>
      <c r="H1625" s="10" t="s">
        <v>2321</v>
      </c>
      <c r="I1625" s="1">
        <v>136000</v>
      </c>
      <c r="J1625" s="1">
        <v>150</v>
      </c>
      <c r="K1625" s="1">
        <v>1500</v>
      </c>
      <c r="L1625" s="1">
        <v>37500</v>
      </c>
      <c r="M1625" s="1" t="s">
        <v>2001</v>
      </c>
      <c r="N1625" s="1" t="s">
        <v>1795</v>
      </c>
      <c r="O1625" s="1">
        <v>0</v>
      </c>
      <c r="P1625" s="1" t="s">
        <v>2083</v>
      </c>
      <c r="Q1625" s="7" t="s">
        <v>2060</v>
      </c>
    </row>
    <row r="1626" spans="1:17" ht="14.25" thickBot="1">
      <c r="A1626" s="1" t="s">
        <v>1739</v>
      </c>
      <c r="B1626" s="3">
        <v>1</v>
      </c>
      <c r="C1626" s="9" t="s">
        <v>2294</v>
      </c>
      <c r="D1626" s="1" t="str">
        <f t="shared" si="128"/>
        <v>主手武器</v>
      </c>
      <c r="E1626" s="1">
        <f>INDEX([1]游戏类型定义!$C$20:$C$29,MATCH(D1626,[1]!装备部位,0))</f>
        <v>5</v>
      </c>
      <c r="F1626" s="1">
        <v>5</v>
      </c>
      <c r="G1626" s="1">
        <f t="shared" si="129"/>
        <v>65</v>
      </c>
      <c r="H1626" s="10" t="s">
        <v>2322</v>
      </c>
      <c r="I1626" s="1">
        <v>130000</v>
      </c>
      <c r="J1626" s="1">
        <v>150</v>
      </c>
      <c r="K1626" s="1">
        <v>1500</v>
      </c>
      <c r="L1626" s="1">
        <v>35000</v>
      </c>
      <c r="M1626" s="1" t="s">
        <v>2028</v>
      </c>
      <c r="N1626" s="1" t="s">
        <v>1795</v>
      </c>
      <c r="O1626" s="1">
        <v>0</v>
      </c>
      <c r="P1626" s="1" t="s">
        <v>2083</v>
      </c>
      <c r="Q1626" s="7" t="s">
        <v>2520</v>
      </c>
    </row>
    <row r="1627" spans="1:17" ht="14.25" thickBot="1">
      <c r="A1627" s="1" t="s">
        <v>1740</v>
      </c>
      <c r="B1627" s="2">
        <v>0</v>
      </c>
      <c r="C1627" s="9" t="s">
        <v>2048</v>
      </c>
      <c r="D1627" s="1" t="str">
        <f t="shared" si="128"/>
        <v>主手武器</v>
      </c>
      <c r="E1627" s="1">
        <f>INDEX([1]游戏类型定义!$C$20:$C$29,MATCH(D1627,[1]!装备部位,0))</f>
        <v>5</v>
      </c>
      <c r="F1627" s="1">
        <v>5</v>
      </c>
      <c r="G1627" s="1">
        <f t="shared" si="129"/>
        <v>65</v>
      </c>
      <c r="H1627" s="10" t="s">
        <v>2322</v>
      </c>
      <c r="I1627" s="1">
        <v>136000</v>
      </c>
      <c r="J1627" s="1">
        <v>150</v>
      </c>
      <c r="K1627" s="1">
        <v>1500</v>
      </c>
      <c r="L1627" s="1">
        <v>37500</v>
      </c>
      <c r="M1627" s="1" t="s">
        <v>1999</v>
      </c>
      <c r="N1627" s="1" t="s">
        <v>1795</v>
      </c>
      <c r="O1627" s="1">
        <v>0</v>
      </c>
      <c r="P1627" s="1" t="s">
        <v>2083</v>
      </c>
      <c r="Q1627" s="7" t="s">
        <v>2061</v>
      </c>
    </row>
    <row r="1628" spans="1:17" ht="14.25" thickBot="1">
      <c r="A1628" s="1" t="s">
        <v>1741</v>
      </c>
      <c r="B1628" s="3">
        <v>1</v>
      </c>
      <c r="C1628" s="9" t="s">
        <v>2284</v>
      </c>
      <c r="D1628" s="1" t="str">
        <f t="shared" si="128"/>
        <v>副手武器</v>
      </c>
      <c r="E1628" s="1">
        <f>INDEX([1]游戏类型定义!$C$20:$C$29,MATCH(D1628,[1]!装备部位,0))</f>
        <v>6</v>
      </c>
      <c r="F1628" s="1">
        <v>5</v>
      </c>
      <c r="G1628" s="1">
        <f t="shared" si="129"/>
        <v>65</v>
      </c>
      <c r="H1628" s="10" t="s">
        <v>2322</v>
      </c>
      <c r="I1628" s="1">
        <v>130000</v>
      </c>
      <c r="J1628" s="1">
        <v>150</v>
      </c>
      <c r="K1628" s="1">
        <v>1500</v>
      </c>
      <c r="L1628" s="1">
        <v>35000</v>
      </c>
      <c r="M1628" s="1" t="s">
        <v>2002</v>
      </c>
      <c r="N1628" s="1" t="s">
        <v>1795</v>
      </c>
      <c r="O1628" s="1">
        <v>0</v>
      </c>
      <c r="P1628" s="1" t="s">
        <v>2083</v>
      </c>
      <c r="Q1628" s="7" t="s">
        <v>2521</v>
      </c>
    </row>
    <row r="1629" spans="1:17" ht="14.25" thickBot="1">
      <c r="A1629" s="1" t="s">
        <v>1742</v>
      </c>
      <c r="B1629" s="2">
        <v>0</v>
      </c>
      <c r="C1629" s="9" t="s">
        <v>2050</v>
      </c>
      <c r="D1629" s="1" t="str">
        <f t="shared" si="128"/>
        <v>副手武器</v>
      </c>
      <c r="E1629" s="1">
        <f>INDEX([1]游戏类型定义!$C$20:$C$29,MATCH(D1629,[1]!装备部位,0))</f>
        <v>6</v>
      </c>
      <c r="F1629" s="1">
        <v>5</v>
      </c>
      <c r="G1629" s="1">
        <f t="shared" si="129"/>
        <v>65</v>
      </c>
      <c r="H1629" s="10" t="s">
        <v>2322</v>
      </c>
      <c r="I1629" s="1">
        <v>136000</v>
      </c>
      <c r="J1629" s="1">
        <v>150</v>
      </c>
      <c r="K1629" s="1">
        <v>1500</v>
      </c>
      <c r="L1629" s="1">
        <v>37500</v>
      </c>
      <c r="M1629" s="1" t="s">
        <v>2003</v>
      </c>
      <c r="N1629" s="1" t="s">
        <v>1795</v>
      </c>
      <c r="O1629" s="1">
        <v>0</v>
      </c>
      <c r="P1629" s="1" t="s">
        <v>2083</v>
      </c>
      <c r="Q1629" s="7" t="s">
        <v>2062</v>
      </c>
    </row>
    <row r="1630" spans="1:17" ht="14.25" thickBot="1">
      <c r="A1630" s="1" t="s">
        <v>1743</v>
      </c>
      <c r="B1630" s="3">
        <v>1</v>
      </c>
      <c r="C1630" s="1" t="s">
        <v>2175</v>
      </c>
      <c r="D1630" s="1" t="str">
        <f t="shared" si="128"/>
        <v>胸甲</v>
      </c>
      <c r="E1630" s="1">
        <f>INDEX([1]游戏类型定义!$C$20:$C$29,MATCH(D1630,[1]!装备部位,0))</f>
        <v>4</v>
      </c>
      <c r="F1630" s="1">
        <v>5</v>
      </c>
      <c r="G1630" s="1">
        <f t="shared" si="129"/>
        <v>65</v>
      </c>
      <c r="H1630" s="10">
        <v>0</v>
      </c>
      <c r="I1630" s="1">
        <v>130000</v>
      </c>
      <c r="J1630" s="1">
        <v>150</v>
      </c>
      <c r="K1630" s="1">
        <v>1500</v>
      </c>
      <c r="L1630" s="1">
        <v>35000</v>
      </c>
      <c r="M1630" s="1" t="s">
        <v>2004</v>
      </c>
      <c r="N1630" s="1" t="s">
        <v>1794</v>
      </c>
      <c r="O1630" s="1">
        <v>0</v>
      </c>
      <c r="P1630" s="1" t="s">
        <v>2083</v>
      </c>
      <c r="Q1630" s="7" t="s">
        <v>2522</v>
      </c>
    </row>
    <row r="1631" spans="1:17" ht="14.25" thickBot="1">
      <c r="A1631" s="1" t="s">
        <v>1744</v>
      </c>
      <c r="B1631" s="2">
        <v>0</v>
      </c>
      <c r="C1631" s="1" t="s">
        <v>2030</v>
      </c>
      <c r="D1631" s="1" t="str">
        <f t="shared" si="128"/>
        <v>胸甲</v>
      </c>
      <c r="E1631" s="1">
        <f>INDEX([1]游戏类型定义!$C$20:$C$29,MATCH(D1631,[1]!装备部位,0))</f>
        <v>4</v>
      </c>
      <c r="F1631" s="1">
        <v>5</v>
      </c>
      <c r="G1631" s="1">
        <f t="shared" si="129"/>
        <v>65</v>
      </c>
      <c r="H1631" s="10">
        <v>0</v>
      </c>
      <c r="I1631" s="1">
        <v>136000</v>
      </c>
      <c r="J1631" s="1">
        <v>150</v>
      </c>
      <c r="K1631" s="1">
        <v>1500</v>
      </c>
      <c r="L1631" s="1">
        <v>37500</v>
      </c>
      <c r="M1631" s="1" t="s">
        <v>2004</v>
      </c>
      <c r="N1631" s="1" t="s">
        <v>1794</v>
      </c>
      <c r="O1631" s="1">
        <v>0</v>
      </c>
      <c r="P1631" s="1" t="s">
        <v>2083</v>
      </c>
      <c r="Q1631" s="7" t="s">
        <v>2063</v>
      </c>
    </row>
    <row r="1632" spans="1:17" ht="14.25" thickBot="1">
      <c r="A1632" s="1" t="s">
        <v>1745</v>
      </c>
      <c r="B1632" s="3">
        <v>1</v>
      </c>
      <c r="C1632" s="1" t="s">
        <v>2192</v>
      </c>
      <c r="D1632" s="1" t="str">
        <f t="shared" si="128"/>
        <v>护腿</v>
      </c>
      <c r="E1632" s="1">
        <f>INDEX([1]游戏类型定义!$C$20:$C$29,MATCH(D1632,[1]!装备部位,0))</f>
        <v>7</v>
      </c>
      <c r="F1632" s="1">
        <v>5</v>
      </c>
      <c r="G1632" s="1">
        <f t="shared" si="129"/>
        <v>65</v>
      </c>
      <c r="H1632" s="10">
        <v>0</v>
      </c>
      <c r="I1632" s="1">
        <v>130000</v>
      </c>
      <c r="J1632" s="1">
        <v>150</v>
      </c>
      <c r="K1632" s="1">
        <v>1500</v>
      </c>
      <c r="L1632" s="1">
        <v>35000</v>
      </c>
      <c r="M1632" s="1" t="s">
        <v>2005</v>
      </c>
      <c r="N1632" s="1" t="s">
        <v>1794</v>
      </c>
      <c r="O1632" s="1">
        <v>0</v>
      </c>
      <c r="P1632" s="1" t="s">
        <v>2083</v>
      </c>
      <c r="Q1632" s="7" t="s">
        <v>2523</v>
      </c>
    </row>
    <row r="1633" spans="1:17" ht="14.25" thickBot="1">
      <c r="A1633" s="1" t="s">
        <v>1746</v>
      </c>
      <c r="B1633" s="2">
        <v>0</v>
      </c>
      <c r="C1633" s="1" t="s">
        <v>2038</v>
      </c>
      <c r="D1633" s="1" t="str">
        <f t="shared" si="128"/>
        <v>护腿</v>
      </c>
      <c r="E1633" s="1">
        <f>INDEX([1]游戏类型定义!$C$20:$C$29,MATCH(D1633,[1]!装备部位,0))</f>
        <v>7</v>
      </c>
      <c r="F1633" s="1">
        <v>5</v>
      </c>
      <c r="G1633" s="1">
        <f t="shared" si="129"/>
        <v>65</v>
      </c>
      <c r="H1633" s="10">
        <v>0</v>
      </c>
      <c r="I1633" s="1">
        <v>136000</v>
      </c>
      <c r="J1633" s="1">
        <v>150</v>
      </c>
      <c r="K1633" s="1">
        <v>1500</v>
      </c>
      <c r="L1633" s="1">
        <v>37500</v>
      </c>
      <c r="M1633" s="1" t="s">
        <v>2005</v>
      </c>
      <c r="N1633" s="1" t="s">
        <v>1794</v>
      </c>
      <c r="O1633" s="1">
        <v>0</v>
      </c>
      <c r="P1633" s="1" t="s">
        <v>2083</v>
      </c>
      <c r="Q1633" s="7" t="s">
        <v>2064</v>
      </c>
    </row>
    <row r="1634" spans="1:17" ht="14.25" thickBot="1">
      <c r="A1634" s="1" t="s">
        <v>1747</v>
      </c>
      <c r="B1634" s="2">
        <v>0</v>
      </c>
      <c r="C1634" s="1" t="s">
        <v>2130</v>
      </c>
      <c r="D1634" s="1" t="str">
        <f t="shared" si="128"/>
        <v>头盔</v>
      </c>
      <c r="E1634" s="1">
        <f>INDEX([1]游戏类型定义!$C$20:$C$29,MATCH(D1634,[1]!装备部位,0))</f>
        <v>1</v>
      </c>
      <c r="F1634" s="1">
        <v>5</v>
      </c>
      <c r="G1634" s="1">
        <f t="shared" si="129"/>
        <v>70</v>
      </c>
      <c r="H1634" s="10">
        <v>0</v>
      </c>
      <c r="I1634" s="1">
        <v>140000</v>
      </c>
      <c r="J1634" s="1">
        <v>150</v>
      </c>
      <c r="K1634" s="1">
        <v>1500</v>
      </c>
      <c r="L1634" s="1">
        <v>37500</v>
      </c>
      <c r="M1634" s="1" t="s">
        <v>1798</v>
      </c>
      <c r="N1634" s="1" t="s">
        <v>1796</v>
      </c>
      <c r="O1634" s="1">
        <v>0</v>
      </c>
      <c r="P1634" s="1" t="s">
        <v>2084</v>
      </c>
      <c r="Q1634" s="7" t="s">
        <v>2051</v>
      </c>
    </row>
    <row r="1635" spans="1:17" ht="14.25" thickBot="1">
      <c r="A1635" s="1" t="s">
        <v>1748</v>
      </c>
      <c r="B1635" s="2">
        <v>0</v>
      </c>
      <c r="C1635" s="1" t="s">
        <v>2119</v>
      </c>
      <c r="D1635" s="1" t="str">
        <f t="shared" si="128"/>
        <v>戒指</v>
      </c>
      <c r="E1635" s="1">
        <f>INDEX([1]游戏类型定义!$C$20:$C$29,MATCH(D1635,[1]!装备部位,0))</f>
        <v>2</v>
      </c>
      <c r="F1635" s="1">
        <v>5</v>
      </c>
      <c r="G1635" s="1">
        <f t="shared" si="129"/>
        <v>70</v>
      </c>
      <c r="H1635" s="10">
        <v>0</v>
      </c>
      <c r="I1635" s="1">
        <v>140000</v>
      </c>
      <c r="J1635" s="1">
        <v>150</v>
      </c>
      <c r="K1635" s="1">
        <v>1500</v>
      </c>
      <c r="L1635" s="1">
        <v>37500</v>
      </c>
      <c r="M1635" s="1" t="s">
        <v>2006</v>
      </c>
      <c r="N1635" s="1" t="s">
        <v>1796</v>
      </c>
      <c r="O1635" s="1">
        <v>0</v>
      </c>
      <c r="P1635" s="1" t="s">
        <v>2084</v>
      </c>
      <c r="Q1635" s="7" t="s">
        <v>2052</v>
      </c>
    </row>
    <row r="1636" spans="1:17" ht="14.25" thickBot="1">
      <c r="A1636" s="1" t="s">
        <v>1749</v>
      </c>
      <c r="B1636" s="2">
        <v>0</v>
      </c>
      <c r="C1636" s="1" t="s">
        <v>2129</v>
      </c>
      <c r="D1636" s="1" t="str">
        <f t="shared" ref="D1636:D1655" si="130">D1306</f>
        <v>腰带</v>
      </c>
      <c r="E1636" s="1">
        <f>INDEX([1]游戏类型定义!$C$20:$C$29,MATCH(D1636,[1]!装备部位,0))</f>
        <v>3</v>
      </c>
      <c r="F1636" s="1">
        <v>5</v>
      </c>
      <c r="G1636" s="1">
        <f t="shared" ref="G1636:G1655" si="131">G1306</f>
        <v>70</v>
      </c>
      <c r="H1636" s="10">
        <v>0</v>
      </c>
      <c r="I1636" s="1">
        <v>140000</v>
      </c>
      <c r="J1636" s="1">
        <v>150</v>
      </c>
      <c r="K1636" s="1">
        <v>1500</v>
      </c>
      <c r="L1636" s="1">
        <v>37500</v>
      </c>
      <c r="M1636" s="1" t="s">
        <v>2007</v>
      </c>
      <c r="N1636" s="1" t="s">
        <v>1796</v>
      </c>
      <c r="O1636" s="1">
        <v>0</v>
      </c>
      <c r="P1636" s="1" t="s">
        <v>2084</v>
      </c>
      <c r="Q1636" s="7" t="s">
        <v>2053</v>
      </c>
    </row>
    <row r="1637" spans="1:17" ht="14.25" thickBot="1">
      <c r="A1637" s="1" t="s">
        <v>1750</v>
      </c>
      <c r="B1637" s="2">
        <v>0</v>
      </c>
      <c r="C1637" s="1" t="s">
        <v>2131</v>
      </c>
      <c r="D1637" s="1" t="str">
        <f t="shared" si="130"/>
        <v>鞋子</v>
      </c>
      <c r="E1637" s="1">
        <f>INDEX([1]游戏类型定义!$C$20:$C$29,MATCH(D1637,[1]!装备部位,0))</f>
        <v>8</v>
      </c>
      <c r="F1637" s="1">
        <v>5</v>
      </c>
      <c r="G1637" s="1">
        <f t="shared" si="131"/>
        <v>70</v>
      </c>
      <c r="H1637" s="10">
        <v>0</v>
      </c>
      <c r="I1637" s="1">
        <v>140000</v>
      </c>
      <c r="J1637" s="1">
        <v>150</v>
      </c>
      <c r="K1637" s="1">
        <v>1500</v>
      </c>
      <c r="L1637" s="1">
        <v>37500</v>
      </c>
      <c r="M1637" s="1" t="s">
        <v>2008</v>
      </c>
      <c r="N1637" s="1" t="s">
        <v>1796</v>
      </c>
      <c r="O1637" s="1">
        <v>0</v>
      </c>
      <c r="P1637" s="1" t="s">
        <v>2084</v>
      </c>
      <c r="Q1637" s="7" t="s">
        <v>2054</v>
      </c>
    </row>
    <row r="1638" spans="1:17" ht="14.25" thickBot="1">
      <c r="A1638" s="1" t="s">
        <v>1751</v>
      </c>
      <c r="B1638" s="2">
        <v>0</v>
      </c>
      <c r="C1638" s="1" t="s">
        <v>2145</v>
      </c>
      <c r="D1638" s="1" t="str">
        <f t="shared" si="130"/>
        <v>手套</v>
      </c>
      <c r="E1638" s="1">
        <f>INDEX([1]游戏类型定义!$C$20:$C$29,MATCH(D1638,[1]!装备部位,0))</f>
        <v>9</v>
      </c>
      <c r="F1638" s="1">
        <v>5</v>
      </c>
      <c r="G1638" s="1">
        <f t="shared" si="131"/>
        <v>70</v>
      </c>
      <c r="H1638" s="10">
        <v>0</v>
      </c>
      <c r="I1638" s="1">
        <v>140000</v>
      </c>
      <c r="J1638" s="1">
        <v>150</v>
      </c>
      <c r="K1638" s="1">
        <v>1500</v>
      </c>
      <c r="L1638" s="1">
        <v>37500</v>
      </c>
      <c r="M1638" s="1" t="s">
        <v>2009</v>
      </c>
      <c r="N1638" s="1" t="s">
        <v>1796</v>
      </c>
      <c r="O1638" s="1">
        <v>0</v>
      </c>
      <c r="P1638" s="1" t="s">
        <v>2084</v>
      </c>
      <c r="Q1638" s="7" t="s">
        <v>2055</v>
      </c>
    </row>
    <row r="1639" spans="1:17" ht="14.25" thickBot="1">
      <c r="A1639" s="1" t="s">
        <v>1752</v>
      </c>
      <c r="B1639" s="2">
        <v>0</v>
      </c>
      <c r="C1639" s="1" t="s">
        <v>2156</v>
      </c>
      <c r="D1639" s="1" t="str">
        <f t="shared" si="130"/>
        <v>项链</v>
      </c>
      <c r="E1639" s="1">
        <f>INDEX([1]游戏类型定义!$C$20:$C$29,MATCH(D1639,[1]!装备部位,0))</f>
        <v>10</v>
      </c>
      <c r="F1639" s="1">
        <v>5</v>
      </c>
      <c r="G1639" s="1">
        <f t="shared" si="131"/>
        <v>70</v>
      </c>
      <c r="H1639" s="10">
        <v>0</v>
      </c>
      <c r="I1639" s="1">
        <v>140000</v>
      </c>
      <c r="J1639" s="1">
        <v>150</v>
      </c>
      <c r="K1639" s="1">
        <v>1500</v>
      </c>
      <c r="L1639" s="1">
        <v>37500</v>
      </c>
      <c r="M1639" s="1" t="s">
        <v>1803</v>
      </c>
      <c r="N1639" s="1" t="s">
        <v>1796</v>
      </c>
      <c r="O1639" s="1">
        <v>0</v>
      </c>
      <c r="P1639" s="1" t="s">
        <v>2084</v>
      </c>
      <c r="Q1639" s="7" t="s">
        <v>2056</v>
      </c>
    </row>
    <row r="1640" spans="1:17" ht="14.25" thickBot="1">
      <c r="A1640" s="1" t="s">
        <v>1753</v>
      </c>
      <c r="B1640" s="3">
        <v>1</v>
      </c>
      <c r="C1640" s="9" t="s">
        <v>2298</v>
      </c>
      <c r="D1640" s="1" t="str">
        <f t="shared" si="130"/>
        <v>主手武器</v>
      </c>
      <c r="E1640" s="1">
        <f>INDEX([1]游戏类型定义!$C$20:$C$29,MATCH(D1640,[1]!装备部位,0))</f>
        <v>5</v>
      </c>
      <c r="F1640" s="1">
        <v>5</v>
      </c>
      <c r="G1640" s="1">
        <f t="shared" si="131"/>
        <v>70</v>
      </c>
      <c r="H1640" s="10" t="s">
        <v>2320</v>
      </c>
      <c r="I1640" s="1">
        <v>140000</v>
      </c>
      <c r="J1640" s="1">
        <v>150</v>
      </c>
      <c r="K1640" s="1">
        <v>1500</v>
      </c>
      <c r="L1640" s="1">
        <v>37500</v>
      </c>
      <c r="M1640" s="1" t="s">
        <v>2029</v>
      </c>
      <c r="N1640" s="1" t="s">
        <v>1797</v>
      </c>
      <c r="O1640" s="1">
        <v>0</v>
      </c>
      <c r="P1640" s="1" t="s">
        <v>2084</v>
      </c>
      <c r="Q1640" s="7" t="s">
        <v>2524</v>
      </c>
    </row>
    <row r="1641" spans="1:17" ht="14.25" thickBot="1">
      <c r="A1641" s="1" t="s">
        <v>1754</v>
      </c>
      <c r="B1641" s="2">
        <v>0</v>
      </c>
      <c r="C1641" s="9" t="s">
        <v>2309</v>
      </c>
      <c r="D1641" s="1" t="str">
        <f t="shared" si="130"/>
        <v>主手武器</v>
      </c>
      <c r="E1641" s="1">
        <f>INDEX([1]游戏类型定义!$C$20:$C$29,MATCH(D1641,[1]!装备部位,0))</f>
        <v>5</v>
      </c>
      <c r="F1641" s="1">
        <v>5</v>
      </c>
      <c r="G1641" s="1">
        <f t="shared" si="131"/>
        <v>70</v>
      </c>
      <c r="H1641" s="10" t="s">
        <v>2320</v>
      </c>
      <c r="I1641" s="1">
        <v>146000</v>
      </c>
      <c r="J1641" s="1">
        <v>150</v>
      </c>
      <c r="K1641" s="1">
        <v>1500</v>
      </c>
      <c r="L1641" s="1">
        <v>40000</v>
      </c>
      <c r="M1641" s="1" t="s">
        <v>2029</v>
      </c>
      <c r="N1641" s="1" t="s">
        <v>1797</v>
      </c>
      <c r="O1641" s="1">
        <v>0</v>
      </c>
      <c r="P1641" s="1" t="s">
        <v>2084</v>
      </c>
      <c r="Q1641" s="7" t="s">
        <v>2057</v>
      </c>
    </row>
    <row r="1642" spans="1:17" ht="14.25" thickBot="1">
      <c r="A1642" s="1" t="s">
        <v>1755</v>
      </c>
      <c r="B1642" s="3">
        <v>1</v>
      </c>
      <c r="C1642" s="9" t="s">
        <v>2310</v>
      </c>
      <c r="D1642" s="1" t="str">
        <f t="shared" si="130"/>
        <v>副手武器</v>
      </c>
      <c r="E1642" s="1">
        <f>INDEX([1]游戏类型定义!$C$20:$C$29,MATCH(D1642,[1]!装备部位,0))</f>
        <v>6</v>
      </c>
      <c r="F1642" s="1">
        <v>5</v>
      </c>
      <c r="G1642" s="1">
        <f t="shared" si="131"/>
        <v>70</v>
      </c>
      <c r="H1642" s="10" t="s">
        <v>2320</v>
      </c>
      <c r="I1642" s="1">
        <v>140000</v>
      </c>
      <c r="J1642" s="1">
        <v>150</v>
      </c>
      <c r="K1642" s="1">
        <v>1500</v>
      </c>
      <c r="L1642" s="1">
        <v>37500</v>
      </c>
      <c r="M1642" s="1" t="s">
        <v>2010</v>
      </c>
      <c r="N1642" s="1" t="s">
        <v>1797</v>
      </c>
      <c r="O1642" s="1">
        <v>0</v>
      </c>
      <c r="P1642" s="1" t="s">
        <v>2084</v>
      </c>
      <c r="Q1642" s="7" t="s">
        <v>2525</v>
      </c>
    </row>
    <row r="1643" spans="1:17" ht="14.25" thickBot="1">
      <c r="A1643" s="1" t="s">
        <v>1756</v>
      </c>
      <c r="B1643" s="2">
        <v>0</v>
      </c>
      <c r="C1643" s="9" t="s">
        <v>2308</v>
      </c>
      <c r="D1643" s="1" t="str">
        <f t="shared" si="130"/>
        <v>副手武器</v>
      </c>
      <c r="E1643" s="1">
        <f>INDEX([1]游戏类型定义!$C$20:$C$29,MATCH(D1643,[1]!装备部位,0))</f>
        <v>6</v>
      </c>
      <c r="F1643" s="1">
        <v>5</v>
      </c>
      <c r="G1643" s="1">
        <f t="shared" si="131"/>
        <v>70</v>
      </c>
      <c r="H1643" s="10" t="s">
        <v>2320</v>
      </c>
      <c r="I1643" s="1">
        <v>146000</v>
      </c>
      <c r="J1643" s="1">
        <v>150</v>
      </c>
      <c r="K1643" s="1">
        <v>1500</v>
      </c>
      <c r="L1643" s="1">
        <v>40000</v>
      </c>
      <c r="M1643" s="1" t="s">
        <v>2010</v>
      </c>
      <c r="N1643" s="1" t="s">
        <v>1797</v>
      </c>
      <c r="O1643" s="1">
        <v>0</v>
      </c>
      <c r="P1643" s="1" t="s">
        <v>2084</v>
      </c>
      <c r="Q1643" s="7" t="s">
        <v>2058</v>
      </c>
    </row>
    <row r="1644" spans="1:17" ht="14.25" thickBot="1">
      <c r="A1644" s="1" t="s">
        <v>1757</v>
      </c>
      <c r="B1644" s="3">
        <v>1</v>
      </c>
      <c r="C1644" s="1" t="s">
        <v>2303</v>
      </c>
      <c r="D1644" s="1" t="str">
        <f t="shared" si="130"/>
        <v>主手武器</v>
      </c>
      <c r="E1644" s="1">
        <f>INDEX([1]游戏类型定义!$C$20:$C$29,MATCH(D1644,[1]!装备部位,0))</f>
        <v>5</v>
      </c>
      <c r="F1644" s="1">
        <v>5</v>
      </c>
      <c r="G1644" s="1">
        <f t="shared" si="131"/>
        <v>70</v>
      </c>
      <c r="H1644" s="10" t="s">
        <v>2321</v>
      </c>
      <c r="I1644" s="1">
        <v>140000</v>
      </c>
      <c r="J1644" s="1">
        <v>150</v>
      </c>
      <c r="K1644" s="1">
        <v>1500</v>
      </c>
      <c r="L1644" s="1">
        <v>37500</v>
      </c>
      <c r="M1644" s="1" t="s">
        <v>2029</v>
      </c>
      <c r="N1644" s="1" t="s">
        <v>1797</v>
      </c>
      <c r="O1644" s="1">
        <v>0</v>
      </c>
      <c r="P1644" s="1" t="s">
        <v>2084</v>
      </c>
      <c r="Q1644" s="7" t="s">
        <v>2526</v>
      </c>
    </row>
    <row r="1645" spans="1:17" ht="14.25" thickBot="1">
      <c r="A1645" s="1" t="s">
        <v>1758</v>
      </c>
      <c r="B1645" s="2">
        <v>0</v>
      </c>
      <c r="C1645" s="1" t="s">
        <v>2302</v>
      </c>
      <c r="D1645" s="1" t="str">
        <f t="shared" si="130"/>
        <v>主手武器</v>
      </c>
      <c r="E1645" s="1">
        <f>INDEX([1]游戏类型定义!$C$20:$C$29,MATCH(D1645,[1]!装备部位,0))</f>
        <v>5</v>
      </c>
      <c r="F1645" s="1">
        <v>5</v>
      </c>
      <c r="G1645" s="1">
        <f t="shared" si="131"/>
        <v>70</v>
      </c>
      <c r="H1645" s="10" t="s">
        <v>2321</v>
      </c>
      <c r="I1645" s="1">
        <v>146000</v>
      </c>
      <c r="J1645" s="1">
        <v>150</v>
      </c>
      <c r="K1645" s="1">
        <v>1500</v>
      </c>
      <c r="L1645" s="1">
        <v>40000</v>
      </c>
      <c r="M1645" s="1" t="s">
        <v>2029</v>
      </c>
      <c r="N1645" s="1" t="s">
        <v>1797</v>
      </c>
      <c r="O1645" s="1">
        <v>0</v>
      </c>
      <c r="P1645" s="1" t="s">
        <v>2084</v>
      </c>
      <c r="Q1645" s="7" t="s">
        <v>2059</v>
      </c>
    </row>
    <row r="1646" spans="1:17" ht="14.25" thickBot="1">
      <c r="A1646" s="1" t="s">
        <v>1759</v>
      </c>
      <c r="B1646" s="3">
        <v>1</v>
      </c>
      <c r="C1646" s="9" t="s">
        <v>2293</v>
      </c>
      <c r="D1646" s="1" t="str">
        <f t="shared" si="130"/>
        <v>副手武器</v>
      </c>
      <c r="E1646" s="1">
        <f>INDEX([1]游戏类型定义!$C$20:$C$29,MATCH(D1646,[1]!装备部位,0))</f>
        <v>6</v>
      </c>
      <c r="F1646" s="1">
        <v>5</v>
      </c>
      <c r="G1646" s="1">
        <f t="shared" si="131"/>
        <v>70</v>
      </c>
      <c r="H1646" s="10" t="s">
        <v>2321</v>
      </c>
      <c r="I1646" s="1">
        <v>140000</v>
      </c>
      <c r="J1646" s="1">
        <v>150</v>
      </c>
      <c r="K1646" s="1">
        <v>1500</v>
      </c>
      <c r="L1646" s="1">
        <v>37500</v>
      </c>
      <c r="M1646" s="1" t="s">
        <v>2011</v>
      </c>
      <c r="N1646" s="1" t="s">
        <v>1797</v>
      </c>
      <c r="O1646" s="1">
        <v>0</v>
      </c>
      <c r="P1646" s="1" t="s">
        <v>2084</v>
      </c>
      <c r="Q1646" s="7" t="s">
        <v>2527</v>
      </c>
    </row>
    <row r="1647" spans="1:17" ht="14.25" thickBot="1">
      <c r="A1647" s="1" t="s">
        <v>1760</v>
      </c>
      <c r="B1647" s="2">
        <v>0</v>
      </c>
      <c r="C1647" s="9" t="s">
        <v>2042</v>
      </c>
      <c r="D1647" s="1" t="str">
        <f t="shared" si="130"/>
        <v>副手武器</v>
      </c>
      <c r="E1647" s="1">
        <f>INDEX([1]游戏类型定义!$C$20:$C$29,MATCH(D1647,[1]!装备部位,0))</f>
        <v>6</v>
      </c>
      <c r="F1647" s="1">
        <v>5</v>
      </c>
      <c r="G1647" s="1">
        <f t="shared" si="131"/>
        <v>70</v>
      </c>
      <c r="H1647" s="10" t="s">
        <v>2321</v>
      </c>
      <c r="I1647" s="1">
        <v>146000</v>
      </c>
      <c r="J1647" s="1">
        <v>150</v>
      </c>
      <c r="K1647" s="1">
        <v>1500</v>
      </c>
      <c r="L1647" s="1">
        <v>40000</v>
      </c>
      <c r="M1647" s="1" t="s">
        <v>2011</v>
      </c>
      <c r="N1647" s="1" t="s">
        <v>1797</v>
      </c>
      <c r="O1647" s="1">
        <v>0</v>
      </c>
      <c r="P1647" s="1" t="s">
        <v>2084</v>
      </c>
      <c r="Q1647" s="7" t="s">
        <v>2060</v>
      </c>
    </row>
    <row r="1648" spans="1:17" ht="14.25" thickBot="1">
      <c r="A1648" s="1" t="s">
        <v>1761</v>
      </c>
      <c r="B1648" s="3">
        <v>1</v>
      </c>
      <c r="C1648" s="9" t="s">
        <v>2300</v>
      </c>
      <c r="D1648" s="1" t="str">
        <f t="shared" si="130"/>
        <v>主手武器</v>
      </c>
      <c r="E1648" s="1">
        <f>INDEX([1]游戏类型定义!$C$20:$C$29,MATCH(D1648,[1]!装备部位,0))</f>
        <v>5</v>
      </c>
      <c r="F1648" s="1">
        <v>5</v>
      </c>
      <c r="G1648" s="1">
        <f t="shared" si="131"/>
        <v>70</v>
      </c>
      <c r="H1648" s="10" t="s">
        <v>2322</v>
      </c>
      <c r="I1648" s="1">
        <v>140000</v>
      </c>
      <c r="J1648" s="1">
        <v>150</v>
      </c>
      <c r="K1648" s="1">
        <v>1500</v>
      </c>
      <c r="L1648" s="1">
        <v>37500</v>
      </c>
      <c r="M1648" s="1" t="s">
        <v>2029</v>
      </c>
      <c r="N1648" s="1" t="s">
        <v>1797</v>
      </c>
      <c r="O1648" s="1">
        <v>0</v>
      </c>
      <c r="P1648" s="1" t="s">
        <v>2084</v>
      </c>
      <c r="Q1648" s="7" t="s">
        <v>2528</v>
      </c>
    </row>
    <row r="1649" spans="1:17" ht="14.25" thickBot="1">
      <c r="A1649" s="1" t="s">
        <v>1762</v>
      </c>
      <c r="B1649" s="2">
        <v>0</v>
      </c>
      <c r="C1649" s="9" t="s">
        <v>2301</v>
      </c>
      <c r="D1649" s="1" t="str">
        <f t="shared" si="130"/>
        <v>主手武器</v>
      </c>
      <c r="E1649" s="1">
        <f>INDEX([1]游戏类型定义!$C$20:$C$29,MATCH(D1649,[1]!装备部位,0))</f>
        <v>5</v>
      </c>
      <c r="F1649" s="1">
        <v>5</v>
      </c>
      <c r="G1649" s="1">
        <f t="shared" si="131"/>
        <v>70</v>
      </c>
      <c r="H1649" s="10" t="s">
        <v>2322</v>
      </c>
      <c r="I1649" s="1">
        <v>146000</v>
      </c>
      <c r="J1649" s="1">
        <v>150</v>
      </c>
      <c r="K1649" s="1">
        <v>1500</v>
      </c>
      <c r="L1649" s="1">
        <v>40000</v>
      </c>
      <c r="M1649" s="1" t="s">
        <v>2029</v>
      </c>
      <c r="N1649" s="1" t="s">
        <v>1797</v>
      </c>
      <c r="O1649" s="1">
        <v>0</v>
      </c>
      <c r="P1649" s="1" t="s">
        <v>2084</v>
      </c>
      <c r="Q1649" s="7" t="s">
        <v>2061</v>
      </c>
    </row>
    <row r="1650" spans="1:17" ht="14.25" thickBot="1">
      <c r="A1650" s="1" t="s">
        <v>1763</v>
      </c>
      <c r="B1650" s="3">
        <v>1</v>
      </c>
      <c r="C1650" s="9" t="s">
        <v>2304</v>
      </c>
      <c r="D1650" s="1" t="str">
        <f t="shared" si="130"/>
        <v>副手武器</v>
      </c>
      <c r="E1650" s="1">
        <f>INDEX([1]游戏类型定义!$C$20:$C$29,MATCH(D1650,[1]!装备部位,0))</f>
        <v>6</v>
      </c>
      <c r="F1650" s="1">
        <v>5</v>
      </c>
      <c r="G1650" s="1">
        <f t="shared" si="131"/>
        <v>70</v>
      </c>
      <c r="H1650" s="10" t="s">
        <v>2322</v>
      </c>
      <c r="I1650" s="1">
        <v>140000</v>
      </c>
      <c r="J1650" s="1">
        <v>150</v>
      </c>
      <c r="K1650" s="1">
        <v>1500</v>
      </c>
      <c r="L1650" s="1">
        <v>37500</v>
      </c>
      <c r="M1650" s="1" t="s">
        <v>2012</v>
      </c>
      <c r="N1650" s="1" t="s">
        <v>1797</v>
      </c>
      <c r="O1650" s="1">
        <v>0</v>
      </c>
      <c r="P1650" s="1" t="s">
        <v>2084</v>
      </c>
      <c r="Q1650" s="7" t="s">
        <v>2529</v>
      </c>
    </row>
    <row r="1651" spans="1:17" ht="14.25" thickBot="1">
      <c r="A1651" s="1" t="s">
        <v>1764</v>
      </c>
      <c r="B1651" s="2">
        <v>0</v>
      </c>
      <c r="C1651" s="9" t="s">
        <v>2305</v>
      </c>
      <c r="D1651" s="1" t="str">
        <f t="shared" si="130"/>
        <v>副手武器</v>
      </c>
      <c r="E1651" s="1">
        <f>INDEX([1]游戏类型定义!$C$20:$C$29,MATCH(D1651,[1]!装备部位,0))</f>
        <v>6</v>
      </c>
      <c r="F1651" s="1">
        <v>5</v>
      </c>
      <c r="G1651" s="1">
        <f t="shared" si="131"/>
        <v>70</v>
      </c>
      <c r="H1651" s="10" t="s">
        <v>2322</v>
      </c>
      <c r="I1651" s="1">
        <v>146000</v>
      </c>
      <c r="J1651" s="1">
        <v>150</v>
      </c>
      <c r="K1651" s="1">
        <v>1500</v>
      </c>
      <c r="L1651" s="1">
        <v>40000</v>
      </c>
      <c r="M1651" s="1" t="s">
        <v>2013</v>
      </c>
      <c r="N1651" s="1" t="s">
        <v>1797</v>
      </c>
      <c r="O1651" s="1">
        <v>0</v>
      </c>
      <c r="P1651" s="1" t="s">
        <v>2084</v>
      </c>
      <c r="Q1651" s="7" t="s">
        <v>2062</v>
      </c>
    </row>
    <row r="1652" spans="1:17" ht="14.25" thickBot="1">
      <c r="A1652" s="1" t="s">
        <v>1765</v>
      </c>
      <c r="B1652" s="2">
        <v>0</v>
      </c>
      <c r="C1652" s="1" t="s">
        <v>2176</v>
      </c>
      <c r="D1652" s="1" t="str">
        <f t="shared" si="130"/>
        <v>胸甲</v>
      </c>
      <c r="E1652" s="1">
        <f>INDEX([1]游戏类型定义!$C$20:$C$29,MATCH(D1652,[1]!装备部位,0))</f>
        <v>4</v>
      </c>
      <c r="F1652" s="1">
        <v>5</v>
      </c>
      <c r="G1652" s="1">
        <f t="shared" si="131"/>
        <v>70</v>
      </c>
      <c r="H1652" s="10">
        <v>0</v>
      </c>
      <c r="I1652" s="1">
        <v>140000</v>
      </c>
      <c r="J1652" s="1">
        <v>150</v>
      </c>
      <c r="K1652" s="1">
        <v>1500</v>
      </c>
      <c r="L1652" s="1">
        <v>37500</v>
      </c>
      <c r="M1652" s="1" t="s">
        <v>1812</v>
      </c>
      <c r="N1652" s="1" t="s">
        <v>1796</v>
      </c>
      <c r="O1652" s="1">
        <v>0</v>
      </c>
      <c r="P1652" s="1" t="s">
        <v>2084</v>
      </c>
      <c r="Q1652" s="7" t="s">
        <v>2063</v>
      </c>
    </row>
    <row r="1653" spans="1:17" ht="14.25" thickBot="1">
      <c r="A1653" s="1" t="s">
        <v>1766</v>
      </c>
      <c r="B1653" s="2">
        <v>0</v>
      </c>
      <c r="C1653" s="1" t="s">
        <v>2173</v>
      </c>
      <c r="D1653" s="1" t="str">
        <f t="shared" si="130"/>
        <v>胸甲</v>
      </c>
      <c r="E1653" s="1">
        <f>INDEX([1]游戏类型定义!$C$20:$C$29,MATCH(D1653,[1]!装备部位,0))</f>
        <v>4</v>
      </c>
      <c r="F1653" s="1">
        <v>5</v>
      </c>
      <c r="G1653" s="1">
        <f t="shared" si="131"/>
        <v>70</v>
      </c>
      <c r="H1653" s="10">
        <v>0</v>
      </c>
      <c r="I1653" s="1">
        <v>146000</v>
      </c>
      <c r="J1653" s="1">
        <v>150</v>
      </c>
      <c r="K1653" s="1">
        <v>1500</v>
      </c>
      <c r="L1653" s="1">
        <v>40000</v>
      </c>
      <c r="M1653" s="1" t="s">
        <v>1812</v>
      </c>
      <c r="N1653" s="1" t="s">
        <v>1796</v>
      </c>
      <c r="O1653" s="1">
        <v>0</v>
      </c>
      <c r="P1653" s="1" t="s">
        <v>2084</v>
      </c>
      <c r="Q1653" s="7" t="s">
        <v>2063</v>
      </c>
    </row>
    <row r="1654" spans="1:17" ht="14.25" thickBot="1">
      <c r="A1654" s="1" t="s">
        <v>1767</v>
      </c>
      <c r="B1654" s="2">
        <v>0</v>
      </c>
      <c r="C1654" s="1" t="s">
        <v>2193</v>
      </c>
      <c r="D1654" s="1" t="str">
        <f t="shared" si="130"/>
        <v>护腿</v>
      </c>
      <c r="E1654" s="1">
        <f>INDEX([1]游戏类型定义!$C$20:$C$29,MATCH(D1654,[1]!装备部位,0))</f>
        <v>7</v>
      </c>
      <c r="F1654" s="1">
        <v>5</v>
      </c>
      <c r="G1654" s="1">
        <f t="shared" si="131"/>
        <v>70</v>
      </c>
      <c r="H1654" s="10">
        <v>0</v>
      </c>
      <c r="I1654" s="1">
        <v>140000</v>
      </c>
      <c r="J1654" s="1">
        <v>150</v>
      </c>
      <c r="K1654" s="1">
        <v>1500</v>
      </c>
      <c r="L1654" s="1">
        <v>37500</v>
      </c>
      <c r="M1654" s="1" t="s">
        <v>1812</v>
      </c>
      <c r="N1654" s="1" t="s">
        <v>1796</v>
      </c>
      <c r="O1654" s="1">
        <v>0</v>
      </c>
      <c r="P1654" s="1" t="s">
        <v>2084</v>
      </c>
      <c r="Q1654" s="7" t="s">
        <v>2064</v>
      </c>
    </row>
    <row r="1655" spans="1:17" ht="14.25" thickBot="1">
      <c r="A1655" s="1" t="s">
        <v>1768</v>
      </c>
      <c r="B1655" s="2">
        <v>0</v>
      </c>
      <c r="C1655" s="1" t="s">
        <v>2194</v>
      </c>
      <c r="D1655" s="1" t="str">
        <f t="shared" si="130"/>
        <v>护腿</v>
      </c>
      <c r="E1655" s="1">
        <f>INDEX([1]游戏类型定义!$C$20:$C$29,MATCH(D1655,[1]!装备部位,0))</f>
        <v>7</v>
      </c>
      <c r="F1655" s="1">
        <v>5</v>
      </c>
      <c r="G1655" s="1">
        <f t="shared" si="131"/>
        <v>70</v>
      </c>
      <c r="H1655" s="10">
        <v>0</v>
      </c>
      <c r="I1655" s="1">
        <v>146000</v>
      </c>
      <c r="J1655" s="1">
        <v>150</v>
      </c>
      <c r="K1655" s="1">
        <v>1500</v>
      </c>
      <c r="L1655" s="1">
        <v>40000</v>
      </c>
      <c r="M1655" s="1" t="s">
        <v>1812</v>
      </c>
      <c r="N1655" s="1" t="s">
        <v>1796</v>
      </c>
      <c r="O1655" s="1">
        <v>0</v>
      </c>
      <c r="P1655" s="1" t="s">
        <v>2084</v>
      </c>
      <c r="Q1655" s="7" t="s">
        <v>2064</v>
      </c>
    </row>
    <row r="1656" spans="1:17" ht="14.25" thickBot="1">
      <c r="A1656" s="1">
        <v>50301052</v>
      </c>
      <c r="B1656" s="3">
        <v>0</v>
      </c>
      <c r="C1656" s="9" t="s">
        <v>2313</v>
      </c>
      <c r="D1656" s="1" t="s">
        <v>12</v>
      </c>
      <c r="E1656" s="1">
        <v>5</v>
      </c>
      <c r="F1656" s="1">
        <v>5</v>
      </c>
      <c r="G1656" s="1">
        <v>30</v>
      </c>
      <c r="H1656" s="10" t="s">
        <v>2320</v>
      </c>
      <c r="I1656" s="1">
        <v>60000</v>
      </c>
      <c r="J1656" s="1">
        <v>150</v>
      </c>
      <c r="K1656" s="1">
        <v>1500</v>
      </c>
      <c r="L1656" s="1">
        <v>17500</v>
      </c>
      <c r="M1656" s="1" t="s">
        <v>1895</v>
      </c>
      <c r="N1656" s="1" t="s">
        <v>1781</v>
      </c>
      <c r="O1656" s="1">
        <v>1008</v>
      </c>
      <c r="P1656" s="1" t="s">
        <v>2076</v>
      </c>
      <c r="Q1656" s="7" t="s">
        <v>2404</v>
      </c>
    </row>
    <row r="1657" spans="1:17" ht="14.25" thickBot="1">
      <c r="A1657" s="1">
        <v>50302052</v>
      </c>
      <c r="B1657" s="3">
        <v>0</v>
      </c>
      <c r="C1657" s="1" t="s">
        <v>2239</v>
      </c>
      <c r="D1657" s="1" t="s">
        <v>12</v>
      </c>
      <c r="E1657" s="1">
        <v>5</v>
      </c>
      <c r="F1657" s="1">
        <v>5</v>
      </c>
      <c r="G1657" s="1">
        <v>30</v>
      </c>
      <c r="H1657" s="10" t="s">
        <v>2321</v>
      </c>
      <c r="I1657" s="1">
        <v>60000</v>
      </c>
      <c r="J1657" s="1">
        <v>150</v>
      </c>
      <c r="K1657" s="1">
        <v>1500</v>
      </c>
      <c r="L1657" s="1">
        <v>17500</v>
      </c>
      <c r="M1657" s="1" t="s">
        <v>1895</v>
      </c>
      <c r="N1657" s="1" t="s">
        <v>1781</v>
      </c>
      <c r="O1657" s="1">
        <v>1008</v>
      </c>
      <c r="P1657" s="1" t="s">
        <v>2076</v>
      </c>
      <c r="Q1657" s="7" t="s">
        <v>2408</v>
      </c>
    </row>
    <row r="1658" spans="1:17" ht="14.25" thickBot="1">
      <c r="A1658" s="1">
        <v>50303052</v>
      </c>
      <c r="B1658" s="3">
        <v>0</v>
      </c>
      <c r="C1658" s="9" t="s">
        <v>2232</v>
      </c>
      <c r="D1658" s="1" t="s">
        <v>12</v>
      </c>
      <c r="E1658" s="1">
        <v>5</v>
      </c>
      <c r="F1658" s="1">
        <v>5</v>
      </c>
      <c r="G1658" s="1">
        <v>30</v>
      </c>
      <c r="H1658" s="10" t="s">
        <v>2322</v>
      </c>
      <c r="I1658" s="1">
        <v>60000</v>
      </c>
      <c r="J1658" s="1">
        <v>150</v>
      </c>
      <c r="K1658" s="1">
        <v>1500</v>
      </c>
      <c r="L1658" s="1">
        <v>17500</v>
      </c>
      <c r="M1658" s="1" t="s">
        <v>1895</v>
      </c>
      <c r="N1658" s="1" t="s">
        <v>1781</v>
      </c>
      <c r="O1658" s="1">
        <v>1008</v>
      </c>
      <c r="P1658" s="1" t="s">
        <v>2076</v>
      </c>
      <c r="Q1658" s="7" t="s">
        <v>2395</v>
      </c>
    </row>
    <row r="1659" spans="1:17" ht="14.25" thickBot="1">
      <c r="A1659" s="1">
        <v>50201052</v>
      </c>
      <c r="B1659" s="3">
        <v>0</v>
      </c>
      <c r="C1659" s="9" t="s">
        <v>2222</v>
      </c>
      <c r="D1659" s="1" t="s">
        <v>12</v>
      </c>
      <c r="E1659" s="1">
        <v>5</v>
      </c>
      <c r="F1659" s="1">
        <v>5</v>
      </c>
      <c r="G1659" s="1">
        <v>20</v>
      </c>
      <c r="H1659" s="10" t="s">
        <v>2320</v>
      </c>
      <c r="I1659" s="1">
        <v>40000</v>
      </c>
      <c r="J1659" s="1">
        <v>150</v>
      </c>
      <c r="K1659" s="1">
        <v>1500</v>
      </c>
      <c r="L1659" s="1">
        <v>12500</v>
      </c>
      <c r="M1659" s="1" t="s">
        <v>2018</v>
      </c>
      <c r="N1659" s="1" t="s">
        <v>1777</v>
      </c>
      <c r="O1659" s="1">
        <v>1008</v>
      </c>
      <c r="P1659" s="1" t="s">
        <v>2074</v>
      </c>
      <c r="Q1659" s="7" t="s">
        <v>2372</v>
      </c>
    </row>
    <row r="1660" spans="1:17" ht="14.25" thickBot="1">
      <c r="A1660" s="1">
        <v>50202052</v>
      </c>
      <c r="B1660" s="3">
        <v>0</v>
      </c>
      <c r="C1660" s="1" t="s">
        <v>2223</v>
      </c>
      <c r="D1660" s="1" t="s">
        <v>12</v>
      </c>
      <c r="E1660" s="1">
        <v>5</v>
      </c>
      <c r="F1660" s="1">
        <v>5</v>
      </c>
      <c r="G1660" s="1">
        <v>20</v>
      </c>
      <c r="H1660" s="10" t="s">
        <v>2321</v>
      </c>
      <c r="I1660" s="1">
        <v>40000</v>
      </c>
      <c r="J1660" s="1">
        <v>150</v>
      </c>
      <c r="K1660" s="1">
        <v>1500</v>
      </c>
      <c r="L1660" s="1">
        <v>12500</v>
      </c>
      <c r="M1660" s="1" t="s">
        <v>2018</v>
      </c>
      <c r="N1660" s="1" t="s">
        <v>1777</v>
      </c>
      <c r="O1660" s="1">
        <v>1008</v>
      </c>
      <c r="P1660" s="1" t="s">
        <v>2074</v>
      </c>
      <c r="Q1660" s="7" t="s">
        <v>2374</v>
      </c>
    </row>
    <row r="1661" spans="1:17" ht="14.25" thickBot="1">
      <c r="A1661" s="1">
        <v>50203052</v>
      </c>
      <c r="B1661" s="3">
        <v>0</v>
      </c>
      <c r="C1661" s="9" t="s">
        <v>2225</v>
      </c>
      <c r="D1661" s="1" t="s">
        <v>12</v>
      </c>
      <c r="E1661" s="1">
        <v>5</v>
      </c>
      <c r="F1661" s="1">
        <v>5</v>
      </c>
      <c r="G1661" s="1">
        <v>20</v>
      </c>
      <c r="H1661" s="10" t="s">
        <v>2322</v>
      </c>
      <c r="I1661" s="1">
        <v>40000</v>
      </c>
      <c r="J1661" s="1">
        <v>150</v>
      </c>
      <c r="K1661" s="1">
        <v>1500</v>
      </c>
      <c r="L1661" s="1">
        <v>12500</v>
      </c>
      <c r="M1661" s="1" t="s">
        <v>2018</v>
      </c>
      <c r="N1661" s="1" t="s">
        <v>1777</v>
      </c>
      <c r="O1661" s="1">
        <v>1008</v>
      </c>
      <c r="P1661" s="1" t="s">
        <v>2074</v>
      </c>
      <c r="Q1661" s="7" t="s">
        <v>2376</v>
      </c>
    </row>
    <row r="1662" spans="1:17" ht="14.25" thickBot="1">
      <c r="A1662" s="1">
        <v>50351062</v>
      </c>
      <c r="B1662" s="3">
        <v>0</v>
      </c>
      <c r="C1662" s="9" t="s">
        <v>2246</v>
      </c>
      <c r="D1662" s="1" t="s">
        <v>13</v>
      </c>
      <c r="E1662" s="1">
        <v>6</v>
      </c>
      <c r="F1662" s="1">
        <v>5</v>
      </c>
      <c r="G1662" s="1">
        <v>35</v>
      </c>
      <c r="H1662" s="10" t="s">
        <v>2320</v>
      </c>
      <c r="I1662" s="1">
        <v>70000</v>
      </c>
      <c r="J1662" s="1">
        <v>150</v>
      </c>
      <c r="K1662" s="1">
        <v>1500</v>
      </c>
      <c r="L1662" s="1">
        <v>20000</v>
      </c>
      <c r="M1662" s="1" t="s">
        <v>1911</v>
      </c>
      <c r="N1662" s="1" t="s">
        <v>1783</v>
      </c>
      <c r="O1662" s="1">
        <v>1007</v>
      </c>
      <c r="P1662" s="1" t="s">
        <v>2077</v>
      </c>
      <c r="Q1662" s="7" t="s">
        <v>2407</v>
      </c>
    </row>
    <row r="1663" spans="1:17" ht="14.25" thickBot="1">
      <c r="A1663" s="1">
        <v>50352062</v>
      </c>
      <c r="B1663" s="3">
        <v>0</v>
      </c>
      <c r="C1663" s="9" t="s">
        <v>2248</v>
      </c>
      <c r="D1663" s="1" t="s">
        <v>13</v>
      </c>
      <c r="E1663" s="1">
        <v>6</v>
      </c>
      <c r="F1663" s="1">
        <v>5</v>
      </c>
      <c r="G1663" s="1">
        <v>35</v>
      </c>
      <c r="H1663" s="10" t="s">
        <v>2321</v>
      </c>
      <c r="I1663" s="1">
        <v>70000</v>
      </c>
      <c r="J1663" s="1">
        <v>150</v>
      </c>
      <c r="K1663" s="1">
        <v>1500</v>
      </c>
      <c r="L1663" s="1">
        <v>20000</v>
      </c>
      <c r="M1663" s="1" t="s">
        <v>1913</v>
      </c>
      <c r="N1663" s="1" t="s">
        <v>1783</v>
      </c>
      <c r="O1663" s="1">
        <v>1007</v>
      </c>
      <c r="P1663" s="1" t="s">
        <v>2077</v>
      </c>
      <c r="Q1663" s="7" t="s">
        <v>2411</v>
      </c>
    </row>
    <row r="1664" spans="1:17" ht="14.25" thickBot="1">
      <c r="A1664" s="1">
        <v>50353062</v>
      </c>
      <c r="B1664" s="3">
        <v>0</v>
      </c>
      <c r="C1664" s="9" t="s">
        <v>2314</v>
      </c>
      <c r="D1664" s="1" t="s">
        <v>13</v>
      </c>
      <c r="E1664" s="1">
        <v>6</v>
      </c>
      <c r="F1664" s="1">
        <v>5</v>
      </c>
      <c r="G1664" s="1">
        <v>35</v>
      </c>
      <c r="H1664" s="10" t="s">
        <v>2322</v>
      </c>
      <c r="I1664" s="1">
        <v>70000</v>
      </c>
      <c r="J1664" s="1">
        <v>150</v>
      </c>
      <c r="K1664" s="1">
        <v>1500</v>
      </c>
      <c r="L1664" s="1">
        <v>20000</v>
      </c>
      <c r="M1664" s="1" t="s">
        <v>1915</v>
      </c>
      <c r="N1664" s="1" t="s">
        <v>1783</v>
      </c>
      <c r="O1664" s="1">
        <v>1007</v>
      </c>
      <c r="P1664" s="1" t="s">
        <v>2077</v>
      </c>
      <c r="Q1664" s="7" t="s">
        <v>2414</v>
      </c>
    </row>
    <row r="1665" spans="1:17" ht="14.25" thickBot="1">
      <c r="A1665" s="1">
        <v>66666666</v>
      </c>
      <c r="B1665" s="2">
        <v>0</v>
      </c>
      <c r="C1665" s="9" t="s">
        <v>2532</v>
      </c>
      <c r="D1665" s="1" t="s">
        <v>2537</v>
      </c>
      <c r="E1665" s="1">
        <v>5</v>
      </c>
      <c r="F1665" s="1">
        <v>5</v>
      </c>
      <c r="G1665" s="1">
        <f t="shared" ref="G1665:G1667" si="132">G1335</f>
        <v>1</v>
      </c>
      <c r="H1665" s="10" t="s">
        <v>2534</v>
      </c>
      <c r="I1665" s="1">
        <v>146000</v>
      </c>
      <c r="J1665" s="1">
        <v>150</v>
      </c>
      <c r="K1665" s="1">
        <v>1500</v>
      </c>
      <c r="L1665" s="1">
        <v>40000</v>
      </c>
      <c r="M1665" s="1" t="s">
        <v>2535</v>
      </c>
      <c r="N1665" s="10" t="s">
        <v>2536</v>
      </c>
      <c r="O1665" s="1">
        <v>0</v>
      </c>
      <c r="P1665" s="1" t="s">
        <v>2084</v>
      </c>
      <c r="Q1665" s="7" t="s">
        <v>2533</v>
      </c>
    </row>
    <row r="1666" spans="1:17" ht="14.25" thickBot="1">
      <c r="A1666" s="1">
        <v>50250022</v>
      </c>
      <c r="B1666" s="3">
        <v>0</v>
      </c>
      <c r="C1666" s="1" t="s">
        <v>2540</v>
      </c>
      <c r="D1666" s="1" t="s">
        <v>9</v>
      </c>
      <c r="E1666" s="1">
        <v>2</v>
      </c>
      <c r="F1666" s="1">
        <v>5</v>
      </c>
      <c r="G1666" s="1">
        <v>25</v>
      </c>
      <c r="H1666" s="10">
        <v>0</v>
      </c>
      <c r="I1666" s="1">
        <v>50000</v>
      </c>
      <c r="J1666" s="1">
        <v>150</v>
      </c>
      <c r="K1666" s="1">
        <v>1500</v>
      </c>
      <c r="L1666" s="1">
        <v>15000</v>
      </c>
      <c r="M1666" s="1" t="s">
        <v>1875</v>
      </c>
      <c r="N1666" s="1" t="s">
        <v>1778</v>
      </c>
      <c r="O1666" s="1">
        <v>1001</v>
      </c>
      <c r="P1666" s="1" t="s">
        <v>2075</v>
      </c>
      <c r="Q1666" s="7" t="s">
        <v>2384</v>
      </c>
    </row>
    <row r="1667" spans="1:17" ht="14.25" thickBot="1">
      <c r="A1667" s="1">
        <v>50300082</v>
      </c>
      <c r="B1667" s="3">
        <v>0</v>
      </c>
      <c r="C1667" s="1" t="s">
        <v>2123</v>
      </c>
      <c r="D1667" s="1" t="s">
        <v>15</v>
      </c>
      <c r="E1667" s="1">
        <v>8</v>
      </c>
      <c r="F1667" s="1">
        <v>5</v>
      </c>
      <c r="G1667" s="1">
        <v>30</v>
      </c>
      <c r="H1667" s="10">
        <v>0</v>
      </c>
      <c r="I1667" s="1">
        <v>60000</v>
      </c>
      <c r="J1667" s="1">
        <v>150</v>
      </c>
      <c r="K1667" s="1">
        <v>1500</v>
      </c>
      <c r="L1667" s="1">
        <v>17500</v>
      </c>
      <c r="M1667" s="1" t="s">
        <v>1892</v>
      </c>
      <c r="N1667" s="1" t="s">
        <v>1780</v>
      </c>
      <c r="O1667" s="1">
        <v>1002</v>
      </c>
      <c r="P1667" s="1" t="s">
        <v>2076</v>
      </c>
      <c r="Q1667" s="7" t="s">
        <v>2401</v>
      </c>
    </row>
    <row r="1668" spans="1:17">
      <c r="A1668" s="1">
        <v>50350102</v>
      </c>
      <c r="B1668" s="1">
        <v>0</v>
      </c>
      <c r="C1668" s="1" t="s">
        <v>2539</v>
      </c>
      <c r="D1668" s="1" t="s">
        <v>17</v>
      </c>
      <c r="E1668" s="1">
        <v>10</v>
      </c>
      <c r="F1668" s="1">
        <v>5</v>
      </c>
      <c r="G1668" s="1">
        <v>35</v>
      </c>
      <c r="H1668" s="10">
        <v>0</v>
      </c>
      <c r="I1668" s="1">
        <v>70000</v>
      </c>
      <c r="J1668" s="1">
        <v>150</v>
      </c>
      <c r="K1668" s="1">
        <v>1500</v>
      </c>
      <c r="L1668" s="1">
        <v>20000</v>
      </c>
      <c r="M1668" s="1" t="s">
        <v>1909</v>
      </c>
      <c r="N1668" s="1" t="s">
        <v>1782</v>
      </c>
      <c r="O1668" s="1">
        <v>1003</v>
      </c>
      <c r="P1668" s="1" t="s">
        <v>2077</v>
      </c>
      <c r="Q1668" s="7" t="s">
        <v>2424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1760"/>
  <sheetViews>
    <sheetView topLeftCell="A73" workbookViewId="0">
      <selection activeCell="A7" sqref="A7"/>
    </sheetView>
  </sheetViews>
  <sheetFormatPr defaultColWidth="9" defaultRowHeight="13.5"/>
  <cols>
    <col min="3" max="3" width="15.5" customWidth="1"/>
    <col min="4" max="4" width="14.875" customWidth="1"/>
    <col min="5" max="5" width="20.5" customWidth="1"/>
    <col min="6" max="6" width="20.625" customWidth="1"/>
    <col min="7" max="7" width="23.125" customWidth="1"/>
    <col min="8" max="8" width="22.75" customWidth="1"/>
    <col min="9" max="9" width="27.75" customWidth="1"/>
    <col min="10" max="10" width="31" customWidth="1"/>
    <col min="11" max="11" width="26" customWidth="1"/>
    <col min="12" max="12" width="28.75" customWidth="1"/>
    <col min="13" max="13" width="21.625" customWidth="1"/>
  </cols>
  <sheetData>
    <row r="1" spans="1:14">
      <c r="A1" s="1" t="s">
        <v>0</v>
      </c>
      <c r="B1" s="5" t="s">
        <v>367</v>
      </c>
      <c r="C1" s="1" t="s">
        <v>1</v>
      </c>
      <c r="D1" t="s">
        <v>365</v>
      </c>
      <c r="E1" t="s">
        <v>365</v>
      </c>
      <c r="F1" s="1" t="s">
        <v>2</v>
      </c>
      <c r="G1" s="1" t="s">
        <v>3</v>
      </c>
      <c r="H1" s="1" t="s">
        <v>4</v>
      </c>
      <c r="I1" s="1" t="s">
        <v>6</v>
      </c>
      <c r="J1" s="1" t="s">
        <v>7</v>
      </c>
      <c r="K1" s="1" t="s">
        <v>26</v>
      </c>
      <c r="L1" s="1" t="s">
        <v>28</v>
      </c>
      <c r="M1" s="7" t="s">
        <v>32</v>
      </c>
      <c r="N1" s="1" t="s">
        <v>2319</v>
      </c>
    </row>
    <row r="2" spans="1:14">
      <c r="A2" s="1" t="str">
        <f>equip.xml!A6</f>
        <v>10010010</v>
      </c>
      <c r="B2" s="1">
        <f>equip.xml!B6</f>
        <v>0</v>
      </c>
      <c r="C2" s="1" t="str">
        <f>equip.xml!C6</f>
        <v>纹饰帽</v>
      </c>
      <c r="D2" s="1" t="str">
        <f>equip.xml!D6</f>
        <v>头盔</v>
      </c>
      <c r="E2" s="1">
        <f>equip.xml!E6</f>
        <v>1</v>
      </c>
      <c r="F2" s="1">
        <f>equip.xml!F6</f>
        <v>1</v>
      </c>
      <c r="G2" s="1">
        <f>equip.xml!G6</f>
        <v>1</v>
      </c>
      <c r="H2" s="1">
        <f>equip.xml!H6</f>
        <v>0</v>
      </c>
      <c r="I2" s="1">
        <f>equip.xml!J6</f>
        <v>5</v>
      </c>
      <c r="J2" s="1">
        <f>equip.xml!K6</f>
        <v>0</v>
      </c>
      <c r="K2" s="1">
        <f>equip.xml!L6</f>
        <v>0</v>
      </c>
      <c r="L2" s="1" t="str">
        <f>equip.xml!M6</f>
        <v>106_0_0</v>
      </c>
      <c r="M2" s="7" t="str">
        <f>equip.xml!Q6</f>
        <v>equipment/3001.png</v>
      </c>
      <c r="N2" t="str">
        <f>equip.xml!P6</f>
        <v>10000_1002_1000,30000_30001_1,30000_30002_1,30000_30003_1</v>
      </c>
    </row>
    <row r="3" spans="1:14">
      <c r="A3" s="1" t="str">
        <f>equip.xml!A7</f>
        <v>10010020</v>
      </c>
      <c r="B3" s="1">
        <f>equip.xml!B7</f>
        <v>0</v>
      </c>
      <c r="C3" s="1" t="str">
        <f>equip.xml!C7</f>
        <v>金戒指</v>
      </c>
      <c r="D3" s="1" t="str">
        <f>equip.xml!D7</f>
        <v>戒指</v>
      </c>
      <c r="E3" s="1">
        <f>equip.xml!E7</f>
        <v>2</v>
      </c>
      <c r="F3" s="1">
        <f>equip.xml!F7</f>
        <v>1</v>
      </c>
      <c r="G3" s="1">
        <f>equip.xml!G7</f>
        <v>1</v>
      </c>
      <c r="H3" s="1">
        <f>equip.xml!H7</f>
        <v>0</v>
      </c>
      <c r="I3" s="1">
        <f>equip.xml!J7</f>
        <v>5</v>
      </c>
      <c r="J3" s="1">
        <f>equip.xml!K7</f>
        <v>0</v>
      </c>
      <c r="K3" s="1">
        <f>equip.xml!L7</f>
        <v>0</v>
      </c>
      <c r="L3" s="1" t="str">
        <f>equip.xml!M7</f>
        <v>102_20_20</v>
      </c>
      <c r="M3" s="7" t="str">
        <f>equip.xml!Q7</f>
        <v>equipment/14001.png</v>
      </c>
      <c r="N3" t="str">
        <f>equip.xml!P7</f>
        <v>10000_1002_1000,30000_30001_1,30000_30002_1,30000_30003_1</v>
      </c>
    </row>
    <row r="4" spans="1:14">
      <c r="A4" s="1" t="str">
        <f>equip.xml!A8</f>
        <v>10010030</v>
      </c>
      <c r="B4" s="1">
        <f>equip.xml!B8</f>
        <v>0</v>
      </c>
      <c r="C4" s="1" t="str">
        <f>equip.xml!C8</f>
        <v>兽皮腰带</v>
      </c>
      <c r="D4" s="1" t="str">
        <f>equip.xml!D8</f>
        <v>腰带</v>
      </c>
      <c r="E4" s="1">
        <f>equip.xml!E8</f>
        <v>3</v>
      </c>
      <c r="F4" s="1">
        <f>equip.xml!F8</f>
        <v>1</v>
      </c>
      <c r="G4" s="1">
        <f>equip.xml!G8</f>
        <v>1</v>
      </c>
      <c r="H4" s="1">
        <f>equip.xml!H8</f>
        <v>0</v>
      </c>
      <c r="I4" s="1">
        <f>equip.xml!J8</f>
        <v>5</v>
      </c>
      <c r="J4" s="1">
        <f>equip.xml!K8</f>
        <v>0</v>
      </c>
      <c r="K4" s="1">
        <f>equip.xml!L8</f>
        <v>0</v>
      </c>
      <c r="L4" s="1" t="str">
        <f>equip.xml!M8</f>
        <v>101_100_100</v>
      </c>
      <c r="M4" s="7" t="str">
        <f>equip.xml!Q8</f>
        <v>equipment/6001.png</v>
      </c>
      <c r="N4" t="str">
        <f>equip.xml!P8</f>
        <v>10000_1002_1000,30000_30001_1,30000_30002_1,30000_30003_1</v>
      </c>
    </row>
    <row r="5" spans="1:14">
      <c r="A5" s="1" t="str">
        <f>equip.xml!A9</f>
        <v>10010080</v>
      </c>
      <c r="B5" s="1">
        <f>equip.xml!B9</f>
        <v>1</v>
      </c>
      <c r="C5" s="1" t="str">
        <f>equip.xml!C9</f>
        <v>皮靴</v>
      </c>
      <c r="D5" s="1" t="str">
        <f>equip.xml!D9</f>
        <v>鞋子</v>
      </c>
      <c r="E5" s="1">
        <f>equip.xml!E9</f>
        <v>8</v>
      </c>
      <c r="F5" s="1">
        <f>equip.xml!F9</f>
        <v>1</v>
      </c>
      <c r="G5" s="1">
        <f>equip.xml!G9</f>
        <v>1</v>
      </c>
      <c r="H5" s="1">
        <f>equip.xml!H9</f>
        <v>0</v>
      </c>
      <c r="I5" s="1">
        <f>equip.xml!J9</f>
        <v>5</v>
      </c>
      <c r="J5" s="1">
        <f>equip.xml!K9</f>
        <v>0</v>
      </c>
      <c r="K5" s="1">
        <f>equip.xml!L9</f>
        <v>0</v>
      </c>
      <c r="L5" s="1" t="str">
        <f>equip.xml!M9</f>
        <v>110_4_4</v>
      </c>
      <c r="M5" s="7" t="str">
        <f>equip.xml!Q9</f>
        <v>equipment/8001.png</v>
      </c>
      <c r="N5" t="str">
        <f>equip.xml!P9</f>
        <v>10000_1002_1000,30000_30001_1,30000_30002_1,30000_30003_1</v>
      </c>
    </row>
    <row r="6" spans="1:14">
      <c r="A6" s="1" t="str">
        <f>equip.xml!A10</f>
        <v>10010090</v>
      </c>
      <c r="B6" s="1">
        <f>equip.xml!B10</f>
        <v>1</v>
      </c>
      <c r="C6" s="1" t="str">
        <f>equip.xml!C10</f>
        <v>轻布手套</v>
      </c>
      <c r="D6" s="1" t="str">
        <f>equip.xml!D10</f>
        <v>手套</v>
      </c>
      <c r="E6" s="1">
        <f>equip.xml!E10</f>
        <v>9</v>
      </c>
      <c r="F6" s="1">
        <f>equip.xml!F10</f>
        <v>1</v>
      </c>
      <c r="G6" s="1">
        <f>equip.xml!G10</f>
        <v>1</v>
      </c>
      <c r="H6" s="1">
        <f>equip.xml!H10</f>
        <v>0</v>
      </c>
      <c r="I6" s="1">
        <f>equip.xml!J10</f>
        <v>5</v>
      </c>
      <c r="J6" s="1">
        <f>equip.xml!K10</f>
        <v>0</v>
      </c>
      <c r="K6" s="1">
        <f>equip.xml!L10</f>
        <v>0</v>
      </c>
      <c r="L6" s="1" t="str">
        <f>equip.xml!M10</f>
        <v>108_9_9</v>
      </c>
      <c r="M6" s="7" t="str">
        <f>equip.xml!Q10</f>
        <v>equipment/10001.png</v>
      </c>
      <c r="N6" t="str">
        <f>equip.xml!P10</f>
        <v>10000_1002_1000,30000_30001_1,30000_30002_1,30000_30003_1</v>
      </c>
    </row>
    <row r="7" spans="1:14">
      <c r="A7" s="1" t="str">
        <f>equip.xml!A11</f>
        <v>10010100</v>
      </c>
      <c r="B7" s="1">
        <f>equip.xml!B11</f>
        <v>0</v>
      </c>
      <c r="C7" s="1" t="str">
        <f>equip.xml!C11</f>
        <v>贝壳项链</v>
      </c>
      <c r="D7" s="1" t="str">
        <f>equip.xml!D11</f>
        <v>项链</v>
      </c>
      <c r="E7" s="1">
        <f>equip.xml!E11</f>
        <v>10</v>
      </c>
      <c r="F7" s="1">
        <f>equip.xml!F11</f>
        <v>1</v>
      </c>
      <c r="G7" s="1">
        <f>equip.xml!G11</f>
        <v>1</v>
      </c>
      <c r="H7" s="1">
        <f>equip.xml!H11</f>
        <v>0</v>
      </c>
      <c r="I7" s="1">
        <f>equip.xml!J11</f>
        <v>5</v>
      </c>
      <c r="J7" s="1">
        <f>equip.xml!K11</f>
        <v>0</v>
      </c>
      <c r="K7" s="1">
        <f>equip.xml!L11</f>
        <v>0</v>
      </c>
      <c r="L7" s="1" t="str">
        <f>equip.xml!M11</f>
        <v>107_0_0</v>
      </c>
      <c r="M7" s="7" t="str">
        <f>equip.xml!Q11</f>
        <v>equipment/12001.png</v>
      </c>
      <c r="N7" t="str">
        <f>equip.xml!P11</f>
        <v>10000_1002_1000,30000_30001_1,30000_30002_1,30000_30003_1</v>
      </c>
    </row>
    <row r="8" spans="1:14">
      <c r="A8" s="1" t="str">
        <f>equip.xml!A12</f>
        <v>10011050</v>
      </c>
      <c r="B8" s="1">
        <f>equip.xml!B12</f>
        <v>1</v>
      </c>
      <c r="C8" s="1" t="str">
        <f>equip.xml!C12</f>
        <v>短剑</v>
      </c>
      <c r="D8" s="1" t="str">
        <f>equip.xml!D12</f>
        <v>主手武器</v>
      </c>
      <c r="E8" s="1">
        <f>equip.xml!E12</f>
        <v>5</v>
      </c>
      <c r="F8" s="1">
        <f>equip.xml!F12</f>
        <v>1</v>
      </c>
      <c r="G8" s="1">
        <f>equip.xml!G12</f>
        <v>1</v>
      </c>
      <c r="H8" s="1" t="str">
        <f>equip.xml!H12</f>
        <v>1,1001</v>
      </c>
      <c r="I8" s="1">
        <f>equip.xml!J12</f>
        <v>5</v>
      </c>
      <c r="J8" s="1">
        <f>equip.xml!K12</f>
        <v>0</v>
      </c>
      <c r="K8" s="1">
        <f>equip.xml!L12</f>
        <v>0</v>
      </c>
      <c r="L8" s="1" t="str">
        <f>equip.xml!M12</f>
        <v>103_2_2,104_6_6</v>
      </c>
      <c r="M8" s="7" t="str">
        <f>equip.xml!Q12</f>
        <v>equipment/1101.png</v>
      </c>
      <c r="N8" t="str">
        <f>equip.xml!P12</f>
        <v>10000_1002_1000,30000_30001_1,30000_30002_1,30000_30003_1</v>
      </c>
    </row>
    <row r="9" spans="1:14">
      <c r="A9" s="1" t="str">
        <f>equip.xml!A13</f>
        <v>10011051</v>
      </c>
      <c r="B9" s="1">
        <f>equip.xml!B13</f>
        <v>1</v>
      </c>
      <c r="C9" s="1" t="str">
        <f>equip.xml!C13</f>
        <v>军刀</v>
      </c>
      <c r="D9" s="1" t="str">
        <f>equip.xml!D13</f>
        <v>主手武器</v>
      </c>
      <c r="E9" s="1">
        <f>equip.xml!E13</f>
        <v>5</v>
      </c>
      <c r="F9" s="1">
        <f>equip.xml!F13</f>
        <v>1</v>
      </c>
      <c r="G9" s="1">
        <f>equip.xml!G13</f>
        <v>1</v>
      </c>
      <c r="H9" s="1" t="str">
        <f>equip.xml!H13</f>
        <v>1,1001</v>
      </c>
      <c r="I9" s="1">
        <f>equip.xml!J13</f>
        <v>5</v>
      </c>
      <c r="J9" s="1">
        <f>equip.xml!K13</f>
        <v>0</v>
      </c>
      <c r="K9" s="1">
        <f>equip.xml!L13</f>
        <v>0</v>
      </c>
      <c r="L9" s="1" t="str">
        <f>equip.xml!M13</f>
        <v>103_5_5,104_12_12</v>
      </c>
      <c r="M9" s="7" t="str">
        <f>equip.xml!Q13</f>
        <v>equipment/1102.png</v>
      </c>
      <c r="N9" t="str">
        <f>equip.xml!P13</f>
        <v>10000_1002_1000,30000_30001_1,30000_30002_1,30000_30003_1</v>
      </c>
    </row>
    <row r="10" spans="1:14">
      <c r="A10" s="1" t="str">
        <f>equip.xml!A14</f>
        <v>10011060</v>
      </c>
      <c r="B10" s="1">
        <f>equip.xml!B14</f>
        <v>1</v>
      </c>
      <c r="C10" s="1" t="str">
        <f>equip.xml!C14</f>
        <v>小圆盾</v>
      </c>
      <c r="D10" s="1" t="str">
        <f>equip.xml!D14</f>
        <v>副手武器</v>
      </c>
      <c r="E10" s="1">
        <f>equip.xml!E14</f>
        <v>6</v>
      </c>
      <c r="F10" s="1">
        <f>equip.xml!F14</f>
        <v>1</v>
      </c>
      <c r="G10" s="1">
        <f>equip.xml!G14</f>
        <v>1</v>
      </c>
      <c r="H10" s="1" t="str">
        <f>equip.xml!H14</f>
        <v>1,1001</v>
      </c>
      <c r="I10" s="1">
        <f>equip.xml!J14</f>
        <v>5</v>
      </c>
      <c r="J10" s="1">
        <f>equip.xml!K14</f>
        <v>0</v>
      </c>
      <c r="K10" s="1">
        <f>equip.xml!L14</f>
        <v>0</v>
      </c>
      <c r="L10" s="1" t="str">
        <f>equip.xml!M14</f>
        <v>105_4_4</v>
      </c>
      <c r="M10" s="7" t="str">
        <f>equip.xml!Q14</f>
        <v>equipment/2101.png</v>
      </c>
      <c r="N10" t="str">
        <f>equip.xml!P14</f>
        <v>10000_1002_1000,30000_30001_1,30000_30002_1,30000_30003_1</v>
      </c>
    </row>
    <row r="11" spans="1:14">
      <c r="A11" s="1" t="str">
        <f>equip.xml!A15</f>
        <v>10011061</v>
      </c>
      <c r="B11" s="1">
        <f>equip.xml!B15</f>
        <v>0</v>
      </c>
      <c r="C11" s="1" t="str">
        <f>equip.xml!C15</f>
        <v>尖头盾</v>
      </c>
      <c r="D11" s="1" t="str">
        <f>equip.xml!D15</f>
        <v>副手武器</v>
      </c>
      <c r="E11" s="1">
        <f>equip.xml!E15</f>
        <v>6</v>
      </c>
      <c r="F11" s="1">
        <f>equip.xml!F15</f>
        <v>1</v>
      </c>
      <c r="G11" s="1">
        <f>equip.xml!G15</f>
        <v>1</v>
      </c>
      <c r="H11" s="1" t="str">
        <f>equip.xml!H15</f>
        <v>1,1001</v>
      </c>
      <c r="I11" s="1">
        <f>equip.xml!J15</f>
        <v>5</v>
      </c>
      <c r="J11" s="1">
        <f>equip.xml!K15</f>
        <v>0</v>
      </c>
      <c r="K11" s="1">
        <f>equip.xml!L15</f>
        <v>0</v>
      </c>
      <c r="L11" s="1" t="str">
        <f>equip.xml!M15</f>
        <v>105_7_7</v>
      </c>
      <c r="M11" s="7" t="str">
        <f>equip.xml!Q15</f>
        <v>equipment/2101.png</v>
      </c>
      <c r="N11" t="str">
        <f>equip.xml!P15</f>
        <v>10000_1002_1000,30000_30001_1,30000_30002_1,30000_30003_1</v>
      </c>
    </row>
    <row r="12" spans="1:14">
      <c r="A12" s="1" t="str">
        <f>equip.xml!A16</f>
        <v>10012050</v>
      </c>
      <c r="B12" s="1">
        <f>equip.xml!B16</f>
        <v>1</v>
      </c>
      <c r="C12" s="1" t="str">
        <f>equip.xml!C16</f>
        <v>短弓</v>
      </c>
      <c r="D12" s="1" t="str">
        <f>equip.xml!D16</f>
        <v>主手武器</v>
      </c>
      <c r="E12" s="1">
        <f>equip.xml!E16</f>
        <v>5</v>
      </c>
      <c r="F12" s="1">
        <f>equip.xml!F16</f>
        <v>1</v>
      </c>
      <c r="G12" s="1">
        <f>equip.xml!G16</f>
        <v>1</v>
      </c>
      <c r="H12" s="1" t="str">
        <f>equip.xml!H16</f>
        <v>2,1002</v>
      </c>
      <c r="I12" s="1">
        <f>equip.xml!J16</f>
        <v>5</v>
      </c>
      <c r="J12" s="1">
        <f>equip.xml!K16</f>
        <v>0</v>
      </c>
      <c r="K12" s="1">
        <f>equip.xml!L16</f>
        <v>0</v>
      </c>
      <c r="L12" s="1" t="str">
        <f>equip.xml!M16</f>
        <v>103_2_2,104_6_6</v>
      </c>
      <c r="M12" s="7" t="str">
        <f>equip.xml!Q16</f>
        <v>equipment/1201.png</v>
      </c>
      <c r="N12" t="str">
        <f>equip.xml!P16</f>
        <v>10000_1002_1000,30000_30001_1,30000_30002_1,30000_30003_1</v>
      </c>
    </row>
    <row r="13" spans="1:14">
      <c r="A13" s="1" t="str">
        <f>equip.xml!A17</f>
        <v>10012051</v>
      </c>
      <c r="B13" s="1">
        <f>equip.xml!B17</f>
        <v>1</v>
      </c>
      <c r="C13" s="1" t="str">
        <f>equip.xml!C17</f>
        <v>棘木弓</v>
      </c>
      <c r="D13" s="1" t="str">
        <f>equip.xml!D17</f>
        <v>主手武器</v>
      </c>
      <c r="E13" s="1">
        <f>equip.xml!E17</f>
        <v>5</v>
      </c>
      <c r="F13" s="1">
        <f>equip.xml!F17</f>
        <v>1</v>
      </c>
      <c r="G13" s="1">
        <f>equip.xml!G17</f>
        <v>1</v>
      </c>
      <c r="H13" s="1" t="str">
        <f>equip.xml!H17</f>
        <v>2,1002</v>
      </c>
      <c r="I13" s="1">
        <f>equip.xml!J17</f>
        <v>5</v>
      </c>
      <c r="J13" s="1">
        <f>equip.xml!K17</f>
        <v>0</v>
      </c>
      <c r="K13" s="1">
        <f>equip.xml!L17</f>
        <v>0</v>
      </c>
      <c r="L13" s="1" t="str">
        <f>equip.xml!M17</f>
        <v>103_5_5,104_12_12</v>
      </c>
      <c r="M13" s="7" t="str">
        <f>equip.xml!Q17</f>
        <v>equipment/1202.png</v>
      </c>
      <c r="N13" t="str">
        <f>equip.xml!P17</f>
        <v>10000_1002_1000,30000_30001_1,30000_30002_1,30000_30003_1</v>
      </c>
    </row>
    <row r="14" spans="1:14">
      <c r="A14" s="1" t="str">
        <f>equip.xml!A18</f>
        <v>10012060</v>
      </c>
      <c r="B14" s="1">
        <f>equip.xml!B18</f>
        <v>1</v>
      </c>
      <c r="C14" s="1" t="str">
        <f>equip.xml!C18</f>
        <v>小箭筒</v>
      </c>
      <c r="D14" s="1" t="str">
        <f>equip.xml!D18</f>
        <v>副手武器</v>
      </c>
      <c r="E14" s="1">
        <f>equip.xml!E18</f>
        <v>6</v>
      </c>
      <c r="F14" s="1">
        <f>equip.xml!F18</f>
        <v>1</v>
      </c>
      <c r="G14" s="1">
        <f>equip.xml!G18</f>
        <v>1</v>
      </c>
      <c r="H14" s="1" t="str">
        <f>equip.xml!H18</f>
        <v>2,1002</v>
      </c>
      <c r="I14" s="1">
        <f>equip.xml!J18</f>
        <v>5</v>
      </c>
      <c r="J14" s="1">
        <f>equip.xml!K18</f>
        <v>0</v>
      </c>
      <c r="K14" s="1">
        <f>equip.xml!L18</f>
        <v>0</v>
      </c>
      <c r="L14" s="1" t="str">
        <f>equip.xml!M18</f>
        <v>108_4_4</v>
      </c>
      <c r="M14" s="7" t="str">
        <f>equip.xml!Q18</f>
        <v>equipment/2201.png</v>
      </c>
      <c r="N14" t="str">
        <f>equip.xml!P18</f>
        <v>10000_1002_1000,30000_30001_1,30000_30002_1,30000_30003_1</v>
      </c>
    </row>
    <row r="15" spans="1:14">
      <c r="A15" s="1" t="str">
        <f>equip.xml!A19</f>
        <v>10012061</v>
      </c>
      <c r="B15" s="1">
        <f>equip.xml!B19</f>
        <v>0</v>
      </c>
      <c r="C15" s="1" t="str">
        <f>equip.xml!C19</f>
        <v>箭筒</v>
      </c>
      <c r="D15" s="1" t="str">
        <f>equip.xml!D19</f>
        <v>副手武器</v>
      </c>
      <c r="E15" s="1">
        <f>equip.xml!E19</f>
        <v>6</v>
      </c>
      <c r="F15" s="1">
        <f>equip.xml!F19</f>
        <v>1</v>
      </c>
      <c r="G15" s="1">
        <f>equip.xml!G19</f>
        <v>1</v>
      </c>
      <c r="H15" s="1" t="str">
        <f>equip.xml!H19</f>
        <v>2,1002</v>
      </c>
      <c r="I15" s="1">
        <f>equip.xml!J19</f>
        <v>5</v>
      </c>
      <c r="J15" s="1">
        <f>equip.xml!K19</f>
        <v>0</v>
      </c>
      <c r="K15" s="1">
        <f>equip.xml!L19</f>
        <v>0</v>
      </c>
      <c r="L15" s="1" t="str">
        <f>equip.xml!M19</f>
        <v>108_7_7</v>
      </c>
      <c r="M15" s="7" t="str">
        <f>equip.xml!Q19</f>
        <v>equipment/2201.png</v>
      </c>
      <c r="N15" t="str">
        <f>equip.xml!P19</f>
        <v>10000_1002_1000,30000_30001_1,30000_30002_1,30000_30003_1</v>
      </c>
    </row>
    <row r="16" spans="1:14">
      <c r="A16" s="1" t="str">
        <f>equip.xml!A20</f>
        <v>10013050</v>
      </c>
      <c r="B16" s="1">
        <f>equip.xml!B20</f>
        <v>1</v>
      </c>
      <c r="C16" s="1" t="str">
        <f>equip.xml!C20</f>
        <v>训练用杖</v>
      </c>
      <c r="D16" s="1" t="str">
        <f>equip.xml!D20</f>
        <v>主手武器</v>
      </c>
      <c r="E16" s="1">
        <f>equip.xml!E20</f>
        <v>5</v>
      </c>
      <c r="F16" s="1">
        <f>equip.xml!F20</f>
        <v>1</v>
      </c>
      <c r="G16" s="1">
        <f>equip.xml!G20</f>
        <v>1</v>
      </c>
      <c r="H16" s="1" t="str">
        <f>equip.xml!H20</f>
        <v>3,1003</v>
      </c>
      <c r="I16" s="1">
        <f>equip.xml!J20</f>
        <v>5</v>
      </c>
      <c r="J16" s="1">
        <f>equip.xml!K20</f>
        <v>0</v>
      </c>
      <c r="K16" s="1">
        <f>equip.xml!L20</f>
        <v>0</v>
      </c>
      <c r="L16" s="1" t="str">
        <f>equip.xml!M20</f>
        <v>103_2_2,104_6_6</v>
      </c>
      <c r="M16" s="7" t="str">
        <f>equip.xml!Q20</f>
        <v>equipment/1301.png</v>
      </c>
      <c r="N16" t="str">
        <f>equip.xml!P20</f>
        <v>10000_1002_1000,30000_30001_1,30000_30002_1,30000_30003_1</v>
      </c>
    </row>
    <row r="17" spans="1:14">
      <c r="A17" s="1" t="str">
        <f>equip.xml!A21</f>
        <v>10013051</v>
      </c>
      <c r="B17" s="1">
        <f>equip.xml!B21</f>
        <v>1</v>
      </c>
      <c r="C17" s="1" t="str">
        <f>equip.xml!C21</f>
        <v>学徒法杖</v>
      </c>
      <c r="D17" s="1" t="str">
        <f>equip.xml!D21</f>
        <v>主手武器</v>
      </c>
      <c r="E17" s="1">
        <f>equip.xml!E21</f>
        <v>5</v>
      </c>
      <c r="F17" s="1">
        <f>equip.xml!F21</f>
        <v>1</v>
      </c>
      <c r="G17" s="1">
        <f>equip.xml!G21</f>
        <v>1</v>
      </c>
      <c r="H17" s="1" t="str">
        <f>equip.xml!H21</f>
        <v>3,1003</v>
      </c>
      <c r="I17" s="1">
        <f>equip.xml!J21</f>
        <v>5</v>
      </c>
      <c r="J17" s="1">
        <f>equip.xml!K21</f>
        <v>0</v>
      </c>
      <c r="K17" s="1">
        <f>equip.xml!L21</f>
        <v>0</v>
      </c>
      <c r="L17" s="1" t="str">
        <f>equip.xml!M21</f>
        <v>103_5_5,104_12_12</v>
      </c>
      <c r="M17" s="7" t="str">
        <f>equip.xml!Q21</f>
        <v>equipment/1302.png</v>
      </c>
      <c r="N17" t="str">
        <f>equip.xml!P21</f>
        <v>10000_1002_1000,30000_30001_1,30000_30002_1,30000_30003_1</v>
      </c>
    </row>
    <row r="18" spans="1:14">
      <c r="A18" s="1" t="str">
        <f>equip.xml!A22</f>
        <v>10013060</v>
      </c>
      <c r="B18" s="1">
        <f>equip.xml!B22</f>
        <v>1</v>
      </c>
      <c r="C18" s="1" t="str">
        <f>equip.xml!C22</f>
        <v>学徒手册</v>
      </c>
      <c r="D18" s="1" t="str">
        <f>equip.xml!D22</f>
        <v>副手武器</v>
      </c>
      <c r="E18" s="1">
        <f>equip.xml!E22</f>
        <v>6</v>
      </c>
      <c r="F18" s="1">
        <f>equip.xml!F22</f>
        <v>1</v>
      </c>
      <c r="G18" s="1">
        <f>equip.xml!G22</f>
        <v>1</v>
      </c>
      <c r="H18" s="1" t="str">
        <f>equip.xml!H22</f>
        <v>3,1003</v>
      </c>
      <c r="I18" s="1">
        <f>equip.xml!J22</f>
        <v>5</v>
      </c>
      <c r="J18" s="1">
        <f>equip.xml!K22</f>
        <v>0</v>
      </c>
      <c r="K18" s="1">
        <f>equip.xml!L22</f>
        <v>0</v>
      </c>
      <c r="L18" s="1" t="str">
        <f>equip.xml!M22</f>
        <v>102_30_30</v>
      </c>
      <c r="M18" s="7" t="str">
        <f>equip.xml!Q22</f>
        <v>equipment/2301.png</v>
      </c>
      <c r="N18" t="str">
        <f>equip.xml!P22</f>
        <v>10000_1002_1000,30000_30001_1,30000_30002_1,30000_30003_1</v>
      </c>
    </row>
    <row r="19" spans="1:14">
      <c r="A19" s="1" t="str">
        <f>equip.xml!A23</f>
        <v>10013061</v>
      </c>
      <c r="B19" s="1">
        <f>equip.xml!B23</f>
        <v>0</v>
      </c>
      <c r="C19" s="1" t="str">
        <f>equip.xml!C23</f>
        <v>法术指南</v>
      </c>
      <c r="D19" s="1" t="str">
        <f>equip.xml!D23</f>
        <v>副手武器</v>
      </c>
      <c r="E19" s="1">
        <f>equip.xml!E23</f>
        <v>6</v>
      </c>
      <c r="F19" s="1">
        <f>equip.xml!F23</f>
        <v>1</v>
      </c>
      <c r="G19" s="1">
        <f>equip.xml!G23</f>
        <v>1</v>
      </c>
      <c r="H19" s="1" t="str">
        <f>equip.xml!H23</f>
        <v>3,1003</v>
      </c>
      <c r="I19" s="1">
        <f>equip.xml!J23</f>
        <v>5</v>
      </c>
      <c r="J19" s="1">
        <f>equip.xml!K23</f>
        <v>0</v>
      </c>
      <c r="K19" s="1">
        <f>equip.xml!L23</f>
        <v>0</v>
      </c>
      <c r="L19" s="1" t="str">
        <f>equip.xml!M23</f>
        <v>102_7_7</v>
      </c>
      <c r="M19" s="7" t="str">
        <f>equip.xml!Q23</f>
        <v>equipment/2301.png</v>
      </c>
      <c r="N19" t="str">
        <f>equip.xml!P23</f>
        <v>10000_1002_1000,30000_30001_1,30000_30002_1,30000_30003_1</v>
      </c>
    </row>
    <row r="20" spans="1:14">
      <c r="A20" s="1" t="str">
        <f>equip.xml!A24</f>
        <v>10010040</v>
      </c>
      <c r="B20" s="1">
        <f>equip.xml!B24</f>
        <v>1</v>
      </c>
      <c r="C20" s="1" t="str">
        <f>equip.xml!C24</f>
        <v>新兵外套</v>
      </c>
      <c r="D20" s="1" t="str">
        <f>equip.xml!D24</f>
        <v>胸甲</v>
      </c>
      <c r="E20" s="1">
        <f>equip.xml!E24</f>
        <v>4</v>
      </c>
      <c r="F20" s="1">
        <f>equip.xml!F24</f>
        <v>1</v>
      </c>
      <c r="G20" s="1">
        <f>equip.xml!G24</f>
        <v>1</v>
      </c>
      <c r="H20" s="1">
        <f>equip.xml!H24</f>
        <v>0</v>
      </c>
      <c r="I20" s="1">
        <f>equip.xml!J24</f>
        <v>5</v>
      </c>
      <c r="J20" s="1">
        <f>equip.xml!K24</f>
        <v>0</v>
      </c>
      <c r="K20" s="1">
        <f>equip.xml!L24</f>
        <v>0</v>
      </c>
      <c r="L20" s="1" t="str">
        <f>equip.xml!M24</f>
        <v>105_3_3</v>
      </c>
      <c r="M20" s="7" t="str">
        <f>equip.xml!Q24</f>
        <v>equipment/5001.png</v>
      </c>
      <c r="N20" t="str">
        <f>equip.xml!P24</f>
        <v>10000_1002_1000,30000_30001_1,30000_30002_1,30000_30003_1</v>
      </c>
    </row>
    <row r="21" spans="1:14">
      <c r="A21" s="1" t="str">
        <f>equip.xml!A25</f>
        <v>10010041</v>
      </c>
      <c r="B21" s="1">
        <f>equip.xml!B25</f>
        <v>0</v>
      </c>
      <c r="C21" s="1" t="str">
        <f>equip.xml!C25</f>
        <v>新兵外套</v>
      </c>
      <c r="D21" s="1" t="str">
        <f>equip.xml!D25</f>
        <v>胸甲</v>
      </c>
      <c r="E21" s="1">
        <f>equip.xml!E25</f>
        <v>4</v>
      </c>
      <c r="F21" s="1">
        <f>equip.xml!F25</f>
        <v>1</v>
      </c>
      <c r="G21" s="1">
        <f>equip.xml!G25</f>
        <v>1</v>
      </c>
      <c r="H21" s="1">
        <f>equip.xml!H25</f>
        <v>0</v>
      </c>
      <c r="I21" s="1">
        <f>equip.xml!J25</f>
        <v>5</v>
      </c>
      <c r="J21" s="1">
        <f>equip.xml!K25</f>
        <v>0</v>
      </c>
      <c r="K21" s="1">
        <f>equip.xml!L25</f>
        <v>0</v>
      </c>
      <c r="L21" s="1" t="str">
        <f>equip.xml!M25</f>
        <v>105_5_5</v>
      </c>
      <c r="M21" s="7" t="str">
        <f>equip.xml!Q25</f>
        <v>equipment/5001.png</v>
      </c>
      <c r="N21" t="str">
        <f>equip.xml!P25</f>
        <v>10000_1002_1000,30000_30001_1,30000_30002_1,30000_30003_1</v>
      </c>
    </row>
    <row r="22" spans="1:14">
      <c r="A22" s="1" t="str">
        <f>equip.xml!A26</f>
        <v>10010070</v>
      </c>
      <c r="B22" s="1">
        <f>equip.xml!B26</f>
        <v>0</v>
      </c>
      <c r="C22" s="1" t="str">
        <f>equip.xml!C26</f>
        <v>皮甲短裤</v>
      </c>
      <c r="D22" s="1" t="str">
        <f>equip.xml!D26</f>
        <v>护腿</v>
      </c>
      <c r="E22" s="1">
        <f>equip.xml!E26</f>
        <v>7</v>
      </c>
      <c r="F22" s="1">
        <f>equip.xml!F26</f>
        <v>1</v>
      </c>
      <c r="G22" s="1">
        <f>equip.xml!G26</f>
        <v>1</v>
      </c>
      <c r="H22" s="1">
        <f>equip.xml!H26</f>
        <v>0</v>
      </c>
      <c r="I22" s="1">
        <f>equip.xml!J26</f>
        <v>5</v>
      </c>
      <c r="J22" s="1">
        <f>equip.xml!K26</f>
        <v>0</v>
      </c>
      <c r="K22" s="1">
        <f>equip.xml!L26</f>
        <v>0</v>
      </c>
      <c r="L22" s="1" t="str">
        <f>equip.xml!M26</f>
        <v>105_0_0</v>
      </c>
      <c r="M22" s="7" t="str">
        <f>equip.xml!Q26</f>
        <v>equipment/7001.png</v>
      </c>
      <c r="N22" t="str">
        <f>equip.xml!P26</f>
        <v>10000_1002_1000,30000_30001_1,30000_30002_1,30000_30003_1</v>
      </c>
    </row>
    <row r="23" spans="1:14">
      <c r="A23" s="1" t="str">
        <f>equip.xml!A27</f>
        <v>10010071</v>
      </c>
      <c r="B23" s="1">
        <f>equip.xml!B27</f>
        <v>0</v>
      </c>
      <c r="C23" s="1" t="str">
        <f>equip.xml!C27</f>
        <v>学徒短裤</v>
      </c>
      <c r="D23" s="1" t="str">
        <f>equip.xml!D27</f>
        <v>护腿</v>
      </c>
      <c r="E23" s="1">
        <f>equip.xml!E27</f>
        <v>7</v>
      </c>
      <c r="F23" s="1">
        <f>equip.xml!F27</f>
        <v>1</v>
      </c>
      <c r="G23" s="1">
        <f>equip.xml!G27</f>
        <v>1</v>
      </c>
      <c r="H23" s="1">
        <f>equip.xml!H27</f>
        <v>0</v>
      </c>
      <c r="I23" s="1">
        <f>equip.xml!J27</f>
        <v>5</v>
      </c>
      <c r="J23" s="1">
        <f>equip.xml!K27</f>
        <v>0</v>
      </c>
      <c r="K23" s="1">
        <f>equip.xml!L27</f>
        <v>0</v>
      </c>
      <c r="L23" s="1" t="str">
        <f>equip.xml!M27</f>
        <v>105_1_1</v>
      </c>
      <c r="M23" s="7" t="str">
        <f>equip.xml!Q27</f>
        <v>equipment/7001.png</v>
      </c>
      <c r="N23" t="str">
        <f>equip.xml!P27</f>
        <v>10000_1002_1000,30000_30001_1,30000_30002_1,30000_30003_1</v>
      </c>
    </row>
    <row r="24" spans="1:14">
      <c r="A24" s="1" t="str">
        <f>equip.xml!A28</f>
        <v>10050010</v>
      </c>
      <c r="B24" s="1">
        <f>equip.xml!B28</f>
        <v>1</v>
      </c>
      <c r="C24" s="1" t="str">
        <f>equip.xml!C28</f>
        <v>纹饰帽</v>
      </c>
      <c r="D24" s="1" t="str">
        <f>equip.xml!D28</f>
        <v>头盔</v>
      </c>
      <c r="E24" s="1">
        <f>equip.xml!E28</f>
        <v>1</v>
      </c>
      <c r="F24" s="1">
        <f>equip.xml!F28</f>
        <v>1</v>
      </c>
      <c r="G24" s="1">
        <f>equip.xml!G28</f>
        <v>5</v>
      </c>
      <c r="H24" s="1">
        <f>equip.xml!H28</f>
        <v>0</v>
      </c>
      <c r="I24" s="1">
        <f>equip.xml!J28</f>
        <v>5</v>
      </c>
      <c r="J24" s="1">
        <f>equip.xml!K28</f>
        <v>0</v>
      </c>
      <c r="K24" s="1">
        <f>equip.xml!L28</f>
        <v>0</v>
      </c>
      <c r="L24" s="1" t="str">
        <f>equip.xml!M28</f>
        <v>106_20_20</v>
      </c>
      <c r="M24" s="7" t="str">
        <f>equip.xml!Q28</f>
        <v>equipment/3001.png</v>
      </c>
      <c r="N24" t="str">
        <f>equip.xml!P28</f>
        <v>10000_1002_5000,30000_30001_1,30000_30002_1,30000_30003_1</v>
      </c>
    </row>
    <row r="25" spans="1:14">
      <c r="A25" s="1" t="str">
        <f>equip.xml!A29</f>
        <v>10050020</v>
      </c>
      <c r="B25" s="1">
        <f>equip.xml!B29</f>
        <v>1</v>
      </c>
      <c r="C25" s="1" t="str">
        <f>equip.xml!C29</f>
        <v>金戒指</v>
      </c>
      <c r="D25" s="1" t="str">
        <f>equip.xml!D29</f>
        <v>戒指</v>
      </c>
      <c r="E25" s="1">
        <f>equip.xml!E29</f>
        <v>2</v>
      </c>
      <c r="F25" s="1">
        <f>equip.xml!F29</f>
        <v>1</v>
      </c>
      <c r="G25" s="1">
        <f>equip.xml!G29</f>
        <v>5</v>
      </c>
      <c r="H25" s="1">
        <f>equip.xml!H29</f>
        <v>0</v>
      </c>
      <c r="I25" s="1">
        <f>equip.xml!J29</f>
        <v>5</v>
      </c>
      <c r="J25" s="1">
        <f>equip.xml!K29</f>
        <v>0</v>
      </c>
      <c r="K25" s="1">
        <f>equip.xml!L29</f>
        <v>0</v>
      </c>
      <c r="L25" s="1" t="str">
        <f>equip.xml!M29</f>
        <v>102_80_80</v>
      </c>
      <c r="M25" s="7" t="str">
        <f>equip.xml!Q29</f>
        <v>equipment/14001.png</v>
      </c>
      <c r="N25" t="str">
        <f>equip.xml!P29</f>
        <v>10000_1002_5000,30000_30001_1,30000_30002_1,30000_30003_1</v>
      </c>
    </row>
    <row r="26" spans="1:14">
      <c r="A26" s="1" t="str">
        <f>equip.xml!A30</f>
        <v>10050030</v>
      </c>
      <c r="B26" s="1">
        <f>equip.xml!B30</f>
        <v>1</v>
      </c>
      <c r="C26" s="1" t="str">
        <f>equip.xml!C30</f>
        <v>兽皮腰带</v>
      </c>
      <c r="D26" s="1" t="str">
        <f>equip.xml!D30</f>
        <v>腰带</v>
      </c>
      <c r="E26" s="1">
        <f>equip.xml!E30</f>
        <v>3</v>
      </c>
      <c r="F26" s="1">
        <f>equip.xml!F30</f>
        <v>1</v>
      </c>
      <c r="G26" s="1">
        <f>equip.xml!G30</f>
        <v>5</v>
      </c>
      <c r="H26" s="1">
        <f>equip.xml!H30</f>
        <v>0</v>
      </c>
      <c r="I26" s="1">
        <f>equip.xml!J30</f>
        <v>5</v>
      </c>
      <c r="J26" s="1">
        <f>equip.xml!K30</f>
        <v>0</v>
      </c>
      <c r="K26" s="1">
        <f>equip.xml!L30</f>
        <v>0</v>
      </c>
      <c r="L26" s="1" t="str">
        <f>equip.xml!M30</f>
        <v>101_100_100</v>
      </c>
      <c r="M26" s="7" t="str">
        <f>equip.xml!Q30</f>
        <v>equipment/6001.png</v>
      </c>
      <c r="N26" t="str">
        <f>equip.xml!P30</f>
        <v>10000_1002_5000,30000_30001_1,30000_30002_1,30000_30003_1</v>
      </c>
    </row>
    <row r="27" spans="1:14">
      <c r="A27" s="1" t="str">
        <f>equip.xml!A31</f>
        <v>10050080</v>
      </c>
      <c r="B27" s="1">
        <f>equip.xml!B31</f>
        <v>0</v>
      </c>
      <c r="C27" s="1" t="str">
        <f>equip.xml!C31</f>
        <v>皮靴</v>
      </c>
      <c r="D27" s="1" t="str">
        <f>equip.xml!D31</f>
        <v>鞋子</v>
      </c>
      <c r="E27" s="1">
        <f>equip.xml!E31</f>
        <v>8</v>
      </c>
      <c r="F27" s="1">
        <f>equip.xml!F31</f>
        <v>1</v>
      </c>
      <c r="G27" s="1">
        <f>equip.xml!G31</f>
        <v>5</v>
      </c>
      <c r="H27" s="1">
        <f>equip.xml!H31</f>
        <v>0</v>
      </c>
      <c r="I27" s="1">
        <f>equip.xml!J31</f>
        <v>5</v>
      </c>
      <c r="J27" s="1">
        <f>equip.xml!K31</f>
        <v>0</v>
      </c>
      <c r="K27" s="1">
        <f>equip.xml!L31</f>
        <v>0</v>
      </c>
      <c r="L27" s="1" t="str">
        <f>equip.xml!M31</f>
        <v>110_7_7</v>
      </c>
      <c r="M27" s="7" t="str">
        <f>equip.xml!Q31</f>
        <v>equipment/8001.png</v>
      </c>
      <c r="N27" t="str">
        <f>equip.xml!P31</f>
        <v>10000_1002_5000,30000_30001_1,30000_30002_1,30000_30003_1</v>
      </c>
    </row>
    <row r="28" spans="1:14">
      <c r="A28" s="1" t="str">
        <f>equip.xml!A32</f>
        <v>10050090</v>
      </c>
      <c r="B28" s="1">
        <f>equip.xml!B32</f>
        <v>0</v>
      </c>
      <c r="C28" s="1" t="str">
        <f>equip.xml!C32</f>
        <v>轻布手套</v>
      </c>
      <c r="D28" s="1" t="str">
        <f>equip.xml!D32</f>
        <v>手套</v>
      </c>
      <c r="E28" s="1">
        <f>equip.xml!E32</f>
        <v>9</v>
      </c>
      <c r="F28" s="1">
        <f>equip.xml!F32</f>
        <v>1</v>
      </c>
      <c r="G28" s="1">
        <f>equip.xml!G32</f>
        <v>5</v>
      </c>
      <c r="H28" s="1">
        <f>equip.xml!H32</f>
        <v>0</v>
      </c>
      <c r="I28" s="1">
        <f>equip.xml!J32</f>
        <v>5</v>
      </c>
      <c r="J28" s="1">
        <f>equip.xml!K32</f>
        <v>0</v>
      </c>
      <c r="K28" s="1">
        <f>equip.xml!L32</f>
        <v>0</v>
      </c>
      <c r="L28" s="1" t="str">
        <f>equip.xml!M32</f>
        <v>108_23_23</v>
      </c>
      <c r="M28" s="7" t="str">
        <f>equip.xml!Q32</f>
        <v>equipment/10001.png</v>
      </c>
      <c r="N28" t="str">
        <f>equip.xml!P32</f>
        <v>10000_1002_5000,30000_30001_1,30000_30002_1,30000_30003_1</v>
      </c>
    </row>
    <row r="29" spans="1:14">
      <c r="A29" s="1" t="str">
        <f>equip.xml!A33</f>
        <v>10050100</v>
      </c>
      <c r="B29" s="1">
        <f>equip.xml!B33</f>
        <v>1</v>
      </c>
      <c r="C29" s="1" t="str">
        <f>equip.xml!C33</f>
        <v>贝壳项链</v>
      </c>
      <c r="D29" s="1" t="str">
        <f>equip.xml!D33</f>
        <v>项链</v>
      </c>
      <c r="E29" s="1">
        <f>equip.xml!E33</f>
        <v>10</v>
      </c>
      <c r="F29" s="1">
        <f>equip.xml!F33</f>
        <v>1</v>
      </c>
      <c r="G29" s="1">
        <f>equip.xml!G33</f>
        <v>5</v>
      </c>
      <c r="H29" s="1">
        <f>equip.xml!H33</f>
        <v>0</v>
      </c>
      <c r="I29" s="1">
        <f>equip.xml!J33</f>
        <v>5</v>
      </c>
      <c r="J29" s="1">
        <f>equip.xml!K33</f>
        <v>0</v>
      </c>
      <c r="K29" s="1">
        <f>equip.xml!L33</f>
        <v>0</v>
      </c>
      <c r="L29" s="1" t="str">
        <f>equip.xml!M33</f>
        <v>107_20_20</v>
      </c>
      <c r="M29" s="7" t="str">
        <f>equip.xml!Q33</f>
        <v>equipment/12001.png</v>
      </c>
      <c r="N29" t="str">
        <f>equip.xml!P33</f>
        <v>10000_1002_5000,30000_30001_1,30000_30002_1,30000_30003_1</v>
      </c>
    </row>
    <row r="30" spans="1:14">
      <c r="A30" s="1" t="str">
        <f>equip.xml!A34</f>
        <v>10051050</v>
      </c>
      <c r="B30" s="1">
        <f>equip.xml!B34</f>
        <v>1</v>
      </c>
      <c r="C30" s="1" t="str">
        <f>equip.xml!C34</f>
        <v>长剑</v>
      </c>
      <c r="D30" s="1" t="str">
        <f>equip.xml!D34</f>
        <v>主手武器</v>
      </c>
      <c r="E30" s="1">
        <f>equip.xml!E34</f>
        <v>5</v>
      </c>
      <c r="F30" s="1">
        <f>equip.xml!F34</f>
        <v>1</v>
      </c>
      <c r="G30" s="1">
        <f>equip.xml!G34</f>
        <v>5</v>
      </c>
      <c r="H30" s="1" t="str">
        <f>equip.xml!H34</f>
        <v>1,1001</v>
      </c>
      <c r="I30" s="1">
        <f>equip.xml!J34</f>
        <v>5</v>
      </c>
      <c r="J30" s="1">
        <f>equip.xml!K34</f>
        <v>0</v>
      </c>
      <c r="K30" s="1">
        <f>equip.xml!L34</f>
        <v>0</v>
      </c>
      <c r="L30" s="1" t="str">
        <f>equip.xml!M34</f>
        <v>103_10_10,104_20_20</v>
      </c>
      <c r="M30" s="7" t="str">
        <f>equip.xml!Q34</f>
        <v>equipment/1103.png</v>
      </c>
      <c r="N30" t="str">
        <f>equip.xml!P34</f>
        <v>10000_1002_5000,30000_30001_1,30000_30002_1,30000_30003_1</v>
      </c>
    </row>
    <row r="31" spans="1:14">
      <c r="A31" s="1" t="str">
        <f>equip.xml!A35</f>
        <v>10051051</v>
      </c>
      <c r="B31" s="1">
        <f>equip.xml!B35</f>
        <v>1</v>
      </c>
      <c r="C31" s="1" t="str">
        <f>equip.xml!C35</f>
        <v>双刃剑</v>
      </c>
      <c r="D31" s="1" t="str">
        <f>equip.xml!D35</f>
        <v>主手武器</v>
      </c>
      <c r="E31" s="1">
        <f>equip.xml!E35</f>
        <v>5</v>
      </c>
      <c r="F31" s="1">
        <f>equip.xml!F35</f>
        <v>1</v>
      </c>
      <c r="G31" s="1">
        <f>equip.xml!G35</f>
        <v>5</v>
      </c>
      <c r="H31" s="1" t="str">
        <f>equip.xml!H35</f>
        <v>1,1001</v>
      </c>
      <c r="I31" s="1">
        <f>equip.xml!J35</f>
        <v>5</v>
      </c>
      <c r="J31" s="1">
        <f>equip.xml!K35</f>
        <v>0</v>
      </c>
      <c r="K31" s="1">
        <f>equip.xml!L35</f>
        <v>0</v>
      </c>
      <c r="L31" s="1" t="str">
        <f>equip.xml!M35</f>
        <v>103_18_18,104_38_38</v>
      </c>
      <c r="M31" s="7" t="str">
        <f>equip.xml!Q35</f>
        <v>equipment/1104.png</v>
      </c>
      <c r="N31" t="str">
        <f>equip.xml!P35</f>
        <v>10000_1002_5000,30000_30001_1,30000_30002_1,30000_30003_1</v>
      </c>
    </row>
    <row r="32" spans="1:14">
      <c r="A32" s="1" t="str">
        <f>equip.xml!A36</f>
        <v>10051060</v>
      </c>
      <c r="B32" s="1">
        <f>equip.xml!B36</f>
        <v>1</v>
      </c>
      <c r="C32" s="1" t="str">
        <f>equip.xml!C36</f>
        <v>尖头盾</v>
      </c>
      <c r="D32" s="1" t="str">
        <f>equip.xml!D36</f>
        <v>副手武器</v>
      </c>
      <c r="E32" s="1">
        <f>equip.xml!E36</f>
        <v>6</v>
      </c>
      <c r="F32" s="1">
        <f>equip.xml!F36</f>
        <v>1</v>
      </c>
      <c r="G32" s="1">
        <f>equip.xml!G36</f>
        <v>5</v>
      </c>
      <c r="H32" s="1" t="str">
        <f>equip.xml!H36</f>
        <v>1,1001</v>
      </c>
      <c r="I32" s="1">
        <f>equip.xml!J36</f>
        <v>5</v>
      </c>
      <c r="J32" s="1">
        <f>equip.xml!K36</f>
        <v>0</v>
      </c>
      <c r="K32" s="1">
        <f>equip.xml!L36</f>
        <v>0</v>
      </c>
      <c r="L32" s="1" t="str">
        <f>equip.xml!M36</f>
        <v>105_12_12</v>
      </c>
      <c r="M32" s="7" t="str">
        <f>equip.xml!Q36</f>
        <v>equipment/2102.png</v>
      </c>
      <c r="N32" t="str">
        <f>equip.xml!P36</f>
        <v>10000_1002_5000,30000_30001_1,30000_30002_1,30000_30003_1</v>
      </c>
    </row>
    <row r="33" spans="1:14">
      <c r="A33" s="1" t="str">
        <f>equip.xml!A37</f>
        <v>10051061</v>
      </c>
      <c r="B33" s="1">
        <f>equip.xml!B37</f>
        <v>0</v>
      </c>
      <c r="C33" s="1" t="str">
        <f>equip.xml!C37</f>
        <v>尖头盾</v>
      </c>
      <c r="D33" s="1" t="str">
        <f>equip.xml!D37</f>
        <v>副手武器</v>
      </c>
      <c r="E33" s="1">
        <f>equip.xml!E37</f>
        <v>6</v>
      </c>
      <c r="F33" s="1">
        <f>equip.xml!F37</f>
        <v>1</v>
      </c>
      <c r="G33" s="1">
        <f>equip.xml!G37</f>
        <v>5</v>
      </c>
      <c r="H33" s="1" t="str">
        <f>equip.xml!H37</f>
        <v>1,1001</v>
      </c>
      <c r="I33" s="1">
        <f>equip.xml!J37</f>
        <v>5</v>
      </c>
      <c r="J33" s="1">
        <f>equip.xml!K37</f>
        <v>0</v>
      </c>
      <c r="K33" s="1">
        <f>equip.xml!L37</f>
        <v>0</v>
      </c>
      <c r="L33" s="1" t="str">
        <f>equip.xml!M37</f>
        <v>105_19_19</v>
      </c>
      <c r="M33" s="7" t="str">
        <f>equip.xml!Q37</f>
        <v>equipment/2101.png</v>
      </c>
      <c r="N33" t="str">
        <f>equip.xml!P37</f>
        <v>10000_1002_5000,30000_30001_1,30000_30002_1,30000_30003_1</v>
      </c>
    </row>
    <row r="34" spans="1:14">
      <c r="A34" s="1" t="str">
        <f>equip.xml!A38</f>
        <v>10052050</v>
      </c>
      <c r="B34" s="1">
        <f>equip.xml!B38</f>
        <v>1</v>
      </c>
      <c r="C34" s="1" t="str">
        <f>equip.xml!C38</f>
        <v>硬弓</v>
      </c>
      <c r="D34" s="1" t="str">
        <f>equip.xml!D38</f>
        <v>主手武器</v>
      </c>
      <c r="E34" s="1">
        <f>equip.xml!E38</f>
        <v>5</v>
      </c>
      <c r="F34" s="1">
        <f>equip.xml!F38</f>
        <v>1</v>
      </c>
      <c r="G34" s="1">
        <f>equip.xml!G38</f>
        <v>5</v>
      </c>
      <c r="H34" s="1" t="str">
        <f>equip.xml!H38</f>
        <v>2,1002</v>
      </c>
      <c r="I34" s="1">
        <f>equip.xml!J38</f>
        <v>5</v>
      </c>
      <c r="J34" s="1">
        <f>equip.xml!K38</f>
        <v>0</v>
      </c>
      <c r="K34" s="1">
        <f>equip.xml!L38</f>
        <v>0</v>
      </c>
      <c r="L34" s="1" t="str">
        <f>equip.xml!M38</f>
        <v>103_10_10,104_20_20</v>
      </c>
      <c r="M34" s="7" t="str">
        <f>equip.xml!Q38</f>
        <v>equipment/1204.png</v>
      </c>
      <c r="N34" t="str">
        <f>equip.xml!P38</f>
        <v>10000_1002_5000,30000_30001_1,30000_30002_1,30000_30003_1</v>
      </c>
    </row>
    <row r="35" spans="1:14">
      <c r="A35" s="1" t="str">
        <f>equip.xml!A39</f>
        <v>10052051</v>
      </c>
      <c r="B35" s="1">
        <f>equip.xml!B39</f>
        <v>1</v>
      </c>
      <c r="C35" s="1" t="str">
        <f>equip.xml!C39</f>
        <v>反曲弓</v>
      </c>
      <c r="D35" s="1" t="str">
        <f>equip.xml!D39</f>
        <v>主手武器</v>
      </c>
      <c r="E35" s="1">
        <f>equip.xml!E39</f>
        <v>5</v>
      </c>
      <c r="F35" s="1">
        <f>equip.xml!F39</f>
        <v>1</v>
      </c>
      <c r="G35" s="1">
        <f>equip.xml!G39</f>
        <v>5</v>
      </c>
      <c r="H35" s="1" t="str">
        <f>equip.xml!H39</f>
        <v>2,1002</v>
      </c>
      <c r="I35" s="1">
        <f>equip.xml!J39</f>
        <v>5</v>
      </c>
      <c r="J35" s="1">
        <f>equip.xml!K39</f>
        <v>0</v>
      </c>
      <c r="K35" s="1">
        <f>equip.xml!L39</f>
        <v>0</v>
      </c>
      <c r="L35" s="1" t="str">
        <f>equip.xml!M39</f>
        <v>103_18_18,104_38_38</v>
      </c>
      <c r="M35" s="7" t="str">
        <f>equip.xml!Q39</f>
        <v>equipment/1203.png</v>
      </c>
      <c r="N35" t="str">
        <f>equip.xml!P39</f>
        <v>10000_1002_5000,30000_30001_1,30000_30002_1,30000_30003_1</v>
      </c>
    </row>
    <row r="36" spans="1:14">
      <c r="A36" s="1" t="str">
        <f>equip.xml!A40</f>
        <v>10052060</v>
      </c>
      <c r="B36" s="1">
        <f>equip.xml!B40</f>
        <v>1</v>
      </c>
      <c r="C36" s="1" t="str">
        <f>equip.xml!C40</f>
        <v>箭筒</v>
      </c>
      <c r="D36" s="1" t="str">
        <f>equip.xml!D40</f>
        <v>副手武器</v>
      </c>
      <c r="E36" s="1">
        <f>equip.xml!E40</f>
        <v>6</v>
      </c>
      <c r="F36" s="1">
        <f>equip.xml!F40</f>
        <v>1</v>
      </c>
      <c r="G36" s="1">
        <f>equip.xml!G40</f>
        <v>5</v>
      </c>
      <c r="H36" s="1" t="str">
        <f>equip.xml!H40</f>
        <v>2,1002</v>
      </c>
      <c r="I36" s="1">
        <f>equip.xml!J40</f>
        <v>5</v>
      </c>
      <c r="J36" s="1">
        <f>equip.xml!K40</f>
        <v>0</v>
      </c>
      <c r="K36" s="1">
        <f>equip.xml!L40</f>
        <v>0</v>
      </c>
      <c r="L36" s="1" t="str">
        <f>equip.xml!M40</f>
        <v>108_12_12</v>
      </c>
      <c r="M36" s="7" t="str">
        <f>equip.xml!Q40</f>
        <v>equipment/2202.png</v>
      </c>
      <c r="N36" t="str">
        <f>equip.xml!P40</f>
        <v>10000_1002_5000,30000_30001_1,30000_30002_1,30000_30003_1</v>
      </c>
    </row>
    <row r="37" spans="1:14">
      <c r="A37" s="1" t="str">
        <f>equip.xml!A41</f>
        <v>10052061</v>
      </c>
      <c r="B37" s="1">
        <f>equip.xml!B41</f>
        <v>0</v>
      </c>
      <c r="C37" s="1" t="str">
        <f>equip.xml!C41</f>
        <v>箭筒</v>
      </c>
      <c r="D37" s="1" t="str">
        <f>equip.xml!D41</f>
        <v>副手武器</v>
      </c>
      <c r="E37" s="1">
        <f>equip.xml!E41</f>
        <v>6</v>
      </c>
      <c r="F37" s="1">
        <f>equip.xml!F41</f>
        <v>1</v>
      </c>
      <c r="G37" s="1">
        <f>equip.xml!G41</f>
        <v>5</v>
      </c>
      <c r="H37" s="1" t="str">
        <f>equip.xml!H41</f>
        <v>2,1002</v>
      </c>
      <c r="I37" s="1">
        <f>equip.xml!J41</f>
        <v>5</v>
      </c>
      <c r="J37" s="1">
        <f>equip.xml!K41</f>
        <v>0</v>
      </c>
      <c r="K37" s="1">
        <f>equip.xml!L41</f>
        <v>0</v>
      </c>
      <c r="L37" s="1" t="str">
        <f>equip.xml!M41</f>
        <v>108_19_19</v>
      </c>
      <c r="M37" s="7" t="str">
        <f>equip.xml!Q41</f>
        <v>equipment/2201.png</v>
      </c>
      <c r="N37" t="str">
        <f>equip.xml!P41</f>
        <v>10000_1002_5000,30000_30001_1,30000_30002_1,30000_30003_1</v>
      </c>
    </row>
    <row r="38" spans="1:14">
      <c r="A38" s="1" t="str">
        <f>equip.xml!A42</f>
        <v>10053050</v>
      </c>
      <c r="B38" s="1">
        <f>equip.xml!B42</f>
        <v>1</v>
      </c>
      <c r="C38" s="1" t="str">
        <f>equip.xml!C42</f>
        <v>巫术之杖</v>
      </c>
      <c r="D38" s="1" t="str">
        <f>equip.xml!D42</f>
        <v>主手武器</v>
      </c>
      <c r="E38" s="1">
        <f>equip.xml!E42</f>
        <v>5</v>
      </c>
      <c r="F38" s="1">
        <f>equip.xml!F42</f>
        <v>1</v>
      </c>
      <c r="G38" s="1">
        <f>equip.xml!G42</f>
        <v>5</v>
      </c>
      <c r="H38" s="1" t="str">
        <f>equip.xml!H42</f>
        <v>3,1003</v>
      </c>
      <c r="I38" s="1">
        <f>equip.xml!J42</f>
        <v>5</v>
      </c>
      <c r="J38" s="1">
        <f>equip.xml!K42</f>
        <v>0</v>
      </c>
      <c r="K38" s="1">
        <f>equip.xml!L42</f>
        <v>0</v>
      </c>
      <c r="L38" s="1" t="str">
        <f>equip.xml!M42</f>
        <v>103_10_10,104_20_20</v>
      </c>
      <c r="M38" s="7" t="str">
        <f>equip.xml!Q42</f>
        <v>equipment/1303.png</v>
      </c>
      <c r="N38" t="str">
        <f>equip.xml!P42</f>
        <v>10000_1002_5000,30000_30001_1,30000_30002_1,30000_30003_1</v>
      </c>
    </row>
    <row r="39" spans="1:14">
      <c r="A39" s="1" t="str">
        <f>equip.xml!A43</f>
        <v>10053051</v>
      </c>
      <c r="B39" s="1">
        <f>equip.xml!B43</f>
        <v>1</v>
      </c>
      <c r="C39" s="1" t="str">
        <f>equip.xml!C43</f>
        <v>秘术法杖</v>
      </c>
      <c r="D39" s="1" t="str">
        <f>equip.xml!D43</f>
        <v>主手武器</v>
      </c>
      <c r="E39" s="1">
        <f>equip.xml!E43</f>
        <v>5</v>
      </c>
      <c r="F39" s="1">
        <f>equip.xml!F43</f>
        <v>1</v>
      </c>
      <c r="G39" s="1">
        <f>equip.xml!G43</f>
        <v>5</v>
      </c>
      <c r="H39" s="1" t="str">
        <f>equip.xml!H43</f>
        <v>3,1003</v>
      </c>
      <c r="I39" s="1">
        <f>equip.xml!J43</f>
        <v>5</v>
      </c>
      <c r="J39" s="1">
        <f>equip.xml!K43</f>
        <v>0</v>
      </c>
      <c r="K39" s="1">
        <f>equip.xml!L43</f>
        <v>0</v>
      </c>
      <c r="L39" s="1" t="str">
        <f>equip.xml!M43</f>
        <v>103_18_18,104_38_38</v>
      </c>
      <c r="M39" s="7" t="str">
        <f>equip.xml!Q43</f>
        <v>equipment/1304.png</v>
      </c>
      <c r="N39" t="str">
        <f>equip.xml!P43</f>
        <v>10000_1002_5000,30000_30001_1,30000_30002_1,30000_30003_1</v>
      </c>
    </row>
    <row r="40" spans="1:14">
      <c r="A40" s="1" t="str">
        <f>equip.xml!A44</f>
        <v>10053060</v>
      </c>
      <c r="B40" s="1">
        <f>equip.xml!B44</f>
        <v>1</v>
      </c>
      <c r="C40" s="1" t="str">
        <f>equip.xml!C44</f>
        <v>法术指南</v>
      </c>
      <c r="D40" s="1" t="str">
        <f>equip.xml!D44</f>
        <v>副手武器</v>
      </c>
      <c r="E40" s="1">
        <f>equip.xml!E44</f>
        <v>6</v>
      </c>
      <c r="F40" s="1">
        <f>equip.xml!F44</f>
        <v>1</v>
      </c>
      <c r="G40" s="1">
        <f>equip.xml!G44</f>
        <v>5</v>
      </c>
      <c r="H40" s="1" t="str">
        <f>equip.xml!H44</f>
        <v>3,1003</v>
      </c>
      <c r="I40" s="1">
        <f>equip.xml!J44</f>
        <v>5</v>
      </c>
      <c r="J40" s="1">
        <f>equip.xml!K44</f>
        <v>0</v>
      </c>
      <c r="K40" s="1">
        <f>equip.xml!L44</f>
        <v>0</v>
      </c>
      <c r="L40" s="1" t="str">
        <f>equip.xml!M44</f>
        <v>102_110_110</v>
      </c>
      <c r="M40" s="7" t="str">
        <f>equip.xml!Q44</f>
        <v>equipment/2302.png</v>
      </c>
      <c r="N40" t="str">
        <f>equip.xml!P44</f>
        <v>10000_1002_5000,30000_30001_1,30000_30002_1,30000_30003_1</v>
      </c>
    </row>
    <row r="41" spans="1:14">
      <c r="A41" s="1" t="str">
        <f>equip.xml!A45</f>
        <v>10053061</v>
      </c>
      <c r="B41" s="1">
        <f>equip.xml!B45</f>
        <v>0</v>
      </c>
      <c r="C41" s="1" t="str">
        <f>equip.xml!C45</f>
        <v>法术指南</v>
      </c>
      <c r="D41" s="1" t="str">
        <f>equip.xml!D45</f>
        <v>副手武器</v>
      </c>
      <c r="E41" s="1">
        <f>equip.xml!E45</f>
        <v>6</v>
      </c>
      <c r="F41" s="1">
        <f>equip.xml!F45</f>
        <v>1</v>
      </c>
      <c r="G41" s="1">
        <f>equip.xml!G45</f>
        <v>5</v>
      </c>
      <c r="H41" s="1" t="str">
        <f>equip.xml!H45</f>
        <v>3,1003</v>
      </c>
      <c r="I41" s="1">
        <f>equip.xml!J45</f>
        <v>5</v>
      </c>
      <c r="J41" s="1">
        <f>equip.xml!K45</f>
        <v>0</v>
      </c>
      <c r="K41" s="1">
        <f>equip.xml!L45</f>
        <v>0</v>
      </c>
      <c r="L41" s="1" t="str">
        <f>equip.xml!M45</f>
        <v>102_19_19</v>
      </c>
      <c r="M41" s="7" t="str">
        <f>equip.xml!Q45</f>
        <v>equipment/2301.png</v>
      </c>
      <c r="N41" t="str">
        <f>equip.xml!P45</f>
        <v>10000_1002_5000,30000_30001_1,30000_30002_1,30000_30003_1</v>
      </c>
    </row>
    <row r="42" spans="1:14">
      <c r="A42" s="1" t="str">
        <f>equip.xml!A46</f>
        <v>10050040</v>
      </c>
      <c r="B42" s="1">
        <f>equip.xml!B46</f>
        <v>1</v>
      </c>
      <c r="C42" s="1" t="str">
        <f>equip.xml!C46</f>
        <v>锁甲外套</v>
      </c>
      <c r="D42" s="1" t="str">
        <f>equip.xml!D46</f>
        <v>胸甲</v>
      </c>
      <c r="E42" s="1">
        <f>equip.xml!E46</f>
        <v>4</v>
      </c>
      <c r="F42" s="1">
        <f>equip.xml!F46</f>
        <v>1</v>
      </c>
      <c r="G42" s="1">
        <f>equip.xml!G46</f>
        <v>5</v>
      </c>
      <c r="H42" s="1">
        <f>equip.xml!H46</f>
        <v>0</v>
      </c>
      <c r="I42" s="1">
        <f>equip.xml!J46</f>
        <v>5</v>
      </c>
      <c r="J42" s="1">
        <f>equip.xml!K46</f>
        <v>0</v>
      </c>
      <c r="K42" s="1">
        <f>equip.xml!L46</f>
        <v>0</v>
      </c>
      <c r="L42" s="1" t="str">
        <f>equip.xml!M46</f>
        <v>105_9_9</v>
      </c>
      <c r="M42" s="7" t="str">
        <f>equip.xml!Q46</f>
        <v>equipment/5002.png</v>
      </c>
      <c r="N42" t="str">
        <f>equip.xml!P46</f>
        <v>10000_1002_5000,30000_30001_1,30000_30002_1,30000_30003_1</v>
      </c>
    </row>
    <row r="43" spans="1:14">
      <c r="A43" s="1" t="str">
        <f>equip.xml!A47</f>
        <v>10050041</v>
      </c>
      <c r="B43" s="1">
        <f>equip.xml!B47</f>
        <v>1</v>
      </c>
      <c r="C43" s="1" t="str">
        <f>equip.xml!C47</f>
        <v>战士胸甲</v>
      </c>
      <c r="D43" s="1" t="str">
        <f>equip.xml!D47</f>
        <v>胸甲</v>
      </c>
      <c r="E43" s="1">
        <f>equip.xml!E47</f>
        <v>4</v>
      </c>
      <c r="F43" s="1">
        <f>equip.xml!F47</f>
        <v>1</v>
      </c>
      <c r="G43" s="1">
        <f>equip.xml!G47</f>
        <v>5</v>
      </c>
      <c r="H43" s="1">
        <f>equip.xml!H47</f>
        <v>0</v>
      </c>
      <c r="I43" s="1">
        <f>equip.xml!J47</f>
        <v>5</v>
      </c>
      <c r="J43" s="1">
        <f>equip.xml!K47</f>
        <v>0</v>
      </c>
      <c r="K43" s="1">
        <f>equip.xml!L47</f>
        <v>0</v>
      </c>
      <c r="L43" s="1" t="str">
        <f>equip.xml!M47</f>
        <v>105_13_13</v>
      </c>
      <c r="M43" s="7" t="str">
        <f>equip.xml!Q47</f>
        <v>equipment/5003.png</v>
      </c>
      <c r="N43" t="str">
        <f>equip.xml!P47</f>
        <v>10000_1002_5000,30000_30001_1,30000_30002_1,30000_30003_1</v>
      </c>
    </row>
    <row r="44" spans="1:14">
      <c r="A44" s="1" t="str">
        <f>equip.xml!A48</f>
        <v>10050070</v>
      </c>
      <c r="B44" s="1">
        <f>equip.xml!B48</f>
        <v>1</v>
      </c>
      <c r="C44" s="1" t="str">
        <f>equip.xml!C48</f>
        <v>皮甲短裤</v>
      </c>
      <c r="D44" s="1" t="str">
        <f>equip.xml!D48</f>
        <v>护腿</v>
      </c>
      <c r="E44" s="1">
        <f>equip.xml!E48</f>
        <v>7</v>
      </c>
      <c r="F44" s="1">
        <f>equip.xml!F48</f>
        <v>1</v>
      </c>
      <c r="G44" s="1">
        <f>equip.xml!G48</f>
        <v>5</v>
      </c>
      <c r="H44" s="1">
        <f>equip.xml!H48</f>
        <v>0</v>
      </c>
      <c r="I44" s="1">
        <f>equip.xml!J48</f>
        <v>5</v>
      </c>
      <c r="J44" s="1">
        <f>equip.xml!K48</f>
        <v>0</v>
      </c>
      <c r="K44" s="1">
        <f>equip.xml!L48</f>
        <v>0</v>
      </c>
      <c r="L44" s="1" t="str">
        <f>equip.xml!M48</f>
        <v>105_3_3</v>
      </c>
      <c r="M44" s="7" t="str">
        <f>equip.xml!Q48</f>
        <v>equipment/7001.png</v>
      </c>
      <c r="N44" t="str">
        <f>equip.xml!P48</f>
        <v>10000_1002_5000,30000_30001_1,30000_30002_1,30000_30003_1</v>
      </c>
    </row>
    <row r="45" spans="1:14">
      <c r="A45" s="1" t="str">
        <f>equip.xml!A49</f>
        <v>10050071</v>
      </c>
      <c r="B45" s="1">
        <f>equip.xml!B49</f>
        <v>1</v>
      </c>
      <c r="C45" s="1" t="str">
        <f>equip.xml!C49</f>
        <v>学徒短裤</v>
      </c>
      <c r="D45" s="1" t="str">
        <f>equip.xml!D49</f>
        <v>护腿</v>
      </c>
      <c r="E45" s="1">
        <f>equip.xml!E49</f>
        <v>7</v>
      </c>
      <c r="F45" s="1">
        <f>equip.xml!F49</f>
        <v>1</v>
      </c>
      <c r="G45" s="1">
        <f>equip.xml!G49</f>
        <v>5</v>
      </c>
      <c r="H45" s="1">
        <f>equip.xml!H49</f>
        <v>0</v>
      </c>
      <c r="I45" s="1">
        <f>equip.xml!J49</f>
        <v>5</v>
      </c>
      <c r="J45" s="1">
        <f>equip.xml!K49</f>
        <v>0</v>
      </c>
      <c r="K45" s="1">
        <f>equip.xml!L49</f>
        <v>0</v>
      </c>
      <c r="L45" s="1" t="str">
        <f>equip.xml!M49</f>
        <v>105_10_10</v>
      </c>
      <c r="M45" s="7" t="str">
        <f>equip.xml!Q49</f>
        <v>equipment/7002.png</v>
      </c>
      <c r="N45" t="str">
        <f>equip.xml!P49</f>
        <v>10000_1002_5000,30000_30001_1,30000_30002_1,30000_30003_1</v>
      </c>
    </row>
    <row r="46" spans="1:14">
      <c r="A46" s="1" t="str">
        <f>equip.xml!A50</f>
        <v>10100010</v>
      </c>
      <c r="B46" s="1">
        <f>equip.xml!B50</f>
        <v>1</v>
      </c>
      <c r="C46" s="1" t="str">
        <f>equip.xml!C50</f>
        <v>轻便头盔</v>
      </c>
      <c r="D46" s="1" t="str">
        <f>equip.xml!D50</f>
        <v>头盔</v>
      </c>
      <c r="E46" s="1">
        <f>equip.xml!E50</f>
        <v>1</v>
      </c>
      <c r="F46" s="1">
        <f>equip.xml!F50</f>
        <v>1</v>
      </c>
      <c r="G46" s="1">
        <f>equip.xml!G50</f>
        <v>10</v>
      </c>
      <c r="H46" s="1">
        <f>equip.xml!H50</f>
        <v>0</v>
      </c>
      <c r="I46" s="1">
        <f>equip.xml!J50</f>
        <v>5</v>
      </c>
      <c r="J46" s="1">
        <f>equip.xml!K50</f>
        <v>0</v>
      </c>
      <c r="K46" s="1">
        <f>equip.xml!L50</f>
        <v>0</v>
      </c>
      <c r="L46" s="1" t="str">
        <f>equip.xml!M50</f>
        <v>106_64_64</v>
      </c>
      <c r="M46" s="7" t="str">
        <f>equip.xml!Q50</f>
        <v>equipment/3002.png</v>
      </c>
      <c r="N46" t="str">
        <f>equip.xml!P50</f>
        <v>10000_1002_10000,30000_30001_1,30000_30002_1,30000_30003_1</v>
      </c>
    </row>
    <row r="47" spans="1:14">
      <c r="A47" s="1" t="str">
        <f>equip.xml!A51</f>
        <v>10100020</v>
      </c>
      <c r="B47" s="1">
        <f>equip.xml!B51</f>
        <v>1</v>
      </c>
      <c r="C47" s="1" t="str">
        <f>equip.xml!C51</f>
        <v>宝石戒指</v>
      </c>
      <c r="D47" s="1" t="str">
        <f>equip.xml!D51</f>
        <v>戒指</v>
      </c>
      <c r="E47" s="1">
        <f>equip.xml!E51</f>
        <v>2</v>
      </c>
      <c r="F47" s="1">
        <f>equip.xml!F51</f>
        <v>1</v>
      </c>
      <c r="G47" s="1">
        <f>equip.xml!G51</f>
        <v>10</v>
      </c>
      <c r="H47" s="1">
        <f>equip.xml!H51</f>
        <v>0</v>
      </c>
      <c r="I47" s="1">
        <f>equip.xml!J51</f>
        <v>5</v>
      </c>
      <c r="J47" s="1">
        <f>equip.xml!K51</f>
        <v>0</v>
      </c>
      <c r="K47" s="1">
        <f>equip.xml!L51</f>
        <v>0</v>
      </c>
      <c r="L47" s="1" t="str">
        <f>equip.xml!M51</f>
        <v>102_150_150</v>
      </c>
      <c r="M47" s="7" t="str">
        <f>equip.xml!Q51</f>
        <v>equipment/14002.png</v>
      </c>
      <c r="N47" t="str">
        <f>equip.xml!P51</f>
        <v>10000_1002_10000,30000_30001_1,30000_30002_1,30000_30003_1</v>
      </c>
    </row>
    <row r="48" spans="1:14">
      <c r="A48" s="1" t="str">
        <f>equip.xml!A52</f>
        <v>10100030</v>
      </c>
      <c r="B48" s="1">
        <f>equip.xml!B52</f>
        <v>1</v>
      </c>
      <c r="C48" s="1" t="str">
        <f>equip.xml!C52</f>
        <v>坚硬皮带</v>
      </c>
      <c r="D48" s="1" t="str">
        <f>equip.xml!D52</f>
        <v>腰带</v>
      </c>
      <c r="E48" s="1">
        <f>equip.xml!E52</f>
        <v>3</v>
      </c>
      <c r="F48" s="1">
        <f>equip.xml!F52</f>
        <v>1</v>
      </c>
      <c r="G48" s="1">
        <f>equip.xml!G52</f>
        <v>10</v>
      </c>
      <c r="H48" s="1">
        <f>equip.xml!H52</f>
        <v>0</v>
      </c>
      <c r="I48" s="1">
        <f>equip.xml!J52</f>
        <v>5</v>
      </c>
      <c r="J48" s="1">
        <f>equip.xml!K52</f>
        <v>0</v>
      </c>
      <c r="K48" s="1">
        <f>equip.xml!L52</f>
        <v>0</v>
      </c>
      <c r="L48" s="1" t="str">
        <f>equip.xml!M52</f>
        <v>101_480_480</v>
      </c>
      <c r="M48" s="7" t="str">
        <f>equip.xml!Q52</f>
        <v>equipment/6002.png</v>
      </c>
      <c r="N48" t="str">
        <f>equip.xml!P52</f>
        <v>10000_1002_10000,30000_30001_1,30000_30002_1,30000_30003_1</v>
      </c>
    </row>
    <row r="49" spans="1:14">
      <c r="A49" s="1" t="str">
        <f>equip.xml!A53</f>
        <v>10100080</v>
      </c>
      <c r="B49" s="1">
        <f>equip.xml!B53</f>
        <v>1</v>
      </c>
      <c r="C49" s="1" t="str">
        <f>equip.xml!C53</f>
        <v>软垫靴</v>
      </c>
      <c r="D49" s="1" t="str">
        <f>equip.xml!D53</f>
        <v>鞋子</v>
      </c>
      <c r="E49" s="1">
        <f>equip.xml!E53</f>
        <v>8</v>
      </c>
      <c r="F49" s="1">
        <f>equip.xml!F53</f>
        <v>1</v>
      </c>
      <c r="G49" s="1">
        <f>equip.xml!G53</f>
        <v>10</v>
      </c>
      <c r="H49" s="1">
        <f>equip.xml!H53</f>
        <v>0</v>
      </c>
      <c r="I49" s="1">
        <f>equip.xml!J53</f>
        <v>5</v>
      </c>
      <c r="J49" s="1">
        <f>equip.xml!K53</f>
        <v>0</v>
      </c>
      <c r="K49" s="1">
        <f>equip.xml!L53</f>
        <v>0</v>
      </c>
      <c r="L49" s="1" t="str">
        <f>equip.xml!M53</f>
        <v>110_12_12</v>
      </c>
      <c r="M49" s="7" t="str">
        <f>equip.xml!Q53</f>
        <v>equipment/8002.png</v>
      </c>
      <c r="N49" t="str">
        <f>equip.xml!P53</f>
        <v>10000_1002_10000,30000_30001_1,30000_30002_1,30000_30003_1</v>
      </c>
    </row>
    <row r="50" spans="1:14">
      <c r="A50" s="1" t="str">
        <f>equip.xml!A54</f>
        <v>10100090</v>
      </c>
      <c r="B50" s="1">
        <f>equip.xml!B54</f>
        <v>1</v>
      </c>
      <c r="C50" s="1" t="str">
        <f>equip.xml!C54</f>
        <v>步兵护手</v>
      </c>
      <c r="D50" s="1" t="str">
        <f>equip.xml!D54</f>
        <v>手套</v>
      </c>
      <c r="E50" s="1">
        <f>equip.xml!E54</f>
        <v>9</v>
      </c>
      <c r="F50" s="1">
        <f>equip.xml!F54</f>
        <v>1</v>
      </c>
      <c r="G50" s="1">
        <f>equip.xml!G54</f>
        <v>10</v>
      </c>
      <c r="H50" s="1">
        <f>equip.xml!H54</f>
        <v>0</v>
      </c>
      <c r="I50" s="1">
        <f>equip.xml!J54</f>
        <v>5</v>
      </c>
      <c r="J50" s="1">
        <f>equip.xml!K54</f>
        <v>0</v>
      </c>
      <c r="K50" s="1">
        <f>equip.xml!L54</f>
        <v>0</v>
      </c>
      <c r="L50" s="1" t="str">
        <f>equip.xml!M54</f>
        <v>108_43_43</v>
      </c>
      <c r="M50" s="7" t="str">
        <f>equip.xml!Q54</f>
        <v>equipment/10002.png</v>
      </c>
      <c r="N50" t="str">
        <f>equip.xml!P54</f>
        <v>10000_1002_10000,30000_30001_1,30000_30002_1,30000_30003_1</v>
      </c>
    </row>
    <row r="51" spans="1:14">
      <c r="A51" s="1" t="str">
        <f>equip.xml!A55</f>
        <v>10100100</v>
      </c>
      <c r="B51" s="1">
        <f>equip.xml!B55</f>
        <v>0</v>
      </c>
      <c r="C51" s="1" t="str">
        <f>equip.xml!C55</f>
        <v>贝壳项链</v>
      </c>
      <c r="D51" s="1" t="str">
        <f>equip.xml!D55</f>
        <v>项链</v>
      </c>
      <c r="E51" s="1">
        <f>equip.xml!E55</f>
        <v>10</v>
      </c>
      <c r="F51" s="1">
        <f>equip.xml!F55</f>
        <v>1</v>
      </c>
      <c r="G51" s="1">
        <f>equip.xml!G55</f>
        <v>10</v>
      </c>
      <c r="H51" s="1">
        <f>equip.xml!H55</f>
        <v>0</v>
      </c>
      <c r="I51" s="1">
        <f>equip.xml!J55</f>
        <v>5</v>
      </c>
      <c r="J51" s="1">
        <f>equip.xml!K55</f>
        <v>0</v>
      </c>
      <c r="K51" s="1">
        <f>equip.xml!L55</f>
        <v>0</v>
      </c>
      <c r="L51" s="1" t="str">
        <f>equip.xml!M55</f>
        <v>107_20_20</v>
      </c>
      <c r="M51" s="7" t="str">
        <f>equip.xml!Q55</f>
        <v>equipment/12001.png</v>
      </c>
      <c r="N51" t="str">
        <f>equip.xml!P55</f>
        <v>10000_1002_10000,30000_30001_1,30000_30002_1,30000_30003_1</v>
      </c>
    </row>
    <row r="52" spans="1:14">
      <c r="A52" s="1" t="str">
        <f>equip.xml!A56</f>
        <v>10101050</v>
      </c>
      <c r="B52" s="1">
        <f>equip.xml!B56</f>
        <v>1</v>
      </c>
      <c r="C52" s="1" t="str">
        <f>equip.xml!C56</f>
        <v>护卫之刃</v>
      </c>
      <c r="D52" s="1" t="str">
        <f>equip.xml!D56</f>
        <v>主手武器</v>
      </c>
      <c r="E52" s="1">
        <f>equip.xml!E56</f>
        <v>5</v>
      </c>
      <c r="F52" s="1">
        <f>equip.xml!F56</f>
        <v>1</v>
      </c>
      <c r="G52" s="1">
        <f>equip.xml!G56</f>
        <v>10</v>
      </c>
      <c r="H52" s="1" t="str">
        <f>equip.xml!H56</f>
        <v>1,1001</v>
      </c>
      <c r="I52" s="1">
        <f>equip.xml!J56</f>
        <v>5</v>
      </c>
      <c r="J52" s="1">
        <f>equip.xml!K56</f>
        <v>0</v>
      </c>
      <c r="K52" s="1">
        <f>equip.xml!L56</f>
        <v>0</v>
      </c>
      <c r="L52" s="1" t="str">
        <f>equip.xml!M56</f>
        <v>103_32_32,104_64_64</v>
      </c>
      <c r="M52" s="7" t="str">
        <f>equip.xml!Q56</f>
        <v>equipment/1105.png</v>
      </c>
      <c r="N52" t="str">
        <f>equip.xml!P56</f>
        <v>10000_1002_10000,30000_30001_1,30000_30002_1,30000_30003_1</v>
      </c>
    </row>
    <row r="53" spans="1:14">
      <c r="A53" s="1" t="str">
        <f>equip.xml!A57</f>
        <v>10101051</v>
      </c>
      <c r="B53" s="1">
        <f>equip.xml!B57</f>
        <v>1</v>
      </c>
      <c r="C53" s="1" t="str">
        <f>equip.xml!C57</f>
        <v>铜铸重剑</v>
      </c>
      <c r="D53" s="1" t="str">
        <f>equip.xml!D57</f>
        <v>主手武器</v>
      </c>
      <c r="E53" s="1">
        <f>equip.xml!E57</f>
        <v>5</v>
      </c>
      <c r="F53" s="1">
        <f>equip.xml!F57</f>
        <v>1</v>
      </c>
      <c r="G53" s="1">
        <f>equip.xml!G57</f>
        <v>10</v>
      </c>
      <c r="H53" s="1" t="str">
        <f>equip.xml!H57</f>
        <v>1,1001</v>
      </c>
      <c r="I53" s="1">
        <f>equip.xml!J57</f>
        <v>5</v>
      </c>
      <c r="J53" s="1">
        <f>equip.xml!K57</f>
        <v>0</v>
      </c>
      <c r="K53" s="1">
        <f>equip.xml!L57</f>
        <v>0</v>
      </c>
      <c r="L53" s="1" t="str">
        <f>equip.xml!M57</f>
        <v>103_40_40,104_80_80</v>
      </c>
      <c r="M53" s="7" t="str">
        <f>equip.xml!Q57</f>
        <v>equipment/1106.png</v>
      </c>
      <c r="N53" t="str">
        <f>equip.xml!P57</f>
        <v>10000_1002_10000,30000_30001_1,30000_30002_1,30000_30003_1</v>
      </c>
    </row>
    <row r="54" spans="1:14">
      <c r="A54" s="1" t="str">
        <f>equip.xml!A58</f>
        <v>10101060</v>
      </c>
      <c r="B54" s="1">
        <f>equip.xml!B58</f>
        <v>1</v>
      </c>
      <c r="C54" s="1" t="str">
        <f>equip.xml!C58</f>
        <v>金属大盾</v>
      </c>
      <c r="D54" s="1" t="str">
        <f>equip.xml!D58</f>
        <v>副手武器</v>
      </c>
      <c r="E54" s="1">
        <f>equip.xml!E58</f>
        <v>6</v>
      </c>
      <c r="F54" s="1">
        <f>equip.xml!F58</f>
        <v>1</v>
      </c>
      <c r="G54" s="1">
        <f>equip.xml!G58</f>
        <v>10</v>
      </c>
      <c r="H54" s="1" t="str">
        <f>equip.xml!H58</f>
        <v>1,1001</v>
      </c>
      <c r="I54" s="1">
        <f>equip.xml!J58</f>
        <v>5</v>
      </c>
      <c r="J54" s="1">
        <f>equip.xml!K58</f>
        <v>0</v>
      </c>
      <c r="K54" s="1">
        <f>equip.xml!L58</f>
        <v>0</v>
      </c>
      <c r="L54" s="1" t="str">
        <f>equip.xml!M58</f>
        <v>105_30_30</v>
      </c>
      <c r="M54" s="7" t="str">
        <f>equip.xml!Q58</f>
        <v>equipment/2103.png</v>
      </c>
      <c r="N54" t="str">
        <f>equip.xml!P58</f>
        <v>10000_1002_10000,30000_30001_1,30000_30002_1,30000_30003_1</v>
      </c>
    </row>
    <row r="55" spans="1:14">
      <c r="A55" s="1" t="str">
        <f>equip.xml!A59</f>
        <v>10101061</v>
      </c>
      <c r="B55" s="1">
        <f>equip.xml!B59</f>
        <v>0</v>
      </c>
      <c r="C55" s="1" t="str">
        <f>equip.xml!C59</f>
        <v>尖头盾</v>
      </c>
      <c r="D55" s="1" t="str">
        <f>equip.xml!D59</f>
        <v>副手武器</v>
      </c>
      <c r="E55" s="1">
        <f>equip.xml!E59</f>
        <v>6</v>
      </c>
      <c r="F55" s="1">
        <f>equip.xml!F59</f>
        <v>1</v>
      </c>
      <c r="G55" s="1">
        <f>equip.xml!G59</f>
        <v>10</v>
      </c>
      <c r="H55" s="1" t="str">
        <f>equip.xml!H59</f>
        <v>1,1001</v>
      </c>
      <c r="I55" s="1">
        <f>equip.xml!J59</f>
        <v>5</v>
      </c>
      <c r="J55" s="1">
        <f>equip.xml!K59</f>
        <v>0</v>
      </c>
      <c r="K55" s="1">
        <f>equip.xml!L59</f>
        <v>0</v>
      </c>
      <c r="L55" s="1" t="str">
        <f>equip.xml!M59</f>
        <v>105_59_59</v>
      </c>
      <c r="M55" s="7" t="str">
        <f>equip.xml!Q59</f>
        <v>equipment/2101.png</v>
      </c>
      <c r="N55" t="str">
        <f>equip.xml!P59</f>
        <v>10000_1002_10000,30000_30001_1,30000_30002_1,30000_30003_1</v>
      </c>
    </row>
    <row r="56" spans="1:14">
      <c r="A56" s="1" t="str">
        <f>equip.xml!A60</f>
        <v>10102050</v>
      </c>
      <c r="B56" s="1">
        <f>equip.xml!B60</f>
        <v>1</v>
      </c>
      <c r="C56" s="1" t="str">
        <f>equip.xml!C60</f>
        <v>猎手强弓</v>
      </c>
      <c r="D56" s="1" t="str">
        <f>equip.xml!D60</f>
        <v>主手武器</v>
      </c>
      <c r="E56" s="1">
        <f>equip.xml!E60</f>
        <v>5</v>
      </c>
      <c r="F56" s="1">
        <f>equip.xml!F60</f>
        <v>1</v>
      </c>
      <c r="G56" s="1">
        <f>equip.xml!G60</f>
        <v>10</v>
      </c>
      <c r="H56" s="1" t="str">
        <f>equip.xml!H60</f>
        <v>2,1002</v>
      </c>
      <c r="I56" s="1">
        <f>equip.xml!J60</f>
        <v>5</v>
      </c>
      <c r="J56" s="1">
        <f>equip.xml!K60</f>
        <v>0</v>
      </c>
      <c r="K56" s="1">
        <f>equip.xml!L60</f>
        <v>0</v>
      </c>
      <c r="L56" s="1" t="str">
        <f>equip.xml!M60</f>
        <v>103_32_32,104_64_64</v>
      </c>
      <c r="M56" s="7" t="str">
        <f>equip.xml!Q60</f>
        <v>equipment/1205.png</v>
      </c>
      <c r="N56" t="str">
        <f>equip.xml!P60</f>
        <v>10000_1002_10000,30000_30001_1,30000_30002_1,30000_30003_1</v>
      </c>
    </row>
    <row r="57" spans="1:14">
      <c r="A57" s="1" t="str">
        <f>equip.xml!A61</f>
        <v>10102051</v>
      </c>
      <c r="B57" s="1">
        <f>equip.xml!B61</f>
        <v>1</v>
      </c>
      <c r="C57" s="1" t="str">
        <f>equip.xml!C61</f>
        <v>灰木弓</v>
      </c>
      <c r="D57" s="1" t="str">
        <f>equip.xml!D61</f>
        <v>主手武器</v>
      </c>
      <c r="E57" s="1">
        <f>equip.xml!E61</f>
        <v>5</v>
      </c>
      <c r="F57" s="1">
        <f>equip.xml!F61</f>
        <v>1</v>
      </c>
      <c r="G57" s="1">
        <f>equip.xml!G61</f>
        <v>10</v>
      </c>
      <c r="H57" s="1" t="str">
        <f>equip.xml!H61</f>
        <v>2,1002</v>
      </c>
      <c r="I57" s="1">
        <f>equip.xml!J61</f>
        <v>5</v>
      </c>
      <c r="J57" s="1">
        <f>equip.xml!K61</f>
        <v>0</v>
      </c>
      <c r="K57" s="1">
        <f>equip.xml!L61</f>
        <v>0</v>
      </c>
      <c r="L57" s="1" t="str">
        <f>equip.xml!M61</f>
        <v>103_40_40,104_80_80</v>
      </c>
      <c r="M57" s="7" t="str">
        <f>equip.xml!Q61</f>
        <v>equipment/1206.png</v>
      </c>
      <c r="N57" t="str">
        <f>equip.xml!P61</f>
        <v>10000_1002_10000,30000_30001_1,30000_30002_1,30000_30003_1</v>
      </c>
    </row>
    <row r="58" spans="1:14">
      <c r="A58" s="1" t="str">
        <f>equip.xml!A62</f>
        <v>10102060</v>
      </c>
      <c r="B58" s="1">
        <f>equip.xml!B62</f>
        <v>1</v>
      </c>
      <c r="C58" s="1" t="str">
        <f>equip.xml!C62</f>
        <v>帆布箭筒</v>
      </c>
      <c r="D58" s="1" t="str">
        <f>equip.xml!D62</f>
        <v>副手武器</v>
      </c>
      <c r="E58" s="1">
        <f>equip.xml!E62</f>
        <v>6</v>
      </c>
      <c r="F58" s="1">
        <f>equip.xml!F62</f>
        <v>1</v>
      </c>
      <c r="G58" s="1">
        <f>equip.xml!G62</f>
        <v>10</v>
      </c>
      <c r="H58" s="1" t="str">
        <f>equip.xml!H62</f>
        <v>2,1002</v>
      </c>
      <c r="I58" s="1">
        <f>equip.xml!J62</f>
        <v>5</v>
      </c>
      <c r="J58" s="1">
        <f>equip.xml!K62</f>
        <v>0</v>
      </c>
      <c r="K58" s="1">
        <f>equip.xml!L62</f>
        <v>0</v>
      </c>
      <c r="L58" s="1" t="str">
        <f>equip.xml!M62</f>
        <v>108_30_30</v>
      </c>
      <c r="M58" s="7" t="str">
        <f>equip.xml!Q62</f>
        <v>equipment/2203.png</v>
      </c>
      <c r="N58" t="str">
        <f>equip.xml!P62</f>
        <v>10000_1002_10000,30000_30001_1,30000_30002_1,30000_30003_1</v>
      </c>
    </row>
    <row r="59" spans="1:14">
      <c r="A59" s="1" t="str">
        <f>equip.xml!A63</f>
        <v>10102061</v>
      </c>
      <c r="B59" s="1">
        <f>equip.xml!B63</f>
        <v>0</v>
      </c>
      <c r="C59" s="1" t="str">
        <f>equip.xml!C63</f>
        <v>箭筒</v>
      </c>
      <c r="D59" s="1" t="str">
        <f>equip.xml!D63</f>
        <v>副手武器</v>
      </c>
      <c r="E59" s="1">
        <f>equip.xml!E63</f>
        <v>6</v>
      </c>
      <c r="F59" s="1">
        <f>equip.xml!F63</f>
        <v>1</v>
      </c>
      <c r="G59" s="1">
        <f>equip.xml!G63</f>
        <v>10</v>
      </c>
      <c r="H59" s="1" t="str">
        <f>equip.xml!H63</f>
        <v>2,1002</v>
      </c>
      <c r="I59" s="1">
        <f>equip.xml!J63</f>
        <v>5</v>
      </c>
      <c r="J59" s="1">
        <f>equip.xml!K63</f>
        <v>0</v>
      </c>
      <c r="K59" s="1">
        <f>equip.xml!L63</f>
        <v>0</v>
      </c>
      <c r="L59" s="1" t="str">
        <f>equip.xml!M63</f>
        <v>108_59_59</v>
      </c>
      <c r="M59" s="7" t="str">
        <f>equip.xml!Q63</f>
        <v>equipment/2201.png</v>
      </c>
      <c r="N59" t="str">
        <f>equip.xml!P63</f>
        <v>10000_1002_10000,30000_30001_1,30000_30002_1,30000_30003_1</v>
      </c>
    </row>
    <row r="60" spans="1:14">
      <c r="A60" s="1" t="str">
        <f>equip.xml!A64</f>
        <v>10103050</v>
      </c>
      <c r="B60" s="1">
        <f>equip.xml!B64</f>
        <v>1</v>
      </c>
      <c r="C60" s="1" t="str">
        <f>equip.xml!C64</f>
        <v>附魔银棒</v>
      </c>
      <c r="D60" s="1" t="str">
        <f>equip.xml!D64</f>
        <v>主手武器</v>
      </c>
      <c r="E60" s="1">
        <f>equip.xml!E64</f>
        <v>5</v>
      </c>
      <c r="F60" s="1">
        <f>equip.xml!F64</f>
        <v>1</v>
      </c>
      <c r="G60" s="1">
        <f>equip.xml!G64</f>
        <v>10</v>
      </c>
      <c r="H60" s="1" t="str">
        <f>equip.xml!H64</f>
        <v>3,1003</v>
      </c>
      <c r="I60" s="1">
        <f>equip.xml!J64</f>
        <v>5</v>
      </c>
      <c r="J60" s="1">
        <f>equip.xml!K64</f>
        <v>0</v>
      </c>
      <c r="K60" s="1">
        <f>equip.xml!L64</f>
        <v>0</v>
      </c>
      <c r="L60" s="1" t="str">
        <f>equip.xml!M64</f>
        <v>103_32_32,104_64_64</v>
      </c>
      <c r="M60" s="7" t="str">
        <f>equip.xml!Q64</f>
        <v>equipment/1305.png</v>
      </c>
      <c r="N60" t="str">
        <f>equip.xml!P64</f>
        <v>10000_1002_10000,30000_30001_1,30000_30002_1,30000_30003_1</v>
      </c>
    </row>
    <row r="61" spans="1:14">
      <c r="A61" s="1" t="str">
        <f>equip.xml!A65</f>
        <v>10103051</v>
      </c>
      <c r="B61" s="1">
        <f>equip.xml!B65</f>
        <v>1</v>
      </c>
      <c r="C61" s="1" t="str">
        <f>equip.xml!C65</f>
        <v>魔导法杖</v>
      </c>
      <c r="D61" s="1" t="str">
        <f>equip.xml!D65</f>
        <v>主手武器</v>
      </c>
      <c r="E61" s="1">
        <f>equip.xml!E65</f>
        <v>5</v>
      </c>
      <c r="F61" s="1">
        <f>equip.xml!F65</f>
        <v>1</v>
      </c>
      <c r="G61" s="1">
        <f>equip.xml!G65</f>
        <v>10</v>
      </c>
      <c r="H61" s="1" t="str">
        <f>equip.xml!H65</f>
        <v>3,1003</v>
      </c>
      <c r="I61" s="1">
        <f>equip.xml!J65</f>
        <v>5</v>
      </c>
      <c r="J61" s="1">
        <f>equip.xml!K65</f>
        <v>0</v>
      </c>
      <c r="K61" s="1">
        <f>equip.xml!L65</f>
        <v>0</v>
      </c>
      <c r="L61" s="1" t="str">
        <f>equip.xml!M65</f>
        <v>103_40_40,104_80_80</v>
      </c>
      <c r="M61" s="7" t="str">
        <f>equip.xml!Q65</f>
        <v>equipment/1306.png</v>
      </c>
      <c r="N61" t="str">
        <f>equip.xml!P65</f>
        <v>10000_1002_10000,30000_30001_1,30000_30002_1,30000_30003_1</v>
      </c>
    </row>
    <row r="62" spans="1:14">
      <c r="A62" s="1" t="str">
        <f>equip.xml!A66</f>
        <v>10103060</v>
      </c>
      <c r="B62" s="1">
        <f>equip.xml!B66</f>
        <v>1</v>
      </c>
      <c r="C62" s="1" t="str">
        <f>equip.xml!C66</f>
        <v>奥术典籍</v>
      </c>
      <c r="D62" s="1" t="str">
        <f>equip.xml!D66</f>
        <v>副手武器</v>
      </c>
      <c r="E62" s="1">
        <f>equip.xml!E66</f>
        <v>6</v>
      </c>
      <c r="F62" s="1">
        <f>equip.xml!F66</f>
        <v>1</v>
      </c>
      <c r="G62" s="1">
        <f>equip.xml!G66</f>
        <v>10</v>
      </c>
      <c r="H62" s="1" t="str">
        <f>equip.xml!H66</f>
        <v>3,1003</v>
      </c>
      <c r="I62" s="1">
        <f>equip.xml!J66</f>
        <v>5</v>
      </c>
      <c r="J62" s="1">
        <f>equip.xml!K66</f>
        <v>0</v>
      </c>
      <c r="K62" s="1">
        <f>equip.xml!L66</f>
        <v>0</v>
      </c>
      <c r="L62" s="1" t="str">
        <f>equip.xml!M66</f>
        <v>102_240_240</v>
      </c>
      <c r="M62" s="7" t="str">
        <f>equip.xml!Q66</f>
        <v>equipment/2303.png</v>
      </c>
      <c r="N62" t="str">
        <f>equip.xml!P66</f>
        <v>10000_1002_10000,30000_30001_1,30000_30002_1,30000_30003_1</v>
      </c>
    </row>
    <row r="63" spans="1:14">
      <c r="A63" s="1" t="str">
        <f>equip.xml!A67</f>
        <v>10103061</v>
      </c>
      <c r="B63" s="1">
        <f>equip.xml!B67</f>
        <v>0</v>
      </c>
      <c r="C63" s="1" t="str">
        <f>equip.xml!C67</f>
        <v>法术指南</v>
      </c>
      <c r="D63" s="1" t="str">
        <f>equip.xml!D67</f>
        <v>副手武器</v>
      </c>
      <c r="E63" s="1">
        <f>equip.xml!E67</f>
        <v>6</v>
      </c>
      <c r="F63" s="1">
        <f>equip.xml!F67</f>
        <v>1</v>
      </c>
      <c r="G63" s="1">
        <f>equip.xml!G67</f>
        <v>10</v>
      </c>
      <c r="H63" s="1" t="str">
        <f>equip.xml!H67</f>
        <v>3,1003</v>
      </c>
      <c r="I63" s="1">
        <f>equip.xml!J67</f>
        <v>5</v>
      </c>
      <c r="J63" s="1">
        <f>equip.xml!K67</f>
        <v>0</v>
      </c>
      <c r="K63" s="1">
        <f>equip.xml!L67</f>
        <v>0</v>
      </c>
      <c r="L63" s="1" t="str">
        <f>equip.xml!M67</f>
        <v>102_59_59</v>
      </c>
      <c r="M63" s="7" t="str">
        <f>equip.xml!Q67</f>
        <v>equipment/2301.png</v>
      </c>
      <c r="N63" t="str">
        <f>equip.xml!P67</f>
        <v>10000_1002_10000,30000_30001_1,30000_30002_1,30000_30003_1</v>
      </c>
    </row>
    <row r="64" spans="1:14">
      <c r="A64" s="1" t="str">
        <f>equip.xml!A68</f>
        <v>10100040</v>
      </c>
      <c r="B64" s="1">
        <f>equip.xml!B68</f>
        <v>1</v>
      </c>
      <c r="C64" s="1" t="str">
        <f>equip.xml!C68</f>
        <v>硬皮外套</v>
      </c>
      <c r="D64" s="1" t="str">
        <f>equip.xml!D68</f>
        <v>胸甲</v>
      </c>
      <c r="E64" s="1">
        <f>equip.xml!E68</f>
        <v>4</v>
      </c>
      <c r="F64" s="1">
        <f>equip.xml!F68</f>
        <v>1</v>
      </c>
      <c r="G64" s="1">
        <f>equip.xml!G68</f>
        <v>10</v>
      </c>
      <c r="H64" s="1">
        <f>equip.xml!H68</f>
        <v>0</v>
      </c>
      <c r="I64" s="1">
        <f>equip.xml!J68</f>
        <v>5</v>
      </c>
      <c r="J64" s="1">
        <f>equip.xml!K68</f>
        <v>0</v>
      </c>
      <c r="K64" s="1">
        <f>equip.xml!L68</f>
        <v>0</v>
      </c>
      <c r="L64" s="1" t="str">
        <f>equip.xml!M68</f>
        <v>105_20_20</v>
      </c>
      <c r="M64" s="7" t="str">
        <f>equip.xml!Q68</f>
        <v>equipment/5003.png</v>
      </c>
      <c r="N64" t="str">
        <f>equip.xml!P68</f>
        <v>10000_1002_10000,30000_30001_1,30000_30002_1,30000_30003_1</v>
      </c>
    </row>
    <row r="65" spans="1:14">
      <c r="A65" s="1" t="str">
        <f>equip.xml!A69</f>
        <v>10100041</v>
      </c>
      <c r="B65" s="1">
        <f>equip.xml!B69</f>
        <v>0</v>
      </c>
      <c r="C65" s="1" t="str">
        <f>equip.xml!C69</f>
        <v>新兵外套</v>
      </c>
      <c r="D65" s="1" t="str">
        <f>equip.xml!D69</f>
        <v>胸甲</v>
      </c>
      <c r="E65" s="1">
        <f>equip.xml!E69</f>
        <v>4</v>
      </c>
      <c r="F65" s="1">
        <f>equip.xml!F69</f>
        <v>1</v>
      </c>
      <c r="G65" s="1">
        <f>equip.xml!G69</f>
        <v>10</v>
      </c>
      <c r="H65" s="1">
        <f>equip.xml!H69</f>
        <v>0</v>
      </c>
      <c r="I65" s="1">
        <f>equip.xml!J69</f>
        <v>5</v>
      </c>
      <c r="J65" s="1">
        <f>equip.xml!K69</f>
        <v>0</v>
      </c>
      <c r="K65" s="1">
        <f>equip.xml!L69</f>
        <v>0</v>
      </c>
      <c r="L65" s="1" t="str">
        <f>equip.xml!M69</f>
        <v>105_28_28</v>
      </c>
      <c r="M65" s="7" t="str">
        <f>equip.xml!Q69</f>
        <v>equipment/5001.png</v>
      </c>
      <c r="N65" t="str">
        <f>equip.xml!P69</f>
        <v>10000_1002_10000,30000_30001_1,30000_30002_1,30000_30003_1</v>
      </c>
    </row>
    <row r="66" spans="1:14">
      <c r="A66" s="1" t="str">
        <f>equip.xml!A70</f>
        <v>10100070</v>
      </c>
      <c r="B66" s="1">
        <f>equip.xml!B70</f>
        <v>1</v>
      </c>
      <c r="C66" s="1" t="str">
        <f>equip.xml!C70</f>
        <v>护卫短裤</v>
      </c>
      <c r="D66" s="1" t="str">
        <f>equip.xml!D70</f>
        <v>护腿</v>
      </c>
      <c r="E66" s="1">
        <f>equip.xml!E70</f>
        <v>7</v>
      </c>
      <c r="F66" s="1">
        <f>equip.xml!F70</f>
        <v>1</v>
      </c>
      <c r="G66" s="1">
        <f>equip.xml!G70</f>
        <v>10</v>
      </c>
      <c r="H66" s="1">
        <f>equip.xml!H70</f>
        <v>0</v>
      </c>
      <c r="I66" s="1">
        <f>equip.xml!J70</f>
        <v>5</v>
      </c>
      <c r="J66" s="1">
        <f>equip.xml!K70</f>
        <v>0</v>
      </c>
      <c r="K66" s="1">
        <f>equip.xml!L70</f>
        <v>0</v>
      </c>
      <c r="L66" s="1" t="str">
        <f>equip.xml!M70</f>
        <v>105_20_20</v>
      </c>
      <c r="M66" s="7" t="str">
        <f>equip.xml!Q70</f>
        <v>equipment/7003.png</v>
      </c>
      <c r="N66" t="str">
        <f>equip.xml!P70</f>
        <v>10000_1002_10000,30000_30001_1,30000_30002_1,30000_30003_1</v>
      </c>
    </row>
    <row r="67" spans="1:14">
      <c r="A67" s="1" t="str">
        <f>equip.xml!A71</f>
        <v>10100071</v>
      </c>
      <c r="B67" s="1">
        <f>equip.xml!B71</f>
        <v>0</v>
      </c>
      <c r="C67" s="1" t="str">
        <f>equip.xml!C71</f>
        <v>学徒短裤</v>
      </c>
      <c r="D67" s="1" t="str">
        <f>equip.xml!D71</f>
        <v>护腿</v>
      </c>
      <c r="E67" s="1">
        <f>equip.xml!E71</f>
        <v>7</v>
      </c>
      <c r="F67" s="1">
        <f>equip.xml!F71</f>
        <v>1</v>
      </c>
      <c r="G67" s="1">
        <f>equip.xml!G71</f>
        <v>10</v>
      </c>
      <c r="H67" s="1">
        <f>equip.xml!H71</f>
        <v>0</v>
      </c>
      <c r="I67" s="1">
        <f>equip.xml!J71</f>
        <v>5</v>
      </c>
      <c r="J67" s="1">
        <f>equip.xml!K71</f>
        <v>0</v>
      </c>
      <c r="K67" s="1">
        <f>equip.xml!L71</f>
        <v>0</v>
      </c>
      <c r="L67" s="1" t="str">
        <f>equip.xml!M71</f>
        <v>105_28_28</v>
      </c>
      <c r="M67" s="7" t="str">
        <f>equip.xml!Q71</f>
        <v>equipment/7001.png</v>
      </c>
      <c r="N67" t="str">
        <f>equip.xml!P71</f>
        <v>10000_1002_10000,30000_30001_1,30000_30002_1,30000_30003_1</v>
      </c>
    </row>
    <row r="68" spans="1:14">
      <c r="A68" s="1" t="str">
        <f>equip.xml!A72</f>
        <v>10150010</v>
      </c>
      <c r="B68" s="1">
        <f>equip.xml!B72</f>
        <v>0</v>
      </c>
      <c r="C68" s="1" t="str">
        <f>equip.xml!C72</f>
        <v>纹饰帽</v>
      </c>
      <c r="D68" s="1" t="str">
        <f>equip.xml!D72</f>
        <v>头盔</v>
      </c>
      <c r="E68" s="1">
        <f>equip.xml!E72</f>
        <v>1</v>
      </c>
      <c r="F68" s="1">
        <f>equip.xml!F72</f>
        <v>1</v>
      </c>
      <c r="G68" s="1">
        <f>equip.xml!G72</f>
        <v>15</v>
      </c>
      <c r="H68" s="1">
        <f>equip.xml!H72</f>
        <v>0</v>
      </c>
      <c r="I68" s="1">
        <f>equip.xml!J72</f>
        <v>5</v>
      </c>
      <c r="J68" s="1">
        <f>equip.xml!K72</f>
        <v>0</v>
      </c>
      <c r="K68" s="1">
        <f>equip.xml!L72</f>
        <v>0</v>
      </c>
      <c r="L68" s="1" t="str">
        <f>equip.xml!M72</f>
        <v>106_64_64</v>
      </c>
      <c r="M68" s="7" t="str">
        <f>equip.xml!Q72</f>
        <v>equipment/3001.png</v>
      </c>
      <c r="N68" t="str">
        <f>equip.xml!P72</f>
        <v>10000_1002_15000,30000_30001_1,30000_30002_1,30000_30003_1</v>
      </c>
    </row>
    <row r="69" spans="1:14">
      <c r="A69" s="1" t="str">
        <f>equip.xml!A73</f>
        <v>10150020</v>
      </c>
      <c r="B69" s="1">
        <f>equip.xml!B73</f>
        <v>0</v>
      </c>
      <c r="C69" s="1" t="str">
        <f>equip.xml!C73</f>
        <v>金戒指</v>
      </c>
      <c r="D69" s="1" t="str">
        <f>equip.xml!D73</f>
        <v>戒指</v>
      </c>
      <c r="E69" s="1">
        <f>equip.xml!E73</f>
        <v>2</v>
      </c>
      <c r="F69" s="1">
        <f>equip.xml!F73</f>
        <v>1</v>
      </c>
      <c r="G69" s="1">
        <f>equip.xml!G73</f>
        <v>15</v>
      </c>
      <c r="H69" s="1">
        <f>equip.xml!H73</f>
        <v>0</v>
      </c>
      <c r="I69" s="1">
        <f>equip.xml!J73</f>
        <v>5</v>
      </c>
      <c r="J69" s="1">
        <f>equip.xml!K73</f>
        <v>0</v>
      </c>
      <c r="K69" s="1">
        <f>equip.xml!L73</f>
        <v>0</v>
      </c>
      <c r="L69" s="1" t="str">
        <f>equip.xml!M73</f>
        <v>102_185_185</v>
      </c>
      <c r="M69" s="7" t="str">
        <f>equip.xml!Q73</f>
        <v>equipment/14001.png</v>
      </c>
      <c r="N69" t="str">
        <f>equip.xml!P73</f>
        <v>10000_1002_15000,30000_30001_1,30000_30002_1,30000_30003_1</v>
      </c>
    </row>
    <row r="70" spans="1:14">
      <c r="A70" s="1" t="str">
        <f>equip.xml!A74</f>
        <v>10150030</v>
      </c>
      <c r="B70" s="1">
        <f>equip.xml!B74</f>
        <v>1</v>
      </c>
      <c r="C70" s="1" t="str">
        <f>equip.xml!C74</f>
        <v>铁锁腰带</v>
      </c>
      <c r="D70" s="1" t="str">
        <f>equip.xml!D74</f>
        <v>腰带</v>
      </c>
      <c r="E70" s="1">
        <f>equip.xml!E74</f>
        <v>3</v>
      </c>
      <c r="F70" s="1">
        <f>equip.xml!F74</f>
        <v>1</v>
      </c>
      <c r="G70" s="1">
        <f>equip.xml!G74</f>
        <v>15</v>
      </c>
      <c r="H70" s="1">
        <f>equip.xml!H74</f>
        <v>0</v>
      </c>
      <c r="I70" s="1">
        <f>equip.xml!J74</f>
        <v>5</v>
      </c>
      <c r="J70" s="1">
        <f>equip.xml!K74</f>
        <v>0</v>
      </c>
      <c r="K70" s="1">
        <f>equip.xml!L74</f>
        <v>0</v>
      </c>
      <c r="L70" s="1" t="str">
        <f>equip.xml!M74</f>
        <v>101_1160_1160</v>
      </c>
      <c r="M70" s="7" t="str">
        <f>equip.xml!Q74</f>
        <v>equipment/6003.png</v>
      </c>
      <c r="N70" t="str">
        <f>equip.xml!P74</f>
        <v>10000_1002_15000,30000_30001_1,30000_30002_1,30000_30003_1</v>
      </c>
    </row>
    <row r="71" spans="1:14">
      <c r="A71" s="1" t="str">
        <f>equip.xml!A75</f>
        <v>10150080</v>
      </c>
      <c r="B71" s="1">
        <f>equip.xml!B75</f>
        <v>1</v>
      </c>
      <c r="C71" s="1" t="str">
        <f>equip.xml!C75</f>
        <v>链甲战靴</v>
      </c>
      <c r="D71" s="1" t="str">
        <f>equip.xml!D75</f>
        <v>鞋子</v>
      </c>
      <c r="E71" s="1">
        <f>equip.xml!E75</f>
        <v>8</v>
      </c>
      <c r="F71" s="1">
        <f>equip.xml!F75</f>
        <v>1</v>
      </c>
      <c r="G71" s="1">
        <f>equip.xml!G75</f>
        <v>15</v>
      </c>
      <c r="H71" s="1">
        <f>equip.xml!H75</f>
        <v>0</v>
      </c>
      <c r="I71" s="1">
        <f>equip.xml!J75</f>
        <v>5</v>
      </c>
      <c r="J71" s="1">
        <f>equip.xml!K75</f>
        <v>0</v>
      </c>
      <c r="K71" s="1">
        <f>equip.xml!L75</f>
        <v>0</v>
      </c>
      <c r="L71" s="1" t="str">
        <f>equip.xml!M75</f>
        <v>110_27_27</v>
      </c>
      <c r="M71" s="7" t="str">
        <f>equip.xml!Q75</f>
        <v>equipment/8003.png</v>
      </c>
      <c r="N71" t="str">
        <f>equip.xml!P75</f>
        <v>10000_1002_15000,30000_30001_1,30000_30002_1,30000_30003_1</v>
      </c>
    </row>
    <row r="72" spans="1:14">
      <c r="A72" s="1" t="str">
        <f>equip.xml!A76</f>
        <v>10150090</v>
      </c>
      <c r="B72" s="1">
        <f>equip.xml!B76</f>
        <v>1</v>
      </c>
      <c r="C72" s="1" t="str">
        <f>equip.xml!C76</f>
        <v>战痕手套</v>
      </c>
      <c r="D72" s="1" t="str">
        <f>equip.xml!D76</f>
        <v>手套</v>
      </c>
      <c r="E72" s="1">
        <f>equip.xml!E76</f>
        <v>9</v>
      </c>
      <c r="F72" s="1">
        <f>equip.xml!F76</f>
        <v>1</v>
      </c>
      <c r="G72" s="1">
        <f>equip.xml!G76</f>
        <v>15</v>
      </c>
      <c r="H72" s="1">
        <f>equip.xml!H76</f>
        <v>0</v>
      </c>
      <c r="I72" s="1">
        <f>equip.xml!J76</f>
        <v>5</v>
      </c>
      <c r="J72" s="1">
        <f>equip.xml!K76</f>
        <v>0</v>
      </c>
      <c r="K72" s="1">
        <f>equip.xml!L76</f>
        <v>0</v>
      </c>
      <c r="L72" s="1" t="str">
        <f>equip.xml!M76</f>
        <v>108_106_106</v>
      </c>
      <c r="M72" s="7" t="str">
        <f>equip.xml!Q76</f>
        <v>equipment/10003.png</v>
      </c>
      <c r="N72" t="str">
        <f>equip.xml!P76</f>
        <v>10000_1002_15000,30000_30001_1,30000_30002_1,30000_30003_1</v>
      </c>
    </row>
    <row r="73" spans="1:14">
      <c r="A73" s="1" t="str">
        <f>equip.xml!A77</f>
        <v>10150100</v>
      </c>
      <c r="B73" s="1">
        <f>equip.xml!B77</f>
        <v>1</v>
      </c>
      <c r="C73" s="1" t="str">
        <f>equip.xml!C77</f>
        <v>使者项链</v>
      </c>
      <c r="D73" s="1" t="str">
        <f>equip.xml!D77</f>
        <v>项链</v>
      </c>
      <c r="E73" s="1">
        <f>equip.xml!E77</f>
        <v>10</v>
      </c>
      <c r="F73" s="1">
        <f>equip.xml!F77</f>
        <v>1</v>
      </c>
      <c r="G73" s="1">
        <f>equip.xml!G77</f>
        <v>15</v>
      </c>
      <c r="H73" s="1">
        <f>equip.xml!H77</f>
        <v>0</v>
      </c>
      <c r="I73" s="1">
        <f>equip.xml!J77</f>
        <v>5</v>
      </c>
      <c r="J73" s="1">
        <f>equip.xml!K77</f>
        <v>0</v>
      </c>
      <c r="K73" s="1">
        <f>equip.xml!L77</f>
        <v>0</v>
      </c>
      <c r="L73" s="1" t="str">
        <f>equip.xml!M77</f>
        <v>107_64_64</v>
      </c>
      <c r="M73" s="7" t="str">
        <f>equip.xml!Q77</f>
        <v>equipment/12002.png</v>
      </c>
      <c r="N73" t="str">
        <f>equip.xml!P77</f>
        <v>10000_1002_15000,30000_30001_1,30000_30002_1,30000_30003_1</v>
      </c>
    </row>
    <row r="74" spans="1:14">
      <c r="A74" s="1" t="str">
        <f>equip.xml!A78</f>
        <v>10151050</v>
      </c>
      <c r="B74" s="1">
        <f>equip.xml!B78</f>
        <v>1</v>
      </c>
      <c r="C74" s="1" t="str">
        <f>equip.xml!C78</f>
        <v>宽刃剑</v>
      </c>
      <c r="D74" s="1" t="str">
        <f>equip.xml!D78</f>
        <v>主手武器</v>
      </c>
      <c r="E74" s="1">
        <f>equip.xml!E78</f>
        <v>5</v>
      </c>
      <c r="F74" s="1">
        <f>equip.xml!F78</f>
        <v>1</v>
      </c>
      <c r="G74" s="1">
        <f>equip.xml!G78</f>
        <v>15</v>
      </c>
      <c r="H74" s="1" t="str">
        <f>equip.xml!H78</f>
        <v>1,1001</v>
      </c>
      <c r="I74" s="1">
        <f>equip.xml!J78</f>
        <v>5</v>
      </c>
      <c r="J74" s="1">
        <f>equip.xml!K78</f>
        <v>0</v>
      </c>
      <c r="K74" s="1">
        <f>equip.xml!L78</f>
        <v>0</v>
      </c>
      <c r="L74" s="1" t="str">
        <f>equip.xml!M78</f>
        <v>103_52_52,104_104_104</v>
      </c>
      <c r="M74" s="7" t="str">
        <f>equip.xml!Q78</f>
        <v>equipment/1108.png</v>
      </c>
      <c r="N74" t="str">
        <f>equip.xml!P78</f>
        <v>10000_1002_15000,30000_30001_1,30000_30002_1,30000_30003_1</v>
      </c>
    </row>
    <row r="75" spans="1:14">
      <c r="A75" s="1" t="str">
        <f>equip.xml!A79</f>
        <v>10151051</v>
      </c>
      <c r="B75" s="1">
        <f>equip.xml!B79</f>
        <v>1</v>
      </c>
      <c r="C75" s="1" t="str">
        <f>equip.xml!C79</f>
        <v>游侠之刃</v>
      </c>
      <c r="D75" s="1" t="str">
        <f>equip.xml!D79</f>
        <v>主手武器</v>
      </c>
      <c r="E75" s="1">
        <f>equip.xml!E79</f>
        <v>5</v>
      </c>
      <c r="F75" s="1">
        <f>equip.xml!F79</f>
        <v>1</v>
      </c>
      <c r="G75" s="1">
        <f>equip.xml!G79</f>
        <v>15</v>
      </c>
      <c r="H75" s="1" t="str">
        <f>equip.xml!H79</f>
        <v>1,1001</v>
      </c>
      <c r="I75" s="1">
        <f>equip.xml!J79</f>
        <v>5</v>
      </c>
      <c r="J75" s="1">
        <f>equip.xml!K79</f>
        <v>0</v>
      </c>
      <c r="K75" s="1">
        <f>equip.xml!L79</f>
        <v>0</v>
      </c>
      <c r="L75" s="1" t="str">
        <f>equip.xml!M79</f>
        <v>103_76_76,104_152_152</v>
      </c>
      <c r="M75" s="7" t="str">
        <f>equip.xml!Q79</f>
        <v>equipment/1107.png</v>
      </c>
      <c r="N75" t="str">
        <f>equip.xml!P79</f>
        <v>10000_1002_15000,30000_30001_1,30000_30002_1,30000_30003_1</v>
      </c>
    </row>
    <row r="76" spans="1:14">
      <c r="A76" s="1" t="str">
        <f>equip.xml!A80</f>
        <v>10151060</v>
      </c>
      <c r="B76" s="1">
        <f>equip.xml!B80</f>
        <v>1</v>
      </c>
      <c r="C76" s="1" t="str">
        <f>equip.xml!C80</f>
        <v>鸢盾</v>
      </c>
      <c r="D76" s="1" t="str">
        <f>equip.xml!D80</f>
        <v>副手武器</v>
      </c>
      <c r="E76" s="1">
        <f>equip.xml!E80</f>
        <v>6</v>
      </c>
      <c r="F76" s="1">
        <f>equip.xml!F80</f>
        <v>1</v>
      </c>
      <c r="G76" s="1">
        <f>equip.xml!G80</f>
        <v>15</v>
      </c>
      <c r="H76" s="1" t="str">
        <f>equip.xml!H80</f>
        <v>1,1001</v>
      </c>
      <c r="I76" s="1">
        <f>equip.xml!J80</f>
        <v>5</v>
      </c>
      <c r="J76" s="1">
        <f>equip.xml!K80</f>
        <v>0</v>
      </c>
      <c r="K76" s="1">
        <f>equip.xml!L80</f>
        <v>0</v>
      </c>
      <c r="L76" s="1" t="str">
        <f>equip.xml!M80</f>
        <v>105_103_103</v>
      </c>
      <c r="M76" s="7" t="str">
        <f>equip.xml!Q80</f>
        <v>equipment/2105.png</v>
      </c>
      <c r="N76" t="str">
        <f>equip.xml!P80</f>
        <v>10000_1002_15000,30000_30001_1,30000_30002_1,30000_30003_1</v>
      </c>
    </row>
    <row r="77" spans="1:14">
      <c r="A77" s="1" t="str">
        <f>equip.xml!A81</f>
        <v>10151061</v>
      </c>
      <c r="B77" s="1">
        <f>equip.xml!B81</f>
        <v>0</v>
      </c>
      <c r="C77" s="1" t="str">
        <f>equip.xml!C81</f>
        <v>尖头盾</v>
      </c>
      <c r="D77" s="1" t="str">
        <f>equip.xml!D81</f>
        <v>副手武器</v>
      </c>
      <c r="E77" s="1">
        <f>equip.xml!E81</f>
        <v>6</v>
      </c>
      <c r="F77" s="1">
        <f>equip.xml!F81</f>
        <v>1</v>
      </c>
      <c r="G77" s="1">
        <f>equip.xml!G81</f>
        <v>15</v>
      </c>
      <c r="H77" s="1" t="str">
        <f>equip.xml!H81</f>
        <v>1,1001</v>
      </c>
      <c r="I77" s="1">
        <f>equip.xml!J81</f>
        <v>5</v>
      </c>
      <c r="J77" s="1">
        <f>equip.xml!K81</f>
        <v>0</v>
      </c>
      <c r="K77" s="1">
        <f>equip.xml!L81</f>
        <v>0</v>
      </c>
      <c r="L77" s="1" t="str">
        <f>equip.xml!M81</f>
        <v>105_130_130</v>
      </c>
      <c r="M77" s="7" t="str">
        <f>equip.xml!Q81</f>
        <v>equipment/2101.png</v>
      </c>
      <c r="N77" t="str">
        <f>equip.xml!P81</f>
        <v>10000_1002_15000,30000_30001_1,30000_30002_1,30000_30003_1</v>
      </c>
    </row>
    <row r="78" spans="1:14">
      <c r="A78" s="1" t="str">
        <f>equip.xml!A82</f>
        <v>10152050</v>
      </c>
      <c r="B78" s="1">
        <f>equip.xml!B82</f>
        <v>1</v>
      </c>
      <c r="C78" s="1" t="str">
        <f>equip.xml!C82</f>
        <v>狩猎之弓</v>
      </c>
      <c r="D78" s="1" t="str">
        <f>equip.xml!D82</f>
        <v>主手武器</v>
      </c>
      <c r="E78" s="1">
        <f>equip.xml!E82</f>
        <v>5</v>
      </c>
      <c r="F78" s="1">
        <f>equip.xml!F82</f>
        <v>1</v>
      </c>
      <c r="G78" s="1">
        <f>equip.xml!G82</f>
        <v>15</v>
      </c>
      <c r="H78" s="1" t="str">
        <f>equip.xml!H82</f>
        <v>2,1002</v>
      </c>
      <c r="I78" s="1">
        <f>equip.xml!J82</f>
        <v>5</v>
      </c>
      <c r="J78" s="1">
        <f>equip.xml!K82</f>
        <v>0</v>
      </c>
      <c r="K78" s="1">
        <f>equip.xml!L82</f>
        <v>0</v>
      </c>
      <c r="L78" s="1" t="str">
        <f>equip.xml!M82</f>
        <v>103_52_52,104_104_104</v>
      </c>
      <c r="M78" s="7" t="str">
        <f>equip.xml!Q82</f>
        <v>equipment/1207.png</v>
      </c>
      <c r="N78" t="str">
        <f>equip.xml!P82</f>
        <v>10000_1002_15000,30000_30001_1,30000_30002_1,30000_30003_1</v>
      </c>
    </row>
    <row r="79" spans="1:14">
      <c r="A79" s="1" t="str">
        <f>equip.xml!A83</f>
        <v>10152051</v>
      </c>
      <c r="B79" s="1">
        <f>equip.xml!B83</f>
        <v>1</v>
      </c>
      <c r="C79" s="1" t="str">
        <f>equip.xml!C83</f>
        <v>半人马长弓</v>
      </c>
      <c r="D79" s="1" t="str">
        <f>equip.xml!D83</f>
        <v>主手武器</v>
      </c>
      <c r="E79" s="1">
        <f>equip.xml!E83</f>
        <v>5</v>
      </c>
      <c r="F79" s="1">
        <f>equip.xml!F83</f>
        <v>1</v>
      </c>
      <c r="G79" s="1">
        <f>equip.xml!G83</f>
        <v>15</v>
      </c>
      <c r="H79" s="1" t="str">
        <f>equip.xml!H83</f>
        <v>2,1002</v>
      </c>
      <c r="I79" s="1">
        <f>equip.xml!J83</f>
        <v>5</v>
      </c>
      <c r="J79" s="1">
        <f>equip.xml!K83</f>
        <v>0</v>
      </c>
      <c r="K79" s="1">
        <f>equip.xml!L83</f>
        <v>0</v>
      </c>
      <c r="L79" s="1" t="str">
        <f>equip.xml!M83</f>
        <v>103_76_76,104_152_152</v>
      </c>
      <c r="M79" s="7" t="str">
        <f>equip.xml!Q83</f>
        <v>equipment/1208.png</v>
      </c>
      <c r="N79" t="str">
        <f>equip.xml!P83</f>
        <v>10000_1002_15000,30000_30001_1,30000_30002_1,30000_30003_1</v>
      </c>
    </row>
    <row r="80" spans="1:14">
      <c r="A80" s="1" t="str">
        <f>equip.xml!A84</f>
        <v>10152060</v>
      </c>
      <c r="B80" s="1">
        <f>equip.xml!B84</f>
        <v>1</v>
      </c>
      <c r="C80" s="1" t="str">
        <f>equip.xml!C84</f>
        <v>皮革箭筒</v>
      </c>
      <c r="D80" s="1" t="str">
        <f>equip.xml!D84</f>
        <v>副手武器</v>
      </c>
      <c r="E80" s="1">
        <f>equip.xml!E84</f>
        <v>6</v>
      </c>
      <c r="F80" s="1">
        <f>equip.xml!F84</f>
        <v>1</v>
      </c>
      <c r="G80" s="1">
        <f>equip.xml!G84</f>
        <v>15</v>
      </c>
      <c r="H80" s="1" t="str">
        <f>equip.xml!H84</f>
        <v>2,1002</v>
      </c>
      <c r="I80" s="1">
        <f>equip.xml!J84</f>
        <v>5</v>
      </c>
      <c r="J80" s="1">
        <f>equip.xml!K84</f>
        <v>0</v>
      </c>
      <c r="K80" s="1">
        <f>equip.xml!L84</f>
        <v>0</v>
      </c>
      <c r="L80" s="1" t="str">
        <f>equip.xml!M84</f>
        <v>108_103_103</v>
      </c>
      <c r="M80" s="7" t="str">
        <f>equip.xml!Q84</f>
        <v>equipment/2204.png</v>
      </c>
      <c r="N80" t="str">
        <f>equip.xml!P84</f>
        <v>10000_1002_15000,30000_30001_1,30000_30002_1,30000_30003_1</v>
      </c>
    </row>
    <row r="81" spans="1:14">
      <c r="A81" s="1" t="str">
        <f>equip.xml!A85</f>
        <v>10152061</v>
      </c>
      <c r="B81" s="1">
        <f>equip.xml!B85</f>
        <v>0</v>
      </c>
      <c r="C81" s="1" t="str">
        <f>equip.xml!C85</f>
        <v>箭筒</v>
      </c>
      <c r="D81" s="1" t="str">
        <f>equip.xml!D85</f>
        <v>副手武器</v>
      </c>
      <c r="E81" s="1">
        <f>equip.xml!E85</f>
        <v>6</v>
      </c>
      <c r="F81" s="1">
        <f>equip.xml!F85</f>
        <v>1</v>
      </c>
      <c r="G81" s="1">
        <f>equip.xml!G85</f>
        <v>15</v>
      </c>
      <c r="H81" s="1" t="str">
        <f>equip.xml!H85</f>
        <v>2,1002</v>
      </c>
      <c r="I81" s="1">
        <f>equip.xml!J85</f>
        <v>5</v>
      </c>
      <c r="J81" s="1">
        <f>equip.xml!K85</f>
        <v>0</v>
      </c>
      <c r="K81" s="1">
        <f>equip.xml!L85</f>
        <v>0</v>
      </c>
      <c r="L81" s="1" t="str">
        <f>equip.xml!M85</f>
        <v>108_130_130</v>
      </c>
      <c r="M81" s="7" t="str">
        <f>equip.xml!Q85</f>
        <v>equipment/2201.png</v>
      </c>
      <c r="N81" t="str">
        <f>equip.xml!P85</f>
        <v>10000_1002_15000,30000_30001_1,30000_30002_1,30000_30003_1</v>
      </c>
    </row>
    <row r="82" spans="1:14">
      <c r="A82" s="1" t="str">
        <f>equip.xml!A86</f>
        <v>10153050</v>
      </c>
      <c r="B82" s="1">
        <f>equip.xml!B86</f>
        <v>1</v>
      </c>
      <c r="C82" s="1" t="str">
        <f>equip.xml!C86</f>
        <v>风灵法杖</v>
      </c>
      <c r="D82" s="1" t="str">
        <f>equip.xml!D86</f>
        <v>主手武器</v>
      </c>
      <c r="E82" s="1">
        <f>equip.xml!E86</f>
        <v>5</v>
      </c>
      <c r="F82" s="1">
        <f>equip.xml!F86</f>
        <v>1</v>
      </c>
      <c r="G82" s="1">
        <f>equip.xml!G86</f>
        <v>15</v>
      </c>
      <c r="H82" s="1" t="str">
        <f>equip.xml!H86</f>
        <v>3,1003</v>
      </c>
      <c r="I82" s="1">
        <f>equip.xml!J86</f>
        <v>5</v>
      </c>
      <c r="J82" s="1">
        <f>equip.xml!K86</f>
        <v>0</v>
      </c>
      <c r="K82" s="1">
        <f>equip.xml!L86</f>
        <v>0</v>
      </c>
      <c r="L82" s="1" t="str">
        <f>equip.xml!M86</f>
        <v>103_52_52,104_104_104</v>
      </c>
      <c r="M82" s="7" t="str">
        <f>equip.xml!Q86</f>
        <v>equipment/1307.png</v>
      </c>
      <c r="N82" t="str">
        <f>equip.xml!P86</f>
        <v>10000_1002_15000,30000_30001_1,30000_30002_1,30000_30003_1</v>
      </c>
    </row>
    <row r="83" spans="1:14">
      <c r="A83" s="1" t="str">
        <f>equip.xml!A87</f>
        <v>10153051</v>
      </c>
      <c r="B83" s="1">
        <f>equip.xml!B87</f>
        <v>1</v>
      </c>
      <c r="C83" s="1" t="str">
        <f>equip.xml!C87</f>
        <v>禁锢之杖</v>
      </c>
      <c r="D83" s="1" t="str">
        <f>equip.xml!D87</f>
        <v>主手武器</v>
      </c>
      <c r="E83" s="1">
        <f>equip.xml!E87</f>
        <v>5</v>
      </c>
      <c r="F83" s="1">
        <f>equip.xml!F87</f>
        <v>1</v>
      </c>
      <c r="G83" s="1">
        <f>equip.xml!G87</f>
        <v>15</v>
      </c>
      <c r="H83" s="1" t="str">
        <f>equip.xml!H87</f>
        <v>3,1003</v>
      </c>
      <c r="I83" s="1">
        <f>equip.xml!J87</f>
        <v>5</v>
      </c>
      <c r="J83" s="1">
        <f>equip.xml!K87</f>
        <v>0</v>
      </c>
      <c r="K83" s="1">
        <f>equip.xml!L87</f>
        <v>0</v>
      </c>
      <c r="L83" s="1" t="str">
        <f>equip.xml!M87</f>
        <v>103_76_76,104_152_152</v>
      </c>
      <c r="M83" s="7" t="str">
        <f>equip.xml!Q87</f>
        <v>equipment/1308.png</v>
      </c>
      <c r="N83" t="str">
        <f>equip.xml!P87</f>
        <v>10000_1002_15000,30000_30001_1,30000_30002_1,30000_30003_1</v>
      </c>
    </row>
    <row r="84" spans="1:14">
      <c r="A84" s="1" t="str">
        <f>equip.xml!A88</f>
        <v>10153060</v>
      </c>
      <c r="B84" s="1">
        <f>equip.xml!B88</f>
        <v>1</v>
      </c>
      <c r="C84" s="1" t="str">
        <f>equip.xml!C88</f>
        <v>秘法之书</v>
      </c>
      <c r="D84" s="1" t="str">
        <f>equip.xml!D88</f>
        <v>副手武器</v>
      </c>
      <c r="E84" s="1">
        <f>equip.xml!E88</f>
        <v>6</v>
      </c>
      <c r="F84" s="1">
        <f>equip.xml!F88</f>
        <v>1</v>
      </c>
      <c r="G84" s="1">
        <f>equip.xml!G88</f>
        <v>15</v>
      </c>
      <c r="H84" s="1" t="str">
        <f>equip.xml!H88</f>
        <v>3,1003</v>
      </c>
      <c r="I84" s="1">
        <f>equip.xml!J88</f>
        <v>5</v>
      </c>
      <c r="J84" s="1">
        <f>equip.xml!K88</f>
        <v>0</v>
      </c>
      <c r="K84" s="1">
        <f>equip.xml!L88</f>
        <v>0</v>
      </c>
      <c r="L84" s="1" t="str">
        <f>equip.xml!M88</f>
        <v>102_420_420</v>
      </c>
      <c r="M84" s="7" t="str">
        <f>equip.xml!Q88</f>
        <v>equipment/2304.png</v>
      </c>
      <c r="N84" t="str">
        <f>equip.xml!P88</f>
        <v>10000_1002_15000,30000_30001_1,30000_30002_1,30000_30003_1</v>
      </c>
    </row>
    <row r="85" spans="1:14">
      <c r="A85" s="1" t="str">
        <f>equip.xml!A89</f>
        <v>10153061</v>
      </c>
      <c r="B85" s="1">
        <f>equip.xml!B89</f>
        <v>0</v>
      </c>
      <c r="C85" s="1" t="str">
        <f>equip.xml!C89</f>
        <v>法术指南</v>
      </c>
      <c r="D85" s="1" t="str">
        <f>equip.xml!D89</f>
        <v>副手武器</v>
      </c>
      <c r="E85" s="1">
        <f>equip.xml!E89</f>
        <v>6</v>
      </c>
      <c r="F85" s="1">
        <f>equip.xml!F89</f>
        <v>1</v>
      </c>
      <c r="G85" s="1">
        <f>equip.xml!G89</f>
        <v>15</v>
      </c>
      <c r="H85" s="1" t="str">
        <f>equip.xml!H89</f>
        <v>3,1003</v>
      </c>
      <c r="I85" s="1">
        <f>equip.xml!J89</f>
        <v>5</v>
      </c>
      <c r="J85" s="1">
        <f>equip.xml!K89</f>
        <v>0</v>
      </c>
      <c r="K85" s="1">
        <f>equip.xml!L89</f>
        <v>0</v>
      </c>
      <c r="L85" s="1" t="str">
        <f>equip.xml!M89</f>
        <v>102_472_472</v>
      </c>
      <c r="M85" s="7" t="str">
        <f>equip.xml!Q89</f>
        <v>equipment/2301.png</v>
      </c>
      <c r="N85" t="str">
        <f>equip.xml!P89</f>
        <v>10000_1002_15000,30000_30001_1,30000_30002_1,30000_30003_1</v>
      </c>
    </row>
    <row r="86" spans="1:14">
      <c r="A86" s="1" t="str">
        <f>equip.xml!A90</f>
        <v>10150040</v>
      </c>
      <c r="B86" s="1">
        <f>equip.xml!B90</f>
        <v>1</v>
      </c>
      <c r="C86" s="1" t="str">
        <f>equip.xml!C90</f>
        <v>暗石胸甲</v>
      </c>
      <c r="D86" s="1" t="str">
        <f>equip.xml!D90</f>
        <v>胸甲</v>
      </c>
      <c r="E86" s="1">
        <f>equip.xml!E90</f>
        <v>4</v>
      </c>
      <c r="F86" s="1">
        <f>equip.xml!F90</f>
        <v>1</v>
      </c>
      <c r="G86" s="1">
        <f>equip.xml!G90</f>
        <v>15</v>
      </c>
      <c r="H86" s="1">
        <f>equip.xml!H90</f>
        <v>0</v>
      </c>
      <c r="I86" s="1">
        <f>equip.xml!J90</f>
        <v>5</v>
      </c>
      <c r="J86" s="1">
        <f>equip.xml!K90</f>
        <v>0</v>
      </c>
      <c r="K86" s="1">
        <f>equip.xml!L90</f>
        <v>0</v>
      </c>
      <c r="L86" s="1" t="str">
        <f>equip.xml!M90</f>
        <v>105_39_39</v>
      </c>
      <c r="M86" s="7" t="str">
        <f>equip.xml!Q90</f>
        <v>equipment/5005.png</v>
      </c>
      <c r="N86" t="str">
        <f>equip.xml!P90</f>
        <v>10000_1002_15000,30000_30001_1,30000_30002_1,30000_30003_1</v>
      </c>
    </row>
    <row r="87" spans="1:14">
      <c r="A87" s="1" t="str">
        <f>equip.xml!A91</f>
        <v>10150041</v>
      </c>
      <c r="B87" s="1">
        <f>equip.xml!B91</f>
        <v>0</v>
      </c>
      <c r="C87" s="1" t="str">
        <f>equip.xml!C91</f>
        <v>新兵外套</v>
      </c>
      <c r="D87" s="1" t="str">
        <f>equip.xml!D91</f>
        <v>胸甲</v>
      </c>
      <c r="E87" s="1">
        <f>equip.xml!E91</f>
        <v>4</v>
      </c>
      <c r="F87" s="1">
        <f>equip.xml!F91</f>
        <v>1</v>
      </c>
      <c r="G87" s="1">
        <f>equip.xml!G91</f>
        <v>15</v>
      </c>
      <c r="H87" s="1">
        <f>equip.xml!H91</f>
        <v>0</v>
      </c>
      <c r="I87" s="1">
        <f>equip.xml!J91</f>
        <v>5</v>
      </c>
      <c r="J87" s="1">
        <f>equip.xml!K91</f>
        <v>0</v>
      </c>
      <c r="K87" s="1">
        <f>equip.xml!L91</f>
        <v>0</v>
      </c>
      <c r="L87" s="1" t="str">
        <f>equip.xml!M91</f>
        <v>105_64_64</v>
      </c>
      <c r="M87" s="7" t="str">
        <f>equip.xml!Q91</f>
        <v>equipment/5001.png</v>
      </c>
      <c r="N87" t="str">
        <f>equip.xml!P91</f>
        <v>10000_1002_15000,30000_30001_1,30000_30002_1,30000_30003_1</v>
      </c>
    </row>
    <row r="88" spans="1:14">
      <c r="A88" s="1" t="str">
        <f>equip.xml!A92</f>
        <v>10150070</v>
      </c>
      <c r="B88" s="1">
        <f>equip.xml!B92</f>
        <v>1</v>
      </c>
      <c r="C88" s="1" t="str">
        <f>equip.xml!C92</f>
        <v>荒野马裤</v>
      </c>
      <c r="D88" s="1" t="str">
        <f>equip.xml!D92</f>
        <v>护腿</v>
      </c>
      <c r="E88" s="1">
        <f>equip.xml!E92</f>
        <v>7</v>
      </c>
      <c r="F88" s="1">
        <f>equip.xml!F92</f>
        <v>1</v>
      </c>
      <c r="G88" s="1">
        <f>equip.xml!G92</f>
        <v>15</v>
      </c>
      <c r="H88" s="1">
        <f>equip.xml!H92</f>
        <v>0</v>
      </c>
      <c r="I88" s="1">
        <f>equip.xml!J92</f>
        <v>5</v>
      </c>
      <c r="J88" s="1">
        <f>equip.xml!K92</f>
        <v>0</v>
      </c>
      <c r="K88" s="1">
        <f>equip.xml!L92</f>
        <v>0</v>
      </c>
      <c r="L88" s="1" t="str">
        <f>equip.xml!M92</f>
        <v>105_39_39</v>
      </c>
      <c r="M88" s="7" t="str">
        <f>equip.xml!Q92</f>
        <v>equipment/7003.png</v>
      </c>
      <c r="N88" t="str">
        <f>equip.xml!P92</f>
        <v>10000_1002_15000,30000_30001_1,30000_30002_1,30000_30003_1</v>
      </c>
    </row>
    <row r="89" spans="1:14">
      <c r="A89" s="1" t="str">
        <f>equip.xml!A93</f>
        <v>10150071</v>
      </c>
      <c r="B89" s="1">
        <f>equip.xml!B93</f>
        <v>0</v>
      </c>
      <c r="C89" s="1" t="str">
        <f>equip.xml!C93</f>
        <v>学徒短裤</v>
      </c>
      <c r="D89" s="1" t="str">
        <f>equip.xml!D93</f>
        <v>护腿</v>
      </c>
      <c r="E89" s="1">
        <f>equip.xml!E93</f>
        <v>7</v>
      </c>
      <c r="F89" s="1">
        <f>equip.xml!F93</f>
        <v>1</v>
      </c>
      <c r="G89" s="1">
        <f>equip.xml!G93</f>
        <v>15</v>
      </c>
      <c r="H89" s="1">
        <f>equip.xml!H93</f>
        <v>0</v>
      </c>
      <c r="I89" s="1">
        <f>equip.xml!J93</f>
        <v>5</v>
      </c>
      <c r="J89" s="1">
        <f>equip.xml!K93</f>
        <v>0</v>
      </c>
      <c r="K89" s="1">
        <f>equip.xml!L93</f>
        <v>0</v>
      </c>
      <c r="L89" s="1" t="str">
        <f>equip.xml!M93</f>
        <v>105_50_50</v>
      </c>
      <c r="M89" s="7" t="str">
        <f>equip.xml!Q93</f>
        <v>equipment/7001.png</v>
      </c>
      <c r="N89" t="str">
        <f>equip.xml!P93</f>
        <v>10000_1002_15000,30000_30001_1,30000_30002_1,30000_30003_1</v>
      </c>
    </row>
    <row r="90" spans="1:14">
      <c r="A90" s="1" t="str">
        <f>equip.xml!A94</f>
        <v>10200010</v>
      </c>
      <c r="B90" s="1">
        <f>equip.xml!B94</f>
        <v>1</v>
      </c>
      <c r="C90" s="1" t="str">
        <f>equip.xml!C94</f>
        <v>卫士头盔</v>
      </c>
      <c r="D90" s="1" t="str">
        <f>equip.xml!D94</f>
        <v>头盔</v>
      </c>
      <c r="E90" s="1">
        <f>equip.xml!E94</f>
        <v>1</v>
      </c>
      <c r="F90" s="1">
        <f>equip.xml!F94</f>
        <v>1</v>
      </c>
      <c r="G90" s="1">
        <f>equip.xml!G94</f>
        <v>20</v>
      </c>
      <c r="H90" s="1">
        <f>equip.xml!H94</f>
        <v>0</v>
      </c>
      <c r="I90" s="1">
        <f>equip.xml!J94</f>
        <v>5</v>
      </c>
      <c r="J90" s="1">
        <f>equip.xml!K94</f>
        <v>0</v>
      </c>
      <c r="K90" s="1">
        <f>equip.xml!L94</f>
        <v>0</v>
      </c>
      <c r="L90" s="1" t="str">
        <f>equip.xml!M94</f>
        <v>106_136_136</v>
      </c>
      <c r="M90" s="7" t="str">
        <f>equip.xml!Q94</f>
        <v>equipment/3003.png</v>
      </c>
      <c r="N90" t="str">
        <f>equip.xml!P94</f>
        <v>10000_1002_20000,30000_30001_1,30000_30002_1,30000_30003_1</v>
      </c>
    </row>
    <row r="91" spans="1:14">
      <c r="A91" s="1" t="str">
        <f>equip.xml!A95</f>
        <v>10200020</v>
      </c>
      <c r="B91" s="1">
        <f>equip.xml!B95</f>
        <v>1</v>
      </c>
      <c r="C91" s="1" t="str">
        <f>equip.xml!C95</f>
        <v>石岩指环</v>
      </c>
      <c r="D91" s="1" t="str">
        <f>equip.xml!D95</f>
        <v>戒指</v>
      </c>
      <c r="E91" s="1">
        <f>equip.xml!E95</f>
        <v>2</v>
      </c>
      <c r="F91" s="1">
        <f>equip.xml!F95</f>
        <v>1</v>
      </c>
      <c r="G91" s="1">
        <f>equip.xml!G95</f>
        <v>20</v>
      </c>
      <c r="H91" s="1">
        <f>equip.xml!H95</f>
        <v>0</v>
      </c>
      <c r="I91" s="1">
        <f>equip.xml!J95</f>
        <v>5</v>
      </c>
      <c r="J91" s="1">
        <f>equip.xml!K95</f>
        <v>0</v>
      </c>
      <c r="K91" s="1">
        <f>equip.xml!L95</f>
        <v>0</v>
      </c>
      <c r="L91" s="1" t="str">
        <f>equip.xml!M95</f>
        <v>102_240_240</v>
      </c>
      <c r="M91" s="7" t="str">
        <f>equip.xml!Q95</f>
        <v>equipment/14003.png</v>
      </c>
      <c r="N91" t="str">
        <f>equip.xml!P95</f>
        <v>10000_1002_20000,30000_30001_1,30000_30002_1,30000_30003_1</v>
      </c>
    </row>
    <row r="92" spans="1:14">
      <c r="A92" s="1" t="str">
        <f>equip.xml!A96</f>
        <v>10200030</v>
      </c>
      <c r="B92" s="1">
        <f>equip.xml!B96</f>
        <v>1</v>
      </c>
      <c r="C92" s="1" t="str">
        <f>equip.xml!C96</f>
        <v>战士束带</v>
      </c>
      <c r="D92" s="1" t="str">
        <f>equip.xml!D96</f>
        <v>腰带</v>
      </c>
      <c r="E92" s="1">
        <f>equip.xml!E96</f>
        <v>3</v>
      </c>
      <c r="F92" s="1">
        <f>equip.xml!F96</f>
        <v>1</v>
      </c>
      <c r="G92" s="1">
        <f>equip.xml!G96</f>
        <v>20</v>
      </c>
      <c r="H92" s="1">
        <f>equip.xml!H96</f>
        <v>0</v>
      </c>
      <c r="I92" s="1">
        <f>equip.xml!J96</f>
        <v>5</v>
      </c>
      <c r="J92" s="1">
        <f>equip.xml!K96</f>
        <v>0</v>
      </c>
      <c r="K92" s="1">
        <f>equip.xml!L96</f>
        <v>0</v>
      </c>
      <c r="L92" s="1" t="str">
        <f>equip.xml!M96</f>
        <v>101_2120_2120</v>
      </c>
      <c r="M92" s="7" t="str">
        <f>equip.xml!Q96</f>
        <v>equipment/6004.png</v>
      </c>
      <c r="N92" t="str">
        <f>equip.xml!P96</f>
        <v>10000_1002_20000,30000_30001_1,30000_30002_1,30000_30003_1</v>
      </c>
    </row>
    <row r="93" spans="1:14">
      <c r="A93" s="1" t="str">
        <f>equip.xml!A97</f>
        <v>10200080</v>
      </c>
      <c r="B93" s="1">
        <f>equip.xml!B97</f>
        <v>0</v>
      </c>
      <c r="C93" s="1" t="str">
        <f>equip.xml!C97</f>
        <v>皮靴</v>
      </c>
      <c r="D93" s="1" t="str">
        <f>equip.xml!D97</f>
        <v>鞋子</v>
      </c>
      <c r="E93" s="1">
        <f>equip.xml!E97</f>
        <v>8</v>
      </c>
      <c r="F93" s="1">
        <f>equip.xml!F97</f>
        <v>1</v>
      </c>
      <c r="G93" s="1">
        <f>equip.xml!G97</f>
        <v>20</v>
      </c>
      <c r="H93" s="1">
        <f>equip.xml!H97</f>
        <v>0</v>
      </c>
      <c r="I93" s="1">
        <f>equip.xml!J97</f>
        <v>5</v>
      </c>
      <c r="J93" s="1">
        <f>equip.xml!K97</f>
        <v>0</v>
      </c>
      <c r="K93" s="1">
        <f>equip.xml!L97</f>
        <v>0</v>
      </c>
      <c r="L93" s="1" t="str">
        <f>equip.xml!M97</f>
        <v>110_40_40</v>
      </c>
      <c r="M93" s="7" t="str">
        <f>equip.xml!Q97</f>
        <v>equipment/8001.png</v>
      </c>
      <c r="N93" t="str">
        <f>equip.xml!P97</f>
        <v>10000_1002_20000,30000_30001_1,30000_30002_1,30000_30003_1</v>
      </c>
    </row>
    <row r="94" spans="1:14">
      <c r="A94" s="1" t="str">
        <f>equip.xml!A98</f>
        <v>10200090</v>
      </c>
      <c r="B94" s="1">
        <f>equip.xml!B98</f>
        <v>1</v>
      </c>
      <c r="C94" s="1" t="str">
        <f>equip.xml!C98</f>
        <v>工程手套</v>
      </c>
      <c r="D94" s="1" t="str">
        <f>equip.xml!D98</f>
        <v>手套</v>
      </c>
      <c r="E94" s="1">
        <f>equip.xml!E98</f>
        <v>9</v>
      </c>
      <c r="F94" s="1">
        <f>equip.xml!F98</f>
        <v>1</v>
      </c>
      <c r="G94" s="1">
        <f>equip.xml!G98</f>
        <v>20</v>
      </c>
      <c r="H94" s="1">
        <f>equip.xml!H98</f>
        <v>0</v>
      </c>
      <c r="I94" s="1">
        <f>equip.xml!J98</f>
        <v>5</v>
      </c>
      <c r="J94" s="1">
        <f>equip.xml!K98</f>
        <v>0</v>
      </c>
      <c r="K94" s="1">
        <f>equip.xml!L98</f>
        <v>0</v>
      </c>
      <c r="L94" s="1" t="str">
        <f>equip.xml!M98</f>
        <v>108_211_211</v>
      </c>
      <c r="M94" s="7" t="str">
        <f>equip.xml!Q98</f>
        <v>equipment/10004.png</v>
      </c>
      <c r="N94" t="str">
        <f>equip.xml!P98</f>
        <v>10000_1002_20000,30000_30001_1,30000_30002_1,30000_30003_1</v>
      </c>
    </row>
    <row r="95" spans="1:14">
      <c r="A95" s="1" t="str">
        <f>equip.xml!A99</f>
        <v>10200100</v>
      </c>
      <c r="B95" s="1">
        <f>equip.xml!B99</f>
        <v>1</v>
      </c>
      <c r="C95" s="1" t="str">
        <f>equip.xml!C99</f>
        <v>翡翠项链</v>
      </c>
      <c r="D95" s="1" t="str">
        <f>equip.xml!D99</f>
        <v>项链</v>
      </c>
      <c r="E95" s="1">
        <f>equip.xml!E99</f>
        <v>10</v>
      </c>
      <c r="F95" s="1">
        <f>equip.xml!F99</f>
        <v>1</v>
      </c>
      <c r="G95" s="1">
        <f>equip.xml!G99</f>
        <v>20</v>
      </c>
      <c r="H95" s="1">
        <f>equip.xml!H99</f>
        <v>0</v>
      </c>
      <c r="I95" s="1">
        <f>equip.xml!J99</f>
        <v>5</v>
      </c>
      <c r="J95" s="1">
        <f>equip.xml!K99</f>
        <v>0</v>
      </c>
      <c r="K95" s="1">
        <f>equip.xml!L99</f>
        <v>0</v>
      </c>
      <c r="L95" s="1" t="str">
        <f>equip.xml!M99</f>
        <v>107_136_136</v>
      </c>
      <c r="M95" s="7" t="str">
        <f>equip.xml!Q99</f>
        <v>equipment/12003.png</v>
      </c>
      <c r="N95" t="str">
        <f>equip.xml!P99</f>
        <v>10000_1002_20000,30000_30001_1,30000_30002_1,30000_30003_1</v>
      </c>
    </row>
    <row r="96" spans="1:14">
      <c r="A96" s="1" t="str">
        <f>equip.xml!A100</f>
        <v>10201050</v>
      </c>
      <c r="B96" s="1">
        <f>equip.xml!B100</f>
        <v>1</v>
      </c>
      <c r="C96" s="1" t="str">
        <f>equip.xml!C100</f>
        <v>勇者长剑</v>
      </c>
      <c r="D96" s="1" t="str">
        <f>equip.xml!D100</f>
        <v>主手武器</v>
      </c>
      <c r="E96" s="1">
        <f>equip.xml!E100</f>
        <v>5</v>
      </c>
      <c r="F96" s="1">
        <f>equip.xml!F100</f>
        <v>1</v>
      </c>
      <c r="G96" s="1">
        <f>equip.xml!G100</f>
        <v>20</v>
      </c>
      <c r="H96" s="1" t="str">
        <f>equip.xml!H100</f>
        <v>1,1001</v>
      </c>
      <c r="I96" s="1">
        <f>equip.xml!J100</f>
        <v>5</v>
      </c>
      <c r="J96" s="1">
        <f>equip.xml!K100</f>
        <v>0</v>
      </c>
      <c r="K96" s="1">
        <f>equip.xml!L100</f>
        <v>0</v>
      </c>
      <c r="L96" s="1" t="str">
        <f>equip.xml!M100</f>
        <v>103_113_113,104_226_226</v>
      </c>
      <c r="M96" s="7" t="str">
        <f>equip.xml!Q100</f>
        <v>equipment/1109.png</v>
      </c>
      <c r="N96" t="str">
        <f>equip.xml!P100</f>
        <v>10000_1002_20000,30000_30001_1,30000_30002_1,30000_30003_1</v>
      </c>
    </row>
    <row r="97" spans="1:14">
      <c r="A97" s="1" t="str">
        <f>equip.xml!A101</f>
        <v>10201051</v>
      </c>
      <c r="B97" s="1">
        <f>equip.xml!B101</f>
        <v>0</v>
      </c>
      <c r="C97" s="1" t="str">
        <f>equip.xml!C101</f>
        <v>军刀</v>
      </c>
      <c r="D97" s="1" t="str">
        <f>equip.xml!D101</f>
        <v>主手武器</v>
      </c>
      <c r="E97" s="1">
        <f>equip.xml!E101</f>
        <v>5</v>
      </c>
      <c r="F97" s="1">
        <f>equip.xml!F101</f>
        <v>1</v>
      </c>
      <c r="G97" s="1">
        <f>equip.xml!G101</f>
        <v>20</v>
      </c>
      <c r="H97" s="1" t="str">
        <f>equip.xml!H101</f>
        <v>1,1001</v>
      </c>
      <c r="I97" s="1">
        <f>equip.xml!J101</f>
        <v>5</v>
      </c>
      <c r="J97" s="1">
        <f>equip.xml!K101</f>
        <v>0</v>
      </c>
      <c r="K97" s="1">
        <f>equip.xml!L101</f>
        <v>0</v>
      </c>
      <c r="L97" s="1" t="str">
        <f>equip.xml!M101</f>
        <v>103_138_138,104_276_276</v>
      </c>
      <c r="M97" s="7" t="str">
        <f>equip.xml!Q101</f>
        <v>equipment/1101.png</v>
      </c>
      <c r="N97" t="str">
        <f>equip.xml!P101</f>
        <v>10000_1002_20000,30000_30001_1,30000_30002_1,30000_30003_1</v>
      </c>
    </row>
    <row r="98" spans="1:14">
      <c r="A98" s="1" t="str">
        <f>equip.xml!A102</f>
        <v>10201060</v>
      </c>
      <c r="B98" s="1">
        <f>equip.xml!B102</f>
        <v>1</v>
      </c>
      <c r="C98" s="1" t="str">
        <f>equip.xml!C102</f>
        <v>护卫之盾</v>
      </c>
      <c r="D98" s="1" t="str">
        <f>equip.xml!D102</f>
        <v>副手武器</v>
      </c>
      <c r="E98" s="1">
        <f>equip.xml!E102</f>
        <v>6</v>
      </c>
      <c r="F98" s="1">
        <f>equip.xml!F102</f>
        <v>1</v>
      </c>
      <c r="G98" s="1">
        <f>equip.xml!G102</f>
        <v>20</v>
      </c>
      <c r="H98" s="1" t="str">
        <f>equip.xml!H102</f>
        <v>1,1001</v>
      </c>
      <c r="I98" s="1">
        <f>equip.xml!J102</f>
        <v>5</v>
      </c>
      <c r="J98" s="1">
        <f>equip.xml!K102</f>
        <v>0</v>
      </c>
      <c r="K98" s="1">
        <f>equip.xml!L102</f>
        <v>0</v>
      </c>
      <c r="L98" s="1" t="str">
        <f>equip.xml!M102</f>
        <v>105_171_171</v>
      </c>
      <c r="M98" s="7" t="str">
        <f>equip.xml!Q102</f>
        <v>equipment/2104.png</v>
      </c>
      <c r="N98" t="str">
        <f>equip.xml!P102</f>
        <v>10000_1002_20000,30000_30001_1,30000_30002_1,30000_30003_1</v>
      </c>
    </row>
    <row r="99" spans="1:14">
      <c r="A99" s="1" t="str">
        <f>equip.xml!A103</f>
        <v>10201061</v>
      </c>
      <c r="B99" s="1">
        <f>equip.xml!B103</f>
        <v>0</v>
      </c>
      <c r="C99" s="1" t="str">
        <f>equip.xml!C103</f>
        <v>尖头盾</v>
      </c>
      <c r="D99" s="1" t="str">
        <f>equip.xml!D103</f>
        <v>副手武器</v>
      </c>
      <c r="E99" s="1">
        <f>equip.xml!E103</f>
        <v>6</v>
      </c>
      <c r="F99" s="1">
        <f>equip.xml!F103</f>
        <v>1</v>
      </c>
      <c r="G99" s="1">
        <f>equip.xml!G103</f>
        <v>20</v>
      </c>
      <c r="H99" s="1" t="str">
        <f>equip.xml!H103</f>
        <v>1,1001</v>
      </c>
      <c r="I99" s="1">
        <f>equip.xml!J103</f>
        <v>5</v>
      </c>
      <c r="J99" s="1">
        <f>equip.xml!K103</f>
        <v>0</v>
      </c>
      <c r="K99" s="1">
        <f>equip.xml!L103</f>
        <v>0</v>
      </c>
      <c r="L99" s="1" t="str">
        <f>equip.xml!M103</f>
        <v>105_205_205</v>
      </c>
      <c r="M99" s="7" t="str">
        <f>equip.xml!Q103</f>
        <v>equipment/2101.png</v>
      </c>
      <c r="N99" t="str">
        <f>equip.xml!P103</f>
        <v>10000_1002_20000,30000_30001_1,30000_30002_1,30000_30003_1</v>
      </c>
    </row>
    <row r="100" spans="1:14">
      <c r="A100" s="1" t="str">
        <f>equip.xml!A104</f>
        <v>10202050</v>
      </c>
      <c r="B100" s="1">
        <f>equip.xml!B104</f>
        <v>1</v>
      </c>
      <c r="C100" s="1" t="str">
        <f>equip.xml!C104</f>
        <v>护卫之弓</v>
      </c>
      <c r="D100" s="1" t="str">
        <f>equip.xml!D104</f>
        <v>主手武器</v>
      </c>
      <c r="E100" s="1">
        <f>equip.xml!E104</f>
        <v>5</v>
      </c>
      <c r="F100" s="1">
        <f>equip.xml!F104</f>
        <v>1</v>
      </c>
      <c r="G100" s="1">
        <f>equip.xml!G104</f>
        <v>20</v>
      </c>
      <c r="H100" s="1" t="str">
        <f>equip.xml!H104</f>
        <v>2,1002</v>
      </c>
      <c r="I100" s="1">
        <f>equip.xml!J104</f>
        <v>5</v>
      </c>
      <c r="J100" s="1">
        <f>equip.xml!K104</f>
        <v>0</v>
      </c>
      <c r="K100" s="1">
        <f>equip.xml!L104</f>
        <v>0</v>
      </c>
      <c r="L100" s="1" t="str">
        <f>equip.xml!M104</f>
        <v>103_113_113,104_226_226</v>
      </c>
      <c r="M100" s="7" t="str">
        <f>equip.xml!Q104</f>
        <v>equipment/1209.png</v>
      </c>
      <c r="N100" t="str">
        <f>equip.xml!P104</f>
        <v>10000_1002_20000,30000_30001_1,30000_30002_1,30000_30003_1</v>
      </c>
    </row>
    <row r="101" spans="1:14">
      <c r="A101" s="1" t="str">
        <f>equip.xml!A105</f>
        <v>10202051</v>
      </c>
      <c r="B101" s="1">
        <f>equip.xml!B105</f>
        <v>0</v>
      </c>
      <c r="C101" s="1" t="str">
        <f>equip.xml!C105</f>
        <v>棘木弓</v>
      </c>
      <c r="D101" s="1" t="str">
        <f>equip.xml!D105</f>
        <v>主手武器</v>
      </c>
      <c r="E101" s="1">
        <f>equip.xml!E105</f>
        <v>5</v>
      </c>
      <c r="F101" s="1">
        <f>equip.xml!F105</f>
        <v>1</v>
      </c>
      <c r="G101" s="1">
        <f>equip.xml!G105</f>
        <v>20</v>
      </c>
      <c r="H101" s="1" t="str">
        <f>equip.xml!H105</f>
        <v>2,1002</v>
      </c>
      <c r="I101" s="1">
        <f>equip.xml!J105</f>
        <v>5</v>
      </c>
      <c r="J101" s="1">
        <f>equip.xml!K105</f>
        <v>0</v>
      </c>
      <c r="K101" s="1">
        <f>equip.xml!L105</f>
        <v>0</v>
      </c>
      <c r="L101" s="1" t="str">
        <f>equip.xml!M105</f>
        <v>103_138_138,104_276_276</v>
      </c>
      <c r="M101" s="7" t="str">
        <f>equip.xml!Q105</f>
        <v>equipment/1201.png</v>
      </c>
      <c r="N101" t="str">
        <f>equip.xml!P105</f>
        <v>10000_1002_20000,30000_30001_1,30000_30002_1,30000_30003_1</v>
      </c>
    </row>
    <row r="102" spans="1:14">
      <c r="A102" s="1" t="str">
        <f>equip.xml!A106</f>
        <v>10202060</v>
      </c>
      <c r="B102" s="1">
        <f>equip.xml!B106</f>
        <v>1</v>
      </c>
      <c r="C102" s="1" t="str">
        <f>equip.xml!C106</f>
        <v>狩猎箭筒</v>
      </c>
      <c r="D102" s="1" t="str">
        <f>equip.xml!D106</f>
        <v>副手武器</v>
      </c>
      <c r="E102" s="1">
        <f>equip.xml!E106</f>
        <v>6</v>
      </c>
      <c r="F102" s="1">
        <f>equip.xml!F106</f>
        <v>1</v>
      </c>
      <c r="G102" s="1">
        <f>equip.xml!G106</f>
        <v>20</v>
      </c>
      <c r="H102" s="1" t="str">
        <f>equip.xml!H106</f>
        <v>2,1002</v>
      </c>
      <c r="I102" s="1">
        <f>equip.xml!J106</f>
        <v>5</v>
      </c>
      <c r="J102" s="1">
        <f>equip.xml!K106</f>
        <v>0</v>
      </c>
      <c r="K102" s="1">
        <f>equip.xml!L106</f>
        <v>0</v>
      </c>
      <c r="L102" s="1" t="str">
        <f>equip.xml!M106</f>
        <v>108_171_171</v>
      </c>
      <c r="M102" s="7" t="str">
        <f>equip.xml!Q106</f>
        <v>equipment/2205.png</v>
      </c>
      <c r="N102" t="str">
        <f>equip.xml!P106</f>
        <v>10000_1002_20000,30000_30001_1,30000_30002_1,30000_30003_1</v>
      </c>
    </row>
    <row r="103" spans="1:14">
      <c r="A103" s="1" t="str">
        <f>equip.xml!A107</f>
        <v>10202061</v>
      </c>
      <c r="B103" s="1">
        <f>equip.xml!B107</f>
        <v>0</v>
      </c>
      <c r="C103" s="1" t="str">
        <f>equip.xml!C107</f>
        <v>箭筒</v>
      </c>
      <c r="D103" s="1" t="str">
        <f>equip.xml!D107</f>
        <v>副手武器</v>
      </c>
      <c r="E103" s="1">
        <f>equip.xml!E107</f>
        <v>6</v>
      </c>
      <c r="F103" s="1">
        <f>equip.xml!F107</f>
        <v>1</v>
      </c>
      <c r="G103" s="1">
        <f>equip.xml!G107</f>
        <v>20</v>
      </c>
      <c r="H103" s="1" t="str">
        <f>equip.xml!H107</f>
        <v>2,1002</v>
      </c>
      <c r="I103" s="1">
        <f>equip.xml!J107</f>
        <v>5</v>
      </c>
      <c r="J103" s="1">
        <f>equip.xml!K107</f>
        <v>0</v>
      </c>
      <c r="K103" s="1">
        <f>equip.xml!L107</f>
        <v>0</v>
      </c>
      <c r="L103" s="1" t="str">
        <f>equip.xml!M107</f>
        <v>108_205_205</v>
      </c>
      <c r="M103" s="7" t="str">
        <f>equip.xml!Q107</f>
        <v>equipment/2201.png</v>
      </c>
      <c r="N103" t="str">
        <f>equip.xml!P107</f>
        <v>10000_1002_20000,30000_30001_1,30000_30002_1,30000_30003_1</v>
      </c>
    </row>
    <row r="104" spans="1:14">
      <c r="A104" s="1" t="str">
        <f>equip.xml!A108</f>
        <v>10203050</v>
      </c>
      <c r="B104" s="1">
        <f>equip.xml!B108</f>
        <v>1</v>
      </c>
      <c r="C104" s="1" t="str">
        <f>equip.xml!C108</f>
        <v>保护法杖</v>
      </c>
      <c r="D104" s="1" t="str">
        <f>equip.xml!D108</f>
        <v>主手武器</v>
      </c>
      <c r="E104" s="1">
        <f>equip.xml!E108</f>
        <v>5</v>
      </c>
      <c r="F104" s="1">
        <f>equip.xml!F108</f>
        <v>1</v>
      </c>
      <c r="G104" s="1">
        <f>equip.xml!G108</f>
        <v>20</v>
      </c>
      <c r="H104" s="1" t="str">
        <f>equip.xml!H108</f>
        <v>3,1003</v>
      </c>
      <c r="I104" s="1">
        <f>equip.xml!J108</f>
        <v>5</v>
      </c>
      <c r="J104" s="1">
        <f>equip.xml!K108</f>
        <v>0</v>
      </c>
      <c r="K104" s="1">
        <f>equip.xml!L108</f>
        <v>0</v>
      </c>
      <c r="L104" s="1" t="str">
        <f>equip.xml!M108</f>
        <v>103_113_113,104_226_226</v>
      </c>
      <c r="M104" s="7" t="str">
        <f>equip.xml!Q108</f>
        <v>equipment/1309.png</v>
      </c>
      <c r="N104" t="str">
        <f>equip.xml!P108</f>
        <v>10000_1002_20000,30000_30001_1,30000_30002_1,30000_30003_1</v>
      </c>
    </row>
    <row r="105" spans="1:14">
      <c r="A105" s="1" t="str">
        <f>equip.xml!A109</f>
        <v>10203051</v>
      </c>
      <c r="B105" s="1">
        <f>equip.xml!B109</f>
        <v>1</v>
      </c>
      <c r="C105" s="1" t="str">
        <f>equip.xml!C109</f>
        <v>火石法杖</v>
      </c>
      <c r="D105" s="1" t="str">
        <f>equip.xml!D109</f>
        <v>主手武器</v>
      </c>
      <c r="E105" s="1">
        <f>equip.xml!E109</f>
        <v>5</v>
      </c>
      <c r="F105" s="1">
        <f>equip.xml!F109</f>
        <v>1</v>
      </c>
      <c r="G105" s="1">
        <f>equip.xml!G109</f>
        <v>20</v>
      </c>
      <c r="H105" s="1" t="str">
        <f>equip.xml!H109</f>
        <v>3,1003</v>
      </c>
      <c r="I105" s="1">
        <f>equip.xml!J109</f>
        <v>5</v>
      </c>
      <c r="J105" s="1">
        <f>equip.xml!K109</f>
        <v>0</v>
      </c>
      <c r="K105" s="1">
        <f>equip.xml!L109</f>
        <v>0</v>
      </c>
      <c r="L105" s="1" t="str">
        <f>equip.xml!M109</f>
        <v>103_138_138,104_276_276</v>
      </c>
      <c r="M105" s="7" t="str">
        <f>equip.xml!Q109</f>
        <v>equipment/1310.png</v>
      </c>
      <c r="N105" t="str">
        <f>equip.xml!P109</f>
        <v>10000_1002_20000,30000_30001_1,30000_30002_1,30000_30003_1</v>
      </c>
    </row>
    <row r="106" spans="1:14">
      <c r="A106" s="1" t="str">
        <f>equip.xml!A110</f>
        <v>10203060</v>
      </c>
      <c r="B106" s="1">
        <f>equip.xml!B110</f>
        <v>1</v>
      </c>
      <c r="C106" s="1" t="str">
        <f>equip.xml!C110</f>
        <v>奥义之书</v>
      </c>
      <c r="D106" s="1" t="str">
        <f>equip.xml!D110</f>
        <v>副手武器</v>
      </c>
      <c r="E106" s="1">
        <f>equip.xml!E110</f>
        <v>6</v>
      </c>
      <c r="F106" s="1">
        <f>equip.xml!F110</f>
        <v>1</v>
      </c>
      <c r="G106" s="1">
        <f>equip.xml!G110</f>
        <v>20</v>
      </c>
      <c r="H106" s="1" t="str">
        <f>equip.xml!H110</f>
        <v>3,1003</v>
      </c>
      <c r="I106" s="1">
        <f>equip.xml!J110</f>
        <v>5</v>
      </c>
      <c r="J106" s="1">
        <f>equip.xml!K110</f>
        <v>0</v>
      </c>
      <c r="K106" s="1">
        <f>equip.xml!L110</f>
        <v>0</v>
      </c>
      <c r="L106" s="1" t="str">
        <f>equip.xml!M110</f>
        <v>102_550_550</v>
      </c>
      <c r="M106" s="7" t="str">
        <f>equip.xml!Q110</f>
        <v>equipment/2305.png</v>
      </c>
      <c r="N106" t="str">
        <f>equip.xml!P110</f>
        <v>10000_1002_20000,30000_30001_1,30000_30002_1,30000_30003_1</v>
      </c>
    </row>
    <row r="107" spans="1:14">
      <c r="A107" s="1" t="str">
        <f>equip.xml!A111</f>
        <v>10203061</v>
      </c>
      <c r="B107" s="1">
        <f>equip.xml!B111</f>
        <v>0</v>
      </c>
      <c r="C107" s="1" t="str">
        <f>equip.xml!C111</f>
        <v>法术指南</v>
      </c>
      <c r="D107" s="1" t="str">
        <f>equip.xml!D111</f>
        <v>副手武器</v>
      </c>
      <c r="E107" s="1">
        <f>equip.xml!E111</f>
        <v>6</v>
      </c>
      <c r="F107" s="1">
        <f>equip.xml!F111</f>
        <v>1</v>
      </c>
      <c r="G107" s="1">
        <f>equip.xml!G111</f>
        <v>20</v>
      </c>
      <c r="H107" s="1" t="str">
        <f>equip.xml!H111</f>
        <v>3,1003</v>
      </c>
      <c r="I107" s="1">
        <f>equip.xml!J111</f>
        <v>5</v>
      </c>
      <c r="J107" s="1">
        <f>equip.xml!K111</f>
        <v>0</v>
      </c>
      <c r="K107" s="1">
        <f>equip.xml!L111</f>
        <v>0</v>
      </c>
      <c r="L107" s="1" t="str">
        <f>equip.xml!M111</f>
        <v>102_606_606</v>
      </c>
      <c r="M107" s="7" t="str">
        <f>equip.xml!Q111</f>
        <v>equipment/2301.png</v>
      </c>
      <c r="N107" t="str">
        <f>equip.xml!P111</f>
        <v>10000_1002_20000,30000_30001_1,30000_30002_1,30000_30003_1</v>
      </c>
    </row>
    <row r="108" spans="1:14">
      <c r="A108" s="1" t="str">
        <f>equip.xml!A112</f>
        <v>10200040</v>
      </c>
      <c r="B108" s="1">
        <f>equip.xml!B112</f>
        <v>1</v>
      </c>
      <c r="C108" s="1" t="str">
        <f>equip.xml!C112</f>
        <v>卫兵胸甲</v>
      </c>
      <c r="D108" s="1" t="str">
        <f>equip.xml!D112</f>
        <v>胸甲</v>
      </c>
      <c r="E108" s="1">
        <f>equip.xml!E112</f>
        <v>4</v>
      </c>
      <c r="F108" s="1">
        <f>equip.xml!F112</f>
        <v>1</v>
      </c>
      <c r="G108" s="1">
        <f>equip.xml!G112</f>
        <v>20</v>
      </c>
      <c r="H108" s="1">
        <f>equip.xml!H112</f>
        <v>0</v>
      </c>
      <c r="I108" s="1">
        <f>equip.xml!J112</f>
        <v>5</v>
      </c>
      <c r="J108" s="1">
        <f>equip.xml!K112</f>
        <v>0</v>
      </c>
      <c r="K108" s="1">
        <f>equip.xml!L112</f>
        <v>0</v>
      </c>
      <c r="L108" s="1" t="str">
        <f>equip.xml!M112</f>
        <v>105_102_102</v>
      </c>
      <c r="M108" s="7" t="str">
        <f>equip.xml!Q112</f>
        <v>equipment/5004.png</v>
      </c>
      <c r="N108" t="str">
        <f>equip.xml!P112</f>
        <v>10000_1002_20000,30000_30001_1,30000_30002_1,30000_30003_1</v>
      </c>
    </row>
    <row r="109" spans="1:14">
      <c r="A109" s="1" t="str">
        <f>equip.xml!A113</f>
        <v>10200041</v>
      </c>
      <c r="B109" s="1">
        <f>equip.xml!B113</f>
        <v>1</v>
      </c>
      <c r="C109" s="1" t="str">
        <f>equip.xml!C113</f>
        <v>银月护甲</v>
      </c>
      <c r="D109" s="1" t="str">
        <f>equip.xml!D113</f>
        <v>胸甲</v>
      </c>
      <c r="E109" s="1">
        <f>equip.xml!E113</f>
        <v>4</v>
      </c>
      <c r="F109" s="1">
        <f>equip.xml!F113</f>
        <v>1</v>
      </c>
      <c r="G109" s="1">
        <f>equip.xml!G113</f>
        <v>20</v>
      </c>
      <c r="H109" s="1">
        <f>equip.xml!H113</f>
        <v>0</v>
      </c>
      <c r="I109" s="1">
        <f>equip.xml!J113</f>
        <v>5</v>
      </c>
      <c r="J109" s="1">
        <f>equip.xml!K113</f>
        <v>0</v>
      </c>
      <c r="K109" s="1">
        <f>equip.xml!L113</f>
        <v>0</v>
      </c>
      <c r="L109" s="1" t="str">
        <f>equip.xml!M113</f>
        <v>105_122_122</v>
      </c>
      <c r="M109" s="7" t="str">
        <f>equip.xml!Q113</f>
        <v>equipment/5006.png</v>
      </c>
      <c r="N109" t="str">
        <f>equip.xml!P113</f>
        <v>10000_1002_20000,30000_30001_1,30000_30002_1,30000_30003_1</v>
      </c>
    </row>
    <row r="110" spans="1:14">
      <c r="A110" s="1" t="str">
        <f>equip.xml!A114</f>
        <v>10200070</v>
      </c>
      <c r="B110" s="1">
        <f>equip.xml!B114</f>
        <v>1</v>
      </c>
      <c r="C110" s="1" t="str">
        <f>equip.xml!C114</f>
        <v>手工长裤</v>
      </c>
      <c r="D110" s="1" t="str">
        <f>equip.xml!D114</f>
        <v>护腿</v>
      </c>
      <c r="E110" s="1">
        <f>equip.xml!E114</f>
        <v>7</v>
      </c>
      <c r="F110" s="1">
        <f>equip.xml!F114</f>
        <v>1</v>
      </c>
      <c r="G110" s="1">
        <f>equip.xml!G114</f>
        <v>20</v>
      </c>
      <c r="H110" s="1">
        <f>equip.xml!H114</f>
        <v>0</v>
      </c>
      <c r="I110" s="1">
        <f>equip.xml!J114</f>
        <v>5</v>
      </c>
      <c r="J110" s="1">
        <f>equip.xml!K114</f>
        <v>0</v>
      </c>
      <c r="K110" s="1">
        <f>equip.xml!L114</f>
        <v>0</v>
      </c>
      <c r="L110" s="1" t="str">
        <f>equip.xml!M114</f>
        <v>105_66_66</v>
      </c>
      <c r="M110" s="7" t="str">
        <f>equip.xml!Q114</f>
        <v>equipment/7005.png</v>
      </c>
      <c r="N110" t="str">
        <f>equip.xml!P114</f>
        <v>10000_1002_20000,30000_30001_1,30000_30002_1,30000_30003_1</v>
      </c>
    </row>
    <row r="111" spans="1:14">
      <c r="A111" s="1" t="str">
        <f>equip.xml!A115</f>
        <v>10200071</v>
      </c>
      <c r="B111" s="1">
        <f>equip.xml!B115</f>
        <v>1</v>
      </c>
      <c r="C111" s="1" t="str">
        <f>equip.xml!C115</f>
        <v>链甲护腿</v>
      </c>
      <c r="D111" s="1" t="str">
        <f>equip.xml!D115</f>
        <v>护腿</v>
      </c>
      <c r="E111" s="1">
        <f>equip.xml!E115</f>
        <v>7</v>
      </c>
      <c r="F111" s="1">
        <f>equip.xml!F115</f>
        <v>1</v>
      </c>
      <c r="G111" s="1">
        <f>equip.xml!G115</f>
        <v>20</v>
      </c>
      <c r="H111" s="1">
        <f>equip.xml!H115</f>
        <v>0</v>
      </c>
      <c r="I111" s="1">
        <f>equip.xml!J115</f>
        <v>5</v>
      </c>
      <c r="J111" s="1">
        <f>equip.xml!K115</f>
        <v>0</v>
      </c>
      <c r="K111" s="1">
        <f>equip.xml!L115</f>
        <v>0</v>
      </c>
      <c r="L111" s="1" t="str">
        <f>equip.xml!M115</f>
        <v>105_81_81</v>
      </c>
      <c r="M111" s="7" t="str">
        <f>equip.xml!Q115</f>
        <v>equipment/7004.png</v>
      </c>
      <c r="N111" t="str">
        <f>equip.xml!P115</f>
        <v>10000_1002_20000,30000_30001_1,30000_30002_1,30000_30003_1</v>
      </c>
    </row>
    <row r="112" spans="1:14">
      <c r="A112" s="1" t="str">
        <f>equip.xml!A116</f>
        <v>10250010</v>
      </c>
      <c r="B112" s="1">
        <f>equip.xml!B116</f>
        <v>1</v>
      </c>
      <c r="C112" s="1" t="str">
        <f>equip.xml!C116</f>
        <v>盔帽</v>
      </c>
      <c r="D112" s="1" t="str">
        <f>equip.xml!D116</f>
        <v>头盔</v>
      </c>
      <c r="E112" s="1">
        <f>equip.xml!E116</f>
        <v>1</v>
      </c>
      <c r="F112" s="1">
        <f>equip.xml!F116</f>
        <v>1</v>
      </c>
      <c r="G112" s="1">
        <f>equip.xml!G116</f>
        <v>25</v>
      </c>
      <c r="H112" s="1">
        <f>equip.xml!H116</f>
        <v>0</v>
      </c>
      <c r="I112" s="1">
        <f>equip.xml!J116</f>
        <v>5</v>
      </c>
      <c r="J112" s="1">
        <f>equip.xml!K116</f>
        <v>0</v>
      </c>
      <c r="K112" s="1">
        <f>equip.xml!L116</f>
        <v>0</v>
      </c>
      <c r="L112" s="1" t="str">
        <f>equip.xml!M116</f>
        <v>106_237_237</v>
      </c>
      <c r="M112" s="7" t="str">
        <f>equip.xml!Q116</f>
        <v>equipment/3005.png</v>
      </c>
      <c r="N112" t="str">
        <f>equip.xml!P116</f>
        <v>10000_1002_25000,30000_30001_1,30000_30002_1,30000_30003_1</v>
      </c>
    </row>
    <row r="113" spans="1:14">
      <c r="A113" s="1" t="str">
        <f>equip.xml!A117</f>
        <v>10250020</v>
      </c>
      <c r="B113" s="1">
        <f>equip.xml!B117</f>
        <v>1</v>
      </c>
      <c r="C113" s="1" t="str">
        <f>equip.xml!C117</f>
        <v>血岩戒指</v>
      </c>
      <c r="D113" s="1" t="str">
        <f>equip.xml!D117</f>
        <v>戒指</v>
      </c>
      <c r="E113" s="1">
        <f>equip.xml!E117</f>
        <v>2</v>
      </c>
      <c r="F113" s="1">
        <f>equip.xml!F117</f>
        <v>1</v>
      </c>
      <c r="G113" s="1">
        <f>equip.xml!G117</f>
        <v>25</v>
      </c>
      <c r="H113" s="1">
        <f>equip.xml!H117</f>
        <v>0</v>
      </c>
      <c r="I113" s="1">
        <f>equip.xml!J117</f>
        <v>5</v>
      </c>
      <c r="J113" s="1">
        <f>equip.xml!K117</f>
        <v>0</v>
      </c>
      <c r="K113" s="1">
        <f>equip.xml!L117</f>
        <v>0</v>
      </c>
      <c r="L113" s="1" t="str">
        <f>equip.xml!M117</f>
        <v>102_330_330</v>
      </c>
      <c r="M113" s="7" t="str">
        <f>equip.xml!Q117</f>
        <v>equipment/14004.png</v>
      </c>
      <c r="N113" t="str">
        <f>equip.xml!P117</f>
        <v>10000_1002_25000,30000_30001_1,30000_30002_1,30000_30003_1</v>
      </c>
    </row>
    <row r="114" spans="1:14">
      <c r="A114" s="1" t="str">
        <f>equip.xml!A118</f>
        <v>10250030</v>
      </c>
      <c r="B114" s="1">
        <f>equip.xml!B118</f>
        <v>1</v>
      </c>
      <c r="C114" s="1" t="str">
        <f>equip.xml!C118</f>
        <v>前锋腰带</v>
      </c>
      <c r="D114" s="1" t="str">
        <f>equip.xml!D118</f>
        <v>腰带</v>
      </c>
      <c r="E114" s="1">
        <f>equip.xml!E118</f>
        <v>3</v>
      </c>
      <c r="F114" s="1">
        <f>equip.xml!F118</f>
        <v>1</v>
      </c>
      <c r="G114" s="1">
        <f>equip.xml!G118</f>
        <v>25</v>
      </c>
      <c r="H114" s="1">
        <f>equip.xml!H118</f>
        <v>0</v>
      </c>
      <c r="I114" s="1">
        <f>equip.xml!J118</f>
        <v>5</v>
      </c>
      <c r="J114" s="1">
        <f>equip.xml!K118</f>
        <v>0</v>
      </c>
      <c r="K114" s="1">
        <f>equip.xml!L118</f>
        <v>0</v>
      </c>
      <c r="L114" s="1" t="str">
        <f>equip.xml!M118</f>
        <v>101_3360_3360</v>
      </c>
      <c r="M114" s="7" t="str">
        <f>equip.xml!Q118</f>
        <v>equipment/6005.png</v>
      </c>
      <c r="N114" t="str">
        <f>equip.xml!P118</f>
        <v>10000_1002_25000,30000_30001_1,30000_30002_1,30000_30003_1</v>
      </c>
    </row>
    <row r="115" spans="1:14">
      <c r="A115" s="1" t="str">
        <f>equip.xml!A119</f>
        <v>10250080</v>
      </c>
      <c r="B115" s="1">
        <f>equip.xml!B119</f>
        <v>1</v>
      </c>
      <c r="C115" s="1" t="str">
        <f>equip.xml!C119</f>
        <v>探寻者之靴</v>
      </c>
      <c r="D115" s="1" t="str">
        <f>equip.xml!D119</f>
        <v>鞋子</v>
      </c>
      <c r="E115" s="1">
        <f>equip.xml!E119</f>
        <v>8</v>
      </c>
      <c r="F115" s="1">
        <f>equip.xml!F119</f>
        <v>1</v>
      </c>
      <c r="G115" s="1">
        <f>equip.xml!G119</f>
        <v>25</v>
      </c>
      <c r="H115" s="1">
        <f>equip.xml!H119</f>
        <v>0</v>
      </c>
      <c r="I115" s="1">
        <f>equip.xml!J119</f>
        <v>5</v>
      </c>
      <c r="J115" s="1">
        <f>equip.xml!K119</f>
        <v>0</v>
      </c>
      <c r="K115" s="1">
        <f>equip.xml!L119</f>
        <v>0</v>
      </c>
      <c r="L115" s="1" t="str">
        <f>equip.xml!M119</f>
        <v>110_40_40</v>
      </c>
      <c r="M115" s="7" t="str">
        <f>equip.xml!Q119</f>
        <v>equipment/8004.png</v>
      </c>
      <c r="N115" t="str">
        <f>equip.xml!P119</f>
        <v>10000_1002_25000,30000_30001_1,30000_30002_1,30000_30003_1</v>
      </c>
    </row>
    <row r="116" spans="1:14">
      <c r="A116" s="1" t="str">
        <f>equip.xml!A120</f>
        <v>10250090</v>
      </c>
      <c r="B116" s="1">
        <f>equip.xml!B120</f>
        <v>0</v>
      </c>
      <c r="C116" s="1" t="str">
        <f>equip.xml!C120</f>
        <v>轻布手套</v>
      </c>
      <c r="D116" s="1" t="str">
        <f>equip.xml!D120</f>
        <v>手套</v>
      </c>
      <c r="E116" s="1">
        <f>equip.xml!E120</f>
        <v>9</v>
      </c>
      <c r="F116" s="1">
        <f>equip.xml!F120</f>
        <v>1</v>
      </c>
      <c r="G116" s="1">
        <f>equip.xml!G120</f>
        <v>25</v>
      </c>
      <c r="H116" s="1">
        <f>equip.xml!H120</f>
        <v>0</v>
      </c>
      <c r="I116" s="1">
        <f>equip.xml!J120</f>
        <v>5</v>
      </c>
      <c r="J116" s="1">
        <f>equip.xml!K120</f>
        <v>0</v>
      </c>
      <c r="K116" s="1">
        <f>equip.xml!L120</f>
        <v>0</v>
      </c>
      <c r="L116" s="1" t="str">
        <f>equip.xml!M120</f>
        <v>108_286_286</v>
      </c>
      <c r="M116" s="7" t="str">
        <f>equip.xml!Q120</f>
        <v>equipment/10001.png</v>
      </c>
      <c r="N116" t="str">
        <f>equip.xml!P120</f>
        <v>10000_1002_25000,30000_30001_1,30000_30002_1,30000_30003_1</v>
      </c>
    </row>
    <row r="117" spans="1:14">
      <c r="A117" s="1" t="str">
        <f>equip.xml!A121</f>
        <v>10250100</v>
      </c>
      <c r="B117" s="1">
        <f>equip.xml!B121</f>
        <v>1</v>
      </c>
      <c r="C117" s="1" t="str">
        <f>equip.xml!C121</f>
        <v>魔光项链</v>
      </c>
      <c r="D117" s="1" t="str">
        <f>equip.xml!D121</f>
        <v>项链</v>
      </c>
      <c r="E117" s="1">
        <f>equip.xml!E121</f>
        <v>10</v>
      </c>
      <c r="F117" s="1">
        <f>equip.xml!F121</f>
        <v>1</v>
      </c>
      <c r="G117" s="1">
        <f>equip.xml!G121</f>
        <v>25</v>
      </c>
      <c r="H117" s="1">
        <f>equip.xml!H121</f>
        <v>0</v>
      </c>
      <c r="I117" s="1">
        <f>equip.xml!J121</f>
        <v>5</v>
      </c>
      <c r="J117" s="1">
        <f>equip.xml!K121</f>
        <v>0</v>
      </c>
      <c r="K117" s="1">
        <f>equip.xml!L121</f>
        <v>0</v>
      </c>
      <c r="L117" s="1" t="str">
        <f>equip.xml!M121</f>
        <v>107_237_237</v>
      </c>
      <c r="M117" s="7" t="str">
        <f>equip.xml!Q121</f>
        <v>equipment/12004.png</v>
      </c>
      <c r="N117" t="str">
        <f>equip.xml!P121</f>
        <v>10000_1002_25000,30000_30001_1,30000_30002_1,30000_30003_1</v>
      </c>
    </row>
    <row r="118" spans="1:14">
      <c r="A118" s="1" t="str">
        <f>equip.xml!A122</f>
        <v>10251050</v>
      </c>
      <c r="B118" s="1">
        <f>equip.xml!B122</f>
        <v>1</v>
      </c>
      <c r="C118" s="1" t="str">
        <f>equip.xml!C122</f>
        <v>血刃</v>
      </c>
      <c r="D118" s="1" t="str">
        <f>equip.xml!D122</f>
        <v>主手武器</v>
      </c>
      <c r="E118" s="1">
        <f>equip.xml!E122</f>
        <v>5</v>
      </c>
      <c r="F118" s="1">
        <f>equip.xml!F122</f>
        <v>1</v>
      </c>
      <c r="G118" s="1">
        <f>equip.xml!G122</f>
        <v>25</v>
      </c>
      <c r="H118" s="1" t="str">
        <f>equip.xml!H122</f>
        <v>1,1001</v>
      </c>
      <c r="I118" s="1">
        <f>equip.xml!J122</f>
        <v>5</v>
      </c>
      <c r="J118" s="1">
        <f>equip.xml!K122</f>
        <v>0</v>
      </c>
      <c r="K118" s="1">
        <f>equip.xml!L122</f>
        <v>0</v>
      </c>
      <c r="L118" s="1" t="str">
        <f>equip.xml!M122</f>
        <v>103_177_177,104_354_354</v>
      </c>
      <c r="M118" s="7" t="str">
        <f>equip.xml!Q122</f>
        <v>equipment/1110.png</v>
      </c>
      <c r="N118" t="str">
        <f>equip.xml!P122</f>
        <v>10000_1002_25000,30000_30001_1,30000_30002_1,30000_30003_1</v>
      </c>
    </row>
    <row r="119" spans="1:14">
      <c r="A119" s="1" t="str">
        <f>equip.xml!A123</f>
        <v>10251051</v>
      </c>
      <c r="B119" s="1">
        <f>equip.xml!B123</f>
        <v>1</v>
      </c>
      <c r="C119" s="1" t="str">
        <f>equip.xml!C123</f>
        <v>游侠利刃</v>
      </c>
      <c r="D119" s="1" t="str">
        <f>equip.xml!D123</f>
        <v>主手武器</v>
      </c>
      <c r="E119" s="1">
        <f>equip.xml!E123</f>
        <v>5</v>
      </c>
      <c r="F119" s="1">
        <f>equip.xml!F123</f>
        <v>1</v>
      </c>
      <c r="G119" s="1">
        <f>equip.xml!G123</f>
        <v>25</v>
      </c>
      <c r="H119" s="1" t="str">
        <f>equip.xml!H123</f>
        <v>1,1001</v>
      </c>
      <c r="I119" s="1">
        <f>equip.xml!J123</f>
        <v>5</v>
      </c>
      <c r="J119" s="1">
        <f>equip.xml!K123</f>
        <v>0</v>
      </c>
      <c r="K119" s="1">
        <f>equip.xml!L123</f>
        <v>0</v>
      </c>
      <c r="L119" s="1" t="str">
        <f>equip.xml!M123</f>
        <v>103_216_216,104_432_432</v>
      </c>
      <c r="M119" s="7" t="str">
        <f>equip.xml!Q123</f>
        <v>equipment/1111.png</v>
      </c>
      <c r="N119" t="str">
        <f>equip.xml!P123</f>
        <v>10000_1002_25000,30000_30001_1,30000_30002_1,30000_30003_1</v>
      </c>
    </row>
    <row r="120" spans="1:14">
      <c r="A120" s="1" t="str">
        <f>equip.xml!A124</f>
        <v>10251060</v>
      </c>
      <c r="B120" s="1">
        <f>equip.xml!B124</f>
        <v>1</v>
      </c>
      <c r="C120" s="1" t="str">
        <f>equip.xml!C124</f>
        <v>坚固重盾</v>
      </c>
      <c r="D120" s="1" t="str">
        <f>equip.xml!D124</f>
        <v>副手武器</v>
      </c>
      <c r="E120" s="1">
        <f>equip.xml!E124</f>
        <v>6</v>
      </c>
      <c r="F120" s="1">
        <f>equip.xml!F124</f>
        <v>1</v>
      </c>
      <c r="G120" s="1">
        <f>equip.xml!G124</f>
        <v>25</v>
      </c>
      <c r="H120" s="1" t="str">
        <f>equip.xml!H124</f>
        <v>1,1001</v>
      </c>
      <c r="I120" s="1">
        <f>equip.xml!J124</f>
        <v>5</v>
      </c>
      <c r="J120" s="1">
        <f>equip.xml!K124</f>
        <v>0</v>
      </c>
      <c r="K120" s="1">
        <f>equip.xml!L124</f>
        <v>0</v>
      </c>
      <c r="L120" s="1" t="str">
        <f>equip.xml!M124</f>
        <v>105_256_256</v>
      </c>
      <c r="M120" s="7" t="str">
        <f>equip.xml!Q124</f>
        <v>equipment/2106.png</v>
      </c>
      <c r="N120" t="str">
        <f>equip.xml!P124</f>
        <v>10000_1002_25000,30000_30001_1,30000_30002_1,30000_30003_1</v>
      </c>
    </row>
    <row r="121" spans="1:14">
      <c r="A121" s="1" t="str">
        <f>equip.xml!A125</f>
        <v>10251061</v>
      </c>
      <c r="B121" s="1">
        <f>equip.xml!B125</f>
        <v>0</v>
      </c>
      <c r="C121" s="1" t="str">
        <f>equip.xml!C125</f>
        <v>尖头盾</v>
      </c>
      <c r="D121" s="1" t="str">
        <f>equip.xml!D125</f>
        <v>副手武器</v>
      </c>
      <c r="E121" s="1">
        <f>equip.xml!E125</f>
        <v>6</v>
      </c>
      <c r="F121" s="1">
        <f>equip.xml!F125</f>
        <v>1</v>
      </c>
      <c r="G121" s="1">
        <f>equip.xml!G125</f>
        <v>25</v>
      </c>
      <c r="H121" s="1" t="str">
        <f>equip.xml!H125</f>
        <v>1,1001</v>
      </c>
      <c r="I121" s="1">
        <f>equip.xml!J125</f>
        <v>5</v>
      </c>
      <c r="J121" s="1">
        <f>equip.xml!K125</f>
        <v>0</v>
      </c>
      <c r="K121" s="1">
        <f>equip.xml!L125</f>
        <v>0</v>
      </c>
      <c r="L121" s="1" t="str">
        <f>equip.xml!M125</f>
        <v>105_301_301</v>
      </c>
      <c r="M121" s="7" t="str">
        <f>equip.xml!Q125</f>
        <v>equipment/2101.png</v>
      </c>
      <c r="N121" t="str">
        <f>equip.xml!P125</f>
        <v>10000_1002_25000,30000_30001_1,30000_30002_1,30000_30003_1</v>
      </c>
    </row>
    <row r="122" spans="1:14">
      <c r="A122" s="1" t="str">
        <f>equip.xml!A126</f>
        <v>10252050</v>
      </c>
      <c r="B122" s="1">
        <f>equip.xml!B126</f>
        <v>1</v>
      </c>
      <c r="C122" s="1" t="str">
        <f>equip.xml!C126</f>
        <v>精准之弓</v>
      </c>
      <c r="D122" s="1" t="str">
        <f>equip.xml!D126</f>
        <v>主手武器</v>
      </c>
      <c r="E122" s="1">
        <f>equip.xml!E126</f>
        <v>5</v>
      </c>
      <c r="F122" s="1">
        <f>equip.xml!F126</f>
        <v>1</v>
      </c>
      <c r="G122" s="1">
        <f>equip.xml!G126</f>
        <v>25</v>
      </c>
      <c r="H122" s="1" t="str">
        <f>equip.xml!H126</f>
        <v>2,1002</v>
      </c>
      <c r="I122" s="1">
        <f>equip.xml!J126</f>
        <v>5</v>
      </c>
      <c r="J122" s="1">
        <f>equip.xml!K126</f>
        <v>0</v>
      </c>
      <c r="K122" s="1">
        <f>equip.xml!L126</f>
        <v>0</v>
      </c>
      <c r="L122" s="1" t="str">
        <f>equip.xml!M126</f>
        <v>103_177_177,104_354_354</v>
      </c>
      <c r="M122" s="7" t="str">
        <f>equip.xml!Q126</f>
        <v>equipment/1210.png</v>
      </c>
      <c r="N122" t="str">
        <f>equip.xml!P126</f>
        <v>10000_1002_25000,30000_30001_1,30000_30002_1,30000_30003_1</v>
      </c>
    </row>
    <row r="123" spans="1:14">
      <c r="A123" s="1" t="str">
        <f>equip.xml!A127</f>
        <v>10252051</v>
      </c>
      <c r="B123" s="1">
        <f>equip.xml!B127</f>
        <v>1</v>
      </c>
      <c r="C123" s="1" t="str">
        <f>equip.xml!C127</f>
        <v>行者弯弓</v>
      </c>
      <c r="D123" s="1" t="str">
        <f>equip.xml!D127</f>
        <v>主手武器</v>
      </c>
      <c r="E123" s="1">
        <f>equip.xml!E127</f>
        <v>5</v>
      </c>
      <c r="F123" s="1">
        <f>equip.xml!F127</f>
        <v>1</v>
      </c>
      <c r="G123" s="1">
        <f>equip.xml!G127</f>
        <v>25</v>
      </c>
      <c r="H123" s="1" t="str">
        <f>equip.xml!H127</f>
        <v>2,1002</v>
      </c>
      <c r="I123" s="1">
        <f>equip.xml!J127</f>
        <v>5</v>
      </c>
      <c r="J123" s="1">
        <f>equip.xml!K127</f>
        <v>0</v>
      </c>
      <c r="K123" s="1">
        <f>equip.xml!L127</f>
        <v>0</v>
      </c>
      <c r="L123" s="1" t="str">
        <f>equip.xml!M127</f>
        <v>103_216_216,104_432_432</v>
      </c>
      <c r="M123" s="7" t="str">
        <f>equip.xml!Q127</f>
        <v>equipment/1215.png</v>
      </c>
      <c r="N123" t="str">
        <f>equip.xml!P127</f>
        <v>10000_1002_25000,30000_30001_1,30000_30002_1,30000_30003_1</v>
      </c>
    </row>
    <row r="124" spans="1:14">
      <c r="A124" s="1" t="str">
        <f>equip.xml!A128</f>
        <v>10252060</v>
      </c>
      <c r="B124" s="1">
        <f>equip.xml!B128</f>
        <v>1</v>
      </c>
      <c r="C124" s="1" t="str">
        <f>equip.xml!C128</f>
        <v>刺客箭筒</v>
      </c>
      <c r="D124" s="1" t="str">
        <f>equip.xml!D128</f>
        <v>副手武器</v>
      </c>
      <c r="E124" s="1">
        <f>equip.xml!E128</f>
        <v>6</v>
      </c>
      <c r="F124" s="1">
        <f>equip.xml!F128</f>
        <v>1</v>
      </c>
      <c r="G124" s="1">
        <f>equip.xml!G128</f>
        <v>25</v>
      </c>
      <c r="H124" s="1" t="str">
        <f>equip.xml!H128</f>
        <v>2,1002</v>
      </c>
      <c r="I124" s="1">
        <f>equip.xml!J128</f>
        <v>5</v>
      </c>
      <c r="J124" s="1">
        <f>equip.xml!K128</f>
        <v>0</v>
      </c>
      <c r="K124" s="1">
        <f>equip.xml!L128</f>
        <v>0</v>
      </c>
      <c r="L124" s="1" t="str">
        <f>equip.xml!M128</f>
        <v>108_256_256</v>
      </c>
      <c r="M124" s="7" t="str">
        <f>equip.xml!Q128</f>
        <v>equipment/2206.png</v>
      </c>
      <c r="N124" t="str">
        <f>equip.xml!P128</f>
        <v>10000_1002_25000,30000_30001_1,30000_30002_1,30000_30003_1</v>
      </c>
    </row>
    <row r="125" spans="1:14">
      <c r="A125" s="1" t="str">
        <f>equip.xml!A129</f>
        <v>10252061</v>
      </c>
      <c r="B125" s="1">
        <f>equip.xml!B129</f>
        <v>0</v>
      </c>
      <c r="C125" s="1" t="str">
        <f>equip.xml!C129</f>
        <v>箭筒</v>
      </c>
      <c r="D125" s="1" t="str">
        <f>equip.xml!D129</f>
        <v>副手武器</v>
      </c>
      <c r="E125" s="1">
        <f>equip.xml!E129</f>
        <v>6</v>
      </c>
      <c r="F125" s="1">
        <f>equip.xml!F129</f>
        <v>1</v>
      </c>
      <c r="G125" s="1">
        <f>equip.xml!G129</f>
        <v>25</v>
      </c>
      <c r="H125" s="1" t="str">
        <f>equip.xml!H129</f>
        <v>2,1002</v>
      </c>
      <c r="I125" s="1">
        <f>equip.xml!J129</f>
        <v>5</v>
      </c>
      <c r="J125" s="1">
        <f>equip.xml!K129</f>
        <v>0</v>
      </c>
      <c r="K125" s="1">
        <f>equip.xml!L129</f>
        <v>0</v>
      </c>
      <c r="L125" s="1" t="str">
        <f>equip.xml!M129</f>
        <v>108_301_301</v>
      </c>
      <c r="M125" s="7" t="str">
        <f>equip.xml!Q129</f>
        <v>equipment/2201.png</v>
      </c>
      <c r="N125" t="str">
        <f>equip.xml!P129</f>
        <v>10000_1002_25000,30000_30001_1,30000_30002_1,30000_30003_1</v>
      </c>
    </row>
    <row r="126" spans="1:14">
      <c r="A126" s="1" t="str">
        <f>equip.xml!A130</f>
        <v>10253050</v>
      </c>
      <c r="B126" s="1">
        <f>equip.xml!B130</f>
        <v>1</v>
      </c>
      <c r="C126" s="1" t="str">
        <f>equip.xml!C130</f>
        <v>预言法杖</v>
      </c>
      <c r="D126" s="1" t="str">
        <f>equip.xml!D130</f>
        <v>主手武器</v>
      </c>
      <c r="E126" s="1">
        <f>equip.xml!E130</f>
        <v>5</v>
      </c>
      <c r="F126" s="1">
        <f>equip.xml!F130</f>
        <v>1</v>
      </c>
      <c r="G126" s="1">
        <f>equip.xml!G130</f>
        <v>25</v>
      </c>
      <c r="H126" s="1" t="str">
        <f>equip.xml!H130</f>
        <v>3,1003</v>
      </c>
      <c r="I126" s="1">
        <f>equip.xml!J130</f>
        <v>5</v>
      </c>
      <c r="J126" s="1">
        <f>equip.xml!K130</f>
        <v>0</v>
      </c>
      <c r="K126" s="1">
        <f>equip.xml!L130</f>
        <v>0</v>
      </c>
      <c r="L126" s="1" t="str">
        <f>equip.xml!M130</f>
        <v>103_177_177,104_354_354</v>
      </c>
      <c r="M126" s="7" t="str">
        <f>equip.xml!Q130</f>
        <v>equipment/1311.png</v>
      </c>
      <c r="N126" t="str">
        <f>equip.xml!P130</f>
        <v>10000_1002_25000,30000_30001_1,30000_30002_1,30000_30003_1</v>
      </c>
    </row>
    <row r="127" spans="1:14">
      <c r="A127" s="1" t="str">
        <f>equip.xml!A131</f>
        <v>10253051</v>
      </c>
      <c r="B127" s="1">
        <f>equip.xml!B131</f>
        <v>0</v>
      </c>
      <c r="C127" s="1" t="str">
        <f>equip.xml!C131</f>
        <v>荒骨法杖</v>
      </c>
      <c r="D127" s="1" t="str">
        <f>equip.xml!D131</f>
        <v>主手武器</v>
      </c>
      <c r="E127" s="1">
        <f>equip.xml!E131</f>
        <v>5</v>
      </c>
      <c r="F127" s="1">
        <f>equip.xml!F131</f>
        <v>1</v>
      </c>
      <c r="G127" s="1">
        <f>equip.xml!G131</f>
        <v>25</v>
      </c>
      <c r="H127" s="1" t="str">
        <f>equip.xml!H131</f>
        <v>3,1003</v>
      </c>
      <c r="I127" s="1">
        <f>equip.xml!J131</f>
        <v>5</v>
      </c>
      <c r="J127" s="1">
        <f>equip.xml!K131</f>
        <v>0</v>
      </c>
      <c r="K127" s="1">
        <f>equip.xml!L131</f>
        <v>0</v>
      </c>
      <c r="L127" s="1" t="str">
        <f>equip.xml!M131</f>
        <v>103_216_216,104_432_432</v>
      </c>
      <c r="M127" s="7" t="str">
        <f>equip.xml!Q131</f>
        <v>equipment/1312.png</v>
      </c>
      <c r="N127" t="str">
        <f>equip.xml!P131</f>
        <v>10000_1002_25000,30000_30001_1,30000_30002_1,30000_30003_1</v>
      </c>
    </row>
    <row r="128" spans="1:14">
      <c r="A128" s="1" t="str">
        <f>equip.xml!A132</f>
        <v>10253060</v>
      </c>
      <c r="B128" s="1">
        <f>equip.xml!B132</f>
        <v>1</v>
      </c>
      <c r="C128" s="1" t="str">
        <f>equip.xml!C132</f>
        <v>魔法秘典</v>
      </c>
      <c r="D128" s="1" t="str">
        <f>equip.xml!D132</f>
        <v>副手武器</v>
      </c>
      <c r="E128" s="1">
        <f>equip.xml!E132</f>
        <v>6</v>
      </c>
      <c r="F128" s="1">
        <f>equip.xml!F132</f>
        <v>1</v>
      </c>
      <c r="G128" s="1">
        <f>equip.xml!G132</f>
        <v>25</v>
      </c>
      <c r="H128" s="1" t="str">
        <f>equip.xml!H132</f>
        <v>3,1003</v>
      </c>
      <c r="I128" s="1">
        <f>equip.xml!J132</f>
        <v>5</v>
      </c>
      <c r="J128" s="1">
        <f>equip.xml!K132</f>
        <v>0</v>
      </c>
      <c r="K128" s="1">
        <f>equip.xml!L132</f>
        <v>0</v>
      </c>
      <c r="L128" s="1" t="str">
        <f>equip.xml!M132</f>
        <v>102_690_690</v>
      </c>
      <c r="M128" s="7" t="str">
        <f>equip.xml!Q132</f>
        <v>equipment/2306.png</v>
      </c>
      <c r="N128" t="str">
        <f>equip.xml!P132</f>
        <v>10000_1002_25000,30000_30001_1,30000_30002_1,30000_30003_1</v>
      </c>
    </row>
    <row r="129" spans="1:14">
      <c r="A129" s="1" t="str">
        <f>equip.xml!A133</f>
        <v>10253061</v>
      </c>
      <c r="B129" s="1">
        <f>equip.xml!B133</f>
        <v>0</v>
      </c>
      <c r="C129" s="1" t="str">
        <f>equip.xml!C133</f>
        <v>法术指南</v>
      </c>
      <c r="D129" s="1" t="str">
        <f>equip.xml!D133</f>
        <v>副手武器</v>
      </c>
      <c r="E129" s="1">
        <f>equip.xml!E133</f>
        <v>6</v>
      </c>
      <c r="F129" s="1">
        <f>equip.xml!F133</f>
        <v>1</v>
      </c>
      <c r="G129" s="1">
        <f>equip.xml!G133</f>
        <v>25</v>
      </c>
      <c r="H129" s="1" t="str">
        <f>equip.xml!H133</f>
        <v>3,1003</v>
      </c>
      <c r="I129" s="1">
        <f>equip.xml!J133</f>
        <v>5</v>
      </c>
      <c r="J129" s="1">
        <f>equip.xml!K133</f>
        <v>0</v>
      </c>
      <c r="K129" s="1">
        <f>equip.xml!L133</f>
        <v>0</v>
      </c>
      <c r="L129" s="1" t="str">
        <f>equip.xml!M133</f>
        <v>102_301_301</v>
      </c>
      <c r="M129" s="7" t="str">
        <f>equip.xml!Q133</f>
        <v>equipment/2301.png</v>
      </c>
      <c r="N129" t="str">
        <f>equip.xml!P133</f>
        <v>10000_1002_25000,30000_30001_1,30000_30002_1,30000_30003_1</v>
      </c>
    </row>
    <row r="130" spans="1:14">
      <c r="A130" s="1" t="str">
        <f>equip.xml!A134</f>
        <v>10250040</v>
      </c>
      <c r="B130" s="1">
        <f>equip.xml!B134</f>
        <v>1</v>
      </c>
      <c r="C130" s="1" t="str">
        <f>equip.xml!C134</f>
        <v>烙铁胸甲</v>
      </c>
      <c r="D130" s="1" t="str">
        <f>equip.xml!D134</f>
        <v>胸甲</v>
      </c>
      <c r="E130" s="1">
        <f>equip.xml!E134</f>
        <v>4</v>
      </c>
      <c r="F130" s="1">
        <f>equip.xml!F134</f>
        <v>1</v>
      </c>
      <c r="G130" s="1">
        <f>equip.xml!G134</f>
        <v>25</v>
      </c>
      <c r="H130" s="1">
        <f>equip.xml!H134</f>
        <v>0</v>
      </c>
      <c r="I130" s="1">
        <f>equip.xml!J134</f>
        <v>5</v>
      </c>
      <c r="J130" s="1">
        <f>equip.xml!K134</f>
        <v>0</v>
      </c>
      <c r="K130" s="1">
        <f>equip.xml!L134</f>
        <v>0</v>
      </c>
      <c r="L130" s="1" t="str">
        <f>equip.xml!M134</f>
        <v>105_153_153</v>
      </c>
      <c r="M130" s="7" t="str">
        <f>equip.xml!Q134</f>
        <v>equipment/5007.png</v>
      </c>
      <c r="N130" t="str">
        <f>equip.xml!P134</f>
        <v>10000_1002_25000,30000_30001_1,30000_30002_1,30000_30003_1</v>
      </c>
    </row>
    <row r="131" spans="1:14">
      <c r="A131" s="1" t="str">
        <f>equip.xml!A135</f>
        <v>10250041</v>
      </c>
      <c r="B131" s="1">
        <f>equip.xml!B135</f>
        <v>0</v>
      </c>
      <c r="C131" s="1" t="str">
        <f>equip.xml!C135</f>
        <v>新兵外套</v>
      </c>
      <c r="D131" s="1" t="str">
        <f>equip.xml!D135</f>
        <v>胸甲</v>
      </c>
      <c r="E131" s="1">
        <f>equip.xml!E135</f>
        <v>4</v>
      </c>
      <c r="F131" s="1">
        <f>equip.xml!F135</f>
        <v>1</v>
      </c>
      <c r="G131" s="1">
        <f>equip.xml!G135</f>
        <v>25</v>
      </c>
      <c r="H131" s="1">
        <f>equip.xml!H135</f>
        <v>0</v>
      </c>
      <c r="I131" s="1">
        <f>equip.xml!J135</f>
        <v>5</v>
      </c>
      <c r="J131" s="1">
        <f>equip.xml!K135</f>
        <v>0</v>
      </c>
      <c r="K131" s="1">
        <f>equip.xml!L135</f>
        <v>0</v>
      </c>
      <c r="L131" s="1" t="str">
        <f>equip.xml!M135</f>
        <v>105_178_178</v>
      </c>
      <c r="M131" s="7" t="str">
        <f>equip.xml!Q135</f>
        <v>equipment/5001.png</v>
      </c>
      <c r="N131" t="str">
        <f>equip.xml!P135</f>
        <v>10000_1002_25000,30000_30001_1,30000_30002_1,30000_30003_1</v>
      </c>
    </row>
    <row r="132" spans="1:14">
      <c r="A132" s="1" t="str">
        <f>equip.xml!A136</f>
        <v>10250070</v>
      </c>
      <c r="B132" s="1">
        <f>equip.xml!B136</f>
        <v>1</v>
      </c>
      <c r="C132" s="1" t="str">
        <f>equip.xml!C136</f>
        <v>勇气腿甲</v>
      </c>
      <c r="D132" s="1" t="str">
        <f>equip.xml!D136</f>
        <v>护腿</v>
      </c>
      <c r="E132" s="1">
        <f>equip.xml!E136</f>
        <v>7</v>
      </c>
      <c r="F132" s="1">
        <f>equip.xml!F136</f>
        <v>1</v>
      </c>
      <c r="G132" s="1">
        <f>equip.xml!G136</f>
        <v>25</v>
      </c>
      <c r="H132" s="1">
        <f>equip.xml!H136</f>
        <v>0</v>
      </c>
      <c r="I132" s="1">
        <f>equip.xml!J136</f>
        <v>5</v>
      </c>
      <c r="J132" s="1">
        <f>equip.xml!K136</f>
        <v>0</v>
      </c>
      <c r="K132" s="1">
        <f>equip.xml!L136</f>
        <v>0</v>
      </c>
      <c r="L132" s="1" t="str">
        <f>equip.xml!M136</f>
        <v>105_104_104</v>
      </c>
      <c r="M132" s="7" t="str">
        <f>equip.xml!Q136</f>
        <v>equipment/7006.png</v>
      </c>
      <c r="N132" t="str">
        <f>equip.xml!P136</f>
        <v>10000_1002_25000,30000_30001_1,30000_30002_1,30000_30003_1</v>
      </c>
    </row>
    <row r="133" spans="1:14">
      <c r="A133" s="1" t="str">
        <f>equip.xml!A137</f>
        <v>10250071</v>
      </c>
      <c r="B133" s="1">
        <f>equip.xml!B137</f>
        <v>0</v>
      </c>
      <c r="C133" s="1" t="str">
        <f>equip.xml!C137</f>
        <v>学徒短裤</v>
      </c>
      <c r="D133" s="1" t="str">
        <f>equip.xml!D137</f>
        <v>护腿</v>
      </c>
      <c r="E133" s="1">
        <f>equip.xml!E137</f>
        <v>7</v>
      </c>
      <c r="F133" s="1">
        <f>equip.xml!F137</f>
        <v>1</v>
      </c>
      <c r="G133" s="1">
        <f>equip.xml!G137</f>
        <v>25</v>
      </c>
      <c r="H133" s="1">
        <f>equip.xml!H137</f>
        <v>0</v>
      </c>
      <c r="I133" s="1">
        <f>equip.xml!J137</f>
        <v>5</v>
      </c>
      <c r="J133" s="1">
        <f>equip.xml!K137</f>
        <v>0</v>
      </c>
      <c r="K133" s="1">
        <f>equip.xml!L137</f>
        <v>0</v>
      </c>
      <c r="L133" s="1" t="str">
        <f>equip.xml!M137</f>
        <v>105_149_149</v>
      </c>
      <c r="M133" s="7" t="str">
        <f>equip.xml!Q137</f>
        <v>equipment/7001.png</v>
      </c>
      <c r="N133" t="str">
        <f>equip.xml!P137</f>
        <v>10000_1002_25000,30000_30001_1,30000_30002_1,30000_30003_1</v>
      </c>
    </row>
    <row r="134" spans="1:14">
      <c r="A134" s="1" t="str">
        <f>equip.xml!A138</f>
        <v>10300010</v>
      </c>
      <c r="B134" s="1">
        <f>equip.xml!B138</f>
        <v>1</v>
      </c>
      <c r="C134" s="1" t="str">
        <f>equip.xml!C138</f>
        <v>双链罩帽</v>
      </c>
      <c r="D134" s="1" t="str">
        <f>equip.xml!D138</f>
        <v>头盔</v>
      </c>
      <c r="E134" s="1">
        <f>equip.xml!E138</f>
        <v>1</v>
      </c>
      <c r="F134" s="1">
        <f>equip.xml!F138</f>
        <v>1</v>
      </c>
      <c r="G134" s="1">
        <f>equip.xml!G138</f>
        <v>30</v>
      </c>
      <c r="H134" s="1">
        <f>equip.xml!H138</f>
        <v>0</v>
      </c>
      <c r="I134" s="1">
        <f>equip.xml!J138</f>
        <v>5</v>
      </c>
      <c r="J134" s="1">
        <f>equip.xml!K138</f>
        <v>0</v>
      </c>
      <c r="K134" s="1">
        <f>equip.xml!L138</f>
        <v>0</v>
      </c>
      <c r="L134" s="1" t="str">
        <f>equip.xml!M138</f>
        <v>106_372_372</v>
      </c>
      <c r="M134" s="7" t="str">
        <f>equip.xml!Q138</f>
        <v>equipment/3004.png</v>
      </c>
      <c r="N134" t="str">
        <f>equip.xml!P138</f>
        <v>10000_1002_30000,30000_30001_1,30000_30002_1,30000_30003_1</v>
      </c>
    </row>
    <row r="135" spans="1:14">
      <c r="A135" s="1" t="str">
        <f>equip.xml!A139</f>
        <v>10300020</v>
      </c>
      <c r="B135" s="1">
        <f>equip.xml!B139</f>
        <v>1</v>
      </c>
      <c r="C135" s="1" t="str">
        <f>equip.xml!C139</f>
        <v>繁星之戒</v>
      </c>
      <c r="D135" s="1" t="str">
        <f>equip.xml!D139</f>
        <v>戒指</v>
      </c>
      <c r="E135" s="1">
        <f>equip.xml!E139</f>
        <v>2</v>
      </c>
      <c r="F135" s="1">
        <f>equip.xml!F139</f>
        <v>1</v>
      </c>
      <c r="G135" s="1">
        <f>equip.xml!G139</f>
        <v>30</v>
      </c>
      <c r="H135" s="1">
        <f>equip.xml!H139</f>
        <v>0</v>
      </c>
      <c r="I135" s="1">
        <f>equip.xml!J139</f>
        <v>5</v>
      </c>
      <c r="J135" s="1">
        <f>equip.xml!K139</f>
        <v>0</v>
      </c>
      <c r="K135" s="1">
        <f>equip.xml!L139</f>
        <v>0</v>
      </c>
      <c r="L135" s="1" t="str">
        <f>equip.xml!M139</f>
        <v>102_460_460</v>
      </c>
      <c r="M135" s="7" t="str">
        <f>equip.xml!Q139</f>
        <v>equipment/14005.png</v>
      </c>
      <c r="N135" t="str">
        <f>equip.xml!P139</f>
        <v>10000_1002_30000,30000_30001_1,30000_30002_1,30000_30003_1</v>
      </c>
    </row>
    <row r="136" spans="1:14">
      <c r="A136" s="1" t="str">
        <f>equip.xml!A140</f>
        <v>10300030</v>
      </c>
      <c r="B136" s="1">
        <f>equip.xml!B140</f>
        <v>0</v>
      </c>
      <c r="C136" s="1" t="str">
        <f>equip.xml!C140</f>
        <v>秘银腰带</v>
      </c>
      <c r="D136" s="1" t="str">
        <f>equip.xml!D140</f>
        <v>腰带</v>
      </c>
      <c r="E136" s="1">
        <f>equip.xml!E140</f>
        <v>3</v>
      </c>
      <c r="F136" s="1">
        <f>equip.xml!F140</f>
        <v>1</v>
      </c>
      <c r="G136" s="1">
        <f>equip.xml!G140</f>
        <v>30</v>
      </c>
      <c r="H136" s="1">
        <f>equip.xml!H140</f>
        <v>0</v>
      </c>
      <c r="I136" s="1">
        <f>equip.xml!J140</f>
        <v>5</v>
      </c>
      <c r="J136" s="1">
        <f>equip.xml!K140</f>
        <v>0</v>
      </c>
      <c r="K136" s="1">
        <f>equip.xml!L140</f>
        <v>0</v>
      </c>
      <c r="L136" s="1" t="str">
        <f>equip.xml!M140</f>
        <v>101_3360_3360</v>
      </c>
      <c r="M136" s="7" t="str">
        <f>equip.xml!Q140</f>
        <v>equipment/6001.png</v>
      </c>
      <c r="N136" t="str">
        <f>equip.xml!P140</f>
        <v>10000_1002_30000,30000_30001_1,30000_30002_1,30000_30003_1</v>
      </c>
    </row>
    <row r="137" spans="1:14">
      <c r="A137" s="1" t="str">
        <f>equip.xml!A141</f>
        <v>10300080</v>
      </c>
      <c r="B137" s="1">
        <f>equip.xml!B141</f>
        <v>1</v>
      </c>
      <c r="C137" s="1" t="str">
        <f>equip.xml!C141</f>
        <v>镶饰胫甲</v>
      </c>
      <c r="D137" s="1" t="str">
        <f>equip.xml!D141</f>
        <v>鞋子</v>
      </c>
      <c r="E137" s="1">
        <f>equip.xml!E141</f>
        <v>8</v>
      </c>
      <c r="F137" s="1">
        <f>equip.xml!F141</f>
        <v>1</v>
      </c>
      <c r="G137" s="1">
        <f>equip.xml!G141</f>
        <v>30</v>
      </c>
      <c r="H137" s="1">
        <f>equip.xml!H141</f>
        <v>0</v>
      </c>
      <c r="I137" s="1">
        <f>equip.xml!J141</f>
        <v>5</v>
      </c>
      <c r="J137" s="1">
        <f>equip.xml!K141</f>
        <v>0</v>
      </c>
      <c r="K137" s="1">
        <f>equip.xml!L141</f>
        <v>0</v>
      </c>
      <c r="L137" s="1" t="str">
        <f>equip.xml!M141</f>
        <v>110_65_65</v>
      </c>
      <c r="M137" s="7" t="str">
        <f>equip.xml!Q141</f>
        <v>equipment/8005.png</v>
      </c>
      <c r="N137" t="str">
        <f>equip.xml!P141</f>
        <v>10000_1002_30000,30000_30001_1,30000_30002_1,30000_30003_1</v>
      </c>
    </row>
    <row r="138" spans="1:14">
      <c r="A138" s="1" t="str">
        <f>equip.xml!A142</f>
        <v>10300090</v>
      </c>
      <c r="B138" s="1">
        <f>equip.xml!B142</f>
        <v>1</v>
      </c>
      <c r="C138" s="1" t="str">
        <f>equip.xml!C142</f>
        <v>链甲手套</v>
      </c>
      <c r="D138" s="1" t="str">
        <f>equip.xml!D142</f>
        <v>手套</v>
      </c>
      <c r="E138" s="1">
        <f>equip.xml!E142</f>
        <v>9</v>
      </c>
      <c r="F138" s="1">
        <f>equip.xml!F142</f>
        <v>1</v>
      </c>
      <c r="G138" s="1">
        <f>equip.xml!G142</f>
        <v>30</v>
      </c>
      <c r="H138" s="1">
        <f>equip.xml!H142</f>
        <v>0</v>
      </c>
      <c r="I138" s="1">
        <f>equip.xml!J142</f>
        <v>5</v>
      </c>
      <c r="J138" s="1">
        <f>equip.xml!K142</f>
        <v>0</v>
      </c>
      <c r="K138" s="1">
        <f>equip.xml!L142</f>
        <v>0</v>
      </c>
      <c r="L138" s="1" t="str">
        <f>equip.xml!M142</f>
        <v>108_367_367</v>
      </c>
      <c r="M138" s="7" t="str">
        <f>equip.xml!Q142</f>
        <v>equipment/10005.png</v>
      </c>
      <c r="N138" t="str">
        <f>equip.xml!P142</f>
        <v>10000_1002_30000,30000_30001_1,30000_30002_1,30000_30003_1</v>
      </c>
    </row>
    <row r="139" spans="1:14">
      <c r="A139" s="1" t="str">
        <f>equip.xml!A143</f>
        <v>10300100</v>
      </c>
      <c r="B139" s="1">
        <f>equip.xml!B143</f>
        <v>1</v>
      </c>
      <c r="C139" s="1" t="str">
        <f>equip.xml!C143</f>
        <v>虎眼石项链</v>
      </c>
      <c r="D139" s="1" t="str">
        <f>equip.xml!D143</f>
        <v>项链</v>
      </c>
      <c r="E139" s="1">
        <f>equip.xml!E143</f>
        <v>10</v>
      </c>
      <c r="F139" s="1">
        <f>equip.xml!F143</f>
        <v>1</v>
      </c>
      <c r="G139" s="1">
        <f>equip.xml!G143</f>
        <v>30</v>
      </c>
      <c r="H139" s="1">
        <f>equip.xml!H143</f>
        <v>0</v>
      </c>
      <c r="I139" s="1">
        <f>equip.xml!J143</f>
        <v>5</v>
      </c>
      <c r="J139" s="1">
        <f>equip.xml!K143</f>
        <v>0</v>
      </c>
      <c r="K139" s="1">
        <f>equip.xml!L143</f>
        <v>0</v>
      </c>
      <c r="L139" s="1" t="str">
        <f>equip.xml!M143</f>
        <v>107_372_372</v>
      </c>
      <c r="M139" s="7" t="str">
        <f>equip.xml!Q143</f>
        <v>equipment/12005.png</v>
      </c>
      <c r="N139" t="str">
        <f>equip.xml!P143</f>
        <v>10000_1002_30000,30000_30001_1,30000_30002_1,30000_30003_1</v>
      </c>
    </row>
    <row r="140" spans="1:14">
      <c r="A140" s="1" t="str">
        <f>equip.xml!A144</f>
        <v>10301050</v>
      </c>
      <c r="B140" s="1">
        <f>equip.xml!B144</f>
        <v>1</v>
      </c>
      <c r="C140" s="1" t="str">
        <f>equip.xml!C144</f>
        <v>炽热长剑</v>
      </c>
      <c r="D140" s="1" t="str">
        <f>equip.xml!D144</f>
        <v>主手武器</v>
      </c>
      <c r="E140" s="1">
        <f>equip.xml!E144</f>
        <v>5</v>
      </c>
      <c r="F140" s="1">
        <f>equip.xml!F144</f>
        <v>1</v>
      </c>
      <c r="G140" s="1">
        <f>equip.xml!G144</f>
        <v>30</v>
      </c>
      <c r="H140" s="1" t="str">
        <f>equip.xml!H144</f>
        <v>1,1001</v>
      </c>
      <c r="I140" s="1">
        <f>equip.xml!J144</f>
        <v>5</v>
      </c>
      <c r="J140" s="1">
        <f>equip.xml!K144</f>
        <v>0</v>
      </c>
      <c r="K140" s="1">
        <f>equip.xml!L144</f>
        <v>0</v>
      </c>
      <c r="L140" s="1" t="str">
        <f>equip.xml!M144</f>
        <v>103_275_275,104_550_550</v>
      </c>
      <c r="M140" s="7" t="str">
        <f>equip.xml!Q144</f>
        <v>equipment/1112.png</v>
      </c>
      <c r="N140" t="str">
        <f>equip.xml!P144</f>
        <v>10000_1002_30000,30000_30001_1,30000_30002_1,30000_30003_1</v>
      </c>
    </row>
    <row r="141" spans="1:14">
      <c r="A141" s="1" t="str">
        <f>equip.xml!A145</f>
        <v>10301051</v>
      </c>
      <c r="B141" s="1">
        <f>equip.xml!B145</f>
        <v>1</v>
      </c>
      <c r="C141" s="1" t="str">
        <f>equip.xml!C145</f>
        <v>贵族阔剑</v>
      </c>
      <c r="D141" s="1" t="str">
        <f>equip.xml!D145</f>
        <v>主手武器</v>
      </c>
      <c r="E141" s="1">
        <f>equip.xml!E145</f>
        <v>5</v>
      </c>
      <c r="F141" s="1">
        <f>equip.xml!F145</f>
        <v>1</v>
      </c>
      <c r="G141" s="1">
        <f>equip.xml!G145</f>
        <v>30</v>
      </c>
      <c r="H141" s="1" t="str">
        <f>equip.xml!H145</f>
        <v>1,1001</v>
      </c>
      <c r="I141" s="1">
        <f>equip.xml!J145</f>
        <v>5</v>
      </c>
      <c r="J141" s="1">
        <f>equip.xml!K145</f>
        <v>0</v>
      </c>
      <c r="K141" s="1">
        <f>equip.xml!L145</f>
        <v>0</v>
      </c>
      <c r="L141" s="1" t="str">
        <f>equip.xml!M145</f>
        <v>103_342_342,104_684_684</v>
      </c>
      <c r="M141" s="7" t="str">
        <f>equip.xml!Q145</f>
        <v>equipment/1113.png</v>
      </c>
      <c r="N141" t="str">
        <f>equip.xml!P145</f>
        <v>10000_1002_30000,30000_30001_1,30000_30002_1,30000_30003_1</v>
      </c>
    </row>
    <row r="142" spans="1:14">
      <c r="A142" s="1" t="str">
        <f>equip.xml!A146</f>
        <v>10301060</v>
      </c>
      <c r="B142" s="1">
        <f>equip.xml!B146</f>
        <v>1</v>
      </c>
      <c r="C142" s="1" t="str">
        <f>equip.xml!C146</f>
        <v>耐久盾牌</v>
      </c>
      <c r="D142" s="1" t="str">
        <f>equip.xml!D146</f>
        <v>副手武器</v>
      </c>
      <c r="E142" s="1">
        <f>equip.xml!E146</f>
        <v>6</v>
      </c>
      <c r="F142" s="1">
        <f>equip.xml!F146</f>
        <v>1</v>
      </c>
      <c r="G142" s="1">
        <f>equip.xml!G146</f>
        <v>30</v>
      </c>
      <c r="H142" s="1" t="str">
        <f>equip.xml!H146</f>
        <v>1,1001</v>
      </c>
      <c r="I142" s="1">
        <f>equip.xml!J146</f>
        <v>5</v>
      </c>
      <c r="J142" s="1">
        <f>equip.xml!K146</f>
        <v>0</v>
      </c>
      <c r="K142" s="1">
        <f>equip.xml!L146</f>
        <v>0</v>
      </c>
      <c r="L142" s="1" t="str">
        <f>equip.xml!M146</f>
        <v>105_368_368</v>
      </c>
      <c r="M142" s="7" t="str">
        <f>equip.xml!Q146</f>
        <v>equipment/2107.png</v>
      </c>
      <c r="N142" t="str">
        <f>equip.xml!P146</f>
        <v>10000_1002_30000,30000_30001_1,30000_30002_1,30000_30003_1</v>
      </c>
    </row>
    <row r="143" spans="1:14">
      <c r="A143" s="1" t="str">
        <f>equip.xml!A147</f>
        <v>10301061</v>
      </c>
      <c r="B143" s="1">
        <f>equip.xml!B147</f>
        <v>0</v>
      </c>
      <c r="C143" s="1" t="str">
        <f>equip.xml!C147</f>
        <v>盐石盾牌</v>
      </c>
      <c r="D143" s="1" t="str">
        <f>equip.xml!D147</f>
        <v>副手武器</v>
      </c>
      <c r="E143" s="1">
        <f>equip.xml!E147</f>
        <v>6</v>
      </c>
      <c r="F143" s="1">
        <f>equip.xml!F147</f>
        <v>1</v>
      </c>
      <c r="G143" s="1">
        <f>equip.xml!G147</f>
        <v>30</v>
      </c>
      <c r="H143" s="1" t="str">
        <f>equip.xml!H147</f>
        <v>1,1001</v>
      </c>
      <c r="I143" s="1">
        <f>equip.xml!J147</f>
        <v>5</v>
      </c>
      <c r="J143" s="1">
        <f>equip.xml!K147</f>
        <v>0</v>
      </c>
      <c r="K143" s="1">
        <f>equip.xml!L147</f>
        <v>0</v>
      </c>
      <c r="L143" s="1" t="str">
        <f>equip.xml!M147</f>
        <v>105_491_491</v>
      </c>
      <c r="M143" s="7" t="str">
        <f>equip.xml!Q147</f>
        <v>equipment/2108.png</v>
      </c>
      <c r="N143" t="str">
        <f>equip.xml!P147</f>
        <v>10000_1002_30000,30000_30001_1,30000_30002_1,30000_30003_1</v>
      </c>
    </row>
    <row r="144" spans="1:14">
      <c r="A144" s="1" t="str">
        <f>equip.xml!A148</f>
        <v>10302050</v>
      </c>
      <c r="B144" s="1">
        <f>equip.xml!B148</f>
        <v>1</v>
      </c>
      <c r="C144" s="1" t="str">
        <f>equip.xml!C148</f>
        <v>红木长弓</v>
      </c>
      <c r="D144" s="1" t="str">
        <f>equip.xml!D148</f>
        <v>主手武器</v>
      </c>
      <c r="E144" s="1">
        <f>equip.xml!E148</f>
        <v>5</v>
      </c>
      <c r="F144" s="1">
        <f>equip.xml!F148</f>
        <v>1</v>
      </c>
      <c r="G144" s="1">
        <f>equip.xml!G148</f>
        <v>30</v>
      </c>
      <c r="H144" s="1" t="str">
        <f>equip.xml!H148</f>
        <v>2,1002</v>
      </c>
      <c r="I144" s="1">
        <f>equip.xml!J148</f>
        <v>5</v>
      </c>
      <c r="J144" s="1">
        <f>equip.xml!K148</f>
        <v>0</v>
      </c>
      <c r="K144" s="1">
        <f>equip.xml!L148</f>
        <v>0</v>
      </c>
      <c r="L144" s="1" t="str">
        <f>equip.xml!M148</f>
        <v>103_275_275,104_550_550</v>
      </c>
      <c r="M144" s="7" t="str">
        <f>equip.xml!Q148</f>
        <v>equipment/1211.png</v>
      </c>
      <c r="N144" t="str">
        <f>equip.xml!P148</f>
        <v>10000_1002_30000,30000_30001_1,30000_30002_1,30000_30003_1</v>
      </c>
    </row>
    <row r="145" spans="1:14">
      <c r="A145" s="1" t="str">
        <f>equip.xml!A149</f>
        <v>10302051</v>
      </c>
      <c r="B145" s="1">
        <f>equip.xml!B149</f>
        <v>1</v>
      </c>
      <c r="C145" s="1" t="str">
        <f>equip.xml!C149</f>
        <v>灼热弓</v>
      </c>
      <c r="D145" s="1" t="str">
        <f>equip.xml!D149</f>
        <v>主手武器</v>
      </c>
      <c r="E145" s="1">
        <f>equip.xml!E149</f>
        <v>5</v>
      </c>
      <c r="F145" s="1">
        <f>equip.xml!F149</f>
        <v>1</v>
      </c>
      <c r="G145" s="1">
        <f>equip.xml!G149</f>
        <v>30</v>
      </c>
      <c r="H145" s="1" t="str">
        <f>equip.xml!H149</f>
        <v>2,1002</v>
      </c>
      <c r="I145" s="1">
        <f>equip.xml!J149</f>
        <v>5</v>
      </c>
      <c r="J145" s="1">
        <f>equip.xml!K149</f>
        <v>0</v>
      </c>
      <c r="K145" s="1">
        <f>equip.xml!L149</f>
        <v>0</v>
      </c>
      <c r="L145" s="1" t="str">
        <f>equip.xml!M149</f>
        <v>103_342_342,104_684_684</v>
      </c>
      <c r="M145" s="7" t="str">
        <f>equip.xml!Q149</f>
        <v>equipment/1212.png</v>
      </c>
      <c r="N145" t="str">
        <f>equip.xml!P149</f>
        <v>10000_1002_30000,30000_30001_1,30000_30002_1,30000_30003_1</v>
      </c>
    </row>
    <row r="146" spans="1:14">
      <c r="A146" s="1" t="str">
        <f>equip.xml!A150</f>
        <v>10302060</v>
      </c>
      <c r="B146" s="1">
        <f>equip.xml!B150</f>
        <v>1</v>
      </c>
      <c r="C146" s="1" t="str">
        <f>equip.xml!C150</f>
        <v>倒刺箭筒</v>
      </c>
      <c r="D146" s="1" t="str">
        <f>equip.xml!D150</f>
        <v>副手武器</v>
      </c>
      <c r="E146" s="1">
        <f>equip.xml!E150</f>
        <v>6</v>
      </c>
      <c r="F146" s="1">
        <f>equip.xml!F150</f>
        <v>1</v>
      </c>
      <c r="G146" s="1">
        <f>equip.xml!G150</f>
        <v>30</v>
      </c>
      <c r="H146" s="1" t="str">
        <f>equip.xml!H150</f>
        <v>2,1002</v>
      </c>
      <c r="I146" s="1">
        <f>equip.xml!J150</f>
        <v>5</v>
      </c>
      <c r="J146" s="1">
        <f>equip.xml!K150</f>
        <v>0</v>
      </c>
      <c r="K146" s="1">
        <f>equip.xml!L150</f>
        <v>0</v>
      </c>
      <c r="L146" s="1" t="str">
        <f>equip.xml!M150</f>
        <v>108_368_368</v>
      </c>
      <c r="M146" s="7" t="str">
        <f>equip.xml!Q150</f>
        <v>equipment/2207.png</v>
      </c>
      <c r="N146" t="str">
        <f>equip.xml!P150</f>
        <v>10000_1002_30000,30000_30001_1,30000_30002_1,30000_30003_1</v>
      </c>
    </row>
    <row r="147" spans="1:14">
      <c r="A147" s="1" t="str">
        <f>equip.xml!A151</f>
        <v>10302061</v>
      </c>
      <c r="B147" s="1">
        <f>equip.xml!B151</f>
        <v>0</v>
      </c>
      <c r="C147" s="1" t="str">
        <f>equip.xml!C151</f>
        <v>崇圣箭筒</v>
      </c>
      <c r="D147" s="1" t="str">
        <f>equip.xml!D151</f>
        <v>副手武器</v>
      </c>
      <c r="E147" s="1">
        <f>equip.xml!E151</f>
        <v>6</v>
      </c>
      <c r="F147" s="1">
        <f>equip.xml!F151</f>
        <v>1</v>
      </c>
      <c r="G147" s="1">
        <f>equip.xml!G151</f>
        <v>30</v>
      </c>
      <c r="H147" s="1" t="str">
        <f>equip.xml!H151</f>
        <v>2,1002</v>
      </c>
      <c r="I147" s="1">
        <f>equip.xml!J151</f>
        <v>5</v>
      </c>
      <c r="J147" s="1">
        <f>equip.xml!K151</f>
        <v>0</v>
      </c>
      <c r="K147" s="1">
        <f>equip.xml!L151</f>
        <v>0</v>
      </c>
      <c r="L147" s="1" t="str">
        <f>equip.xml!M151</f>
        <v>108_491_491</v>
      </c>
      <c r="M147" s="7" t="str">
        <f>equip.xml!Q151</f>
        <v>equipment/2208.png</v>
      </c>
      <c r="N147" t="str">
        <f>equip.xml!P151</f>
        <v>10000_1002_30000,30000_30001_1,30000_30002_1,30000_30003_1</v>
      </c>
    </row>
    <row r="148" spans="1:14">
      <c r="A148" s="1" t="str">
        <f>equip.xml!A152</f>
        <v>10303050</v>
      </c>
      <c r="B148" s="1">
        <f>equip.xml!B152</f>
        <v>1</v>
      </c>
      <c r="C148" s="1" t="str">
        <f>equip.xml!C152</f>
        <v>荒骨法杖</v>
      </c>
      <c r="D148" s="1" t="str">
        <f>equip.xml!D152</f>
        <v>主手武器</v>
      </c>
      <c r="E148" s="1">
        <f>equip.xml!E152</f>
        <v>5</v>
      </c>
      <c r="F148" s="1">
        <f>equip.xml!F152</f>
        <v>1</v>
      </c>
      <c r="G148" s="1">
        <f>equip.xml!G152</f>
        <v>30</v>
      </c>
      <c r="H148" s="1" t="str">
        <f>equip.xml!H152</f>
        <v>3,1003</v>
      </c>
      <c r="I148" s="1">
        <f>equip.xml!J152</f>
        <v>5</v>
      </c>
      <c r="J148" s="1">
        <f>equip.xml!K152</f>
        <v>0</v>
      </c>
      <c r="K148" s="1">
        <f>equip.xml!L152</f>
        <v>0</v>
      </c>
      <c r="L148" s="1" t="str">
        <f>equip.xml!M152</f>
        <v>103_275_275,104_550_550</v>
      </c>
      <c r="M148" s="7" t="str">
        <f>equip.xml!Q152</f>
        <v>equipment/1312.png</v>
      </c>
      <c r="N148" t="str">
        <f>equip.xml!P152</f>
        <v>10000_1002_30000,30000_30001_1,30000_30002_1,30000_30003_1</v>
      </c>
    </row>
    <row r="149" spans="1:14">
      <c r="A149" s="1" t="str">
        <f>equip.xml!A153</f>
        <v>10303051</v>
      </c>
      <c r="B149" s="1">
        <f>equip.xml!B153</f>
        <v>1</v>
      </c>
      <c r="C149" s="1" t="str">
        <f>equip.xml!C153</f>
        <v>新月法杖</v>
      </c>
      <c r="D149" s="1" t="str">
        <f>equip.xml!D153</f>
        <v>主手武器</v>
      </c>
      <c r="E149" s="1">
        <f>equip.xml!E153</f>
        <v>5</v>
      </c>
      <c r="F149" s="1">
        <f>equip.xml!F153</f>
        <v>1</v>
      </c>
      <c r="G149" s="1">
        <f>equip.xml!G153</f>
        <v>30</v>
      </c>
      <c r="H149" s="1" t="str">
        <f>equip.xml!H153</f>
        <v>3,1003</v>
      </c>
      <c r="I149" s="1">
        <f>equip.xml!J153</f>
        <v>5</v>
      </c>
      <c r="J149" s="1">
        <f>equip.xml!K153</f>
        <v>0</v>
      </c>
      <c r="K149" s="1">
        <f>equip.xml!L153</f>
        <v>0</v>
      </c>
      <c r="L149" s="1" t="str">
        <f>equip.xml!M153</f>
        <v>103_342_342,104_684_684</v>
      </c>
      <c r="M149" s="7" t="str">
        <f>equip.xml!Q153</f>
        <v>equipment/1313.png</v>
      </c>
      <c r="N149" t="str">
        <f>equip.xml!P153</f>
        <v>10000_1002_30000,30000_30001_1,30000_30002_1,30000_30003_1</v>
      </c>
    </row>
    <row r="150" spans="1:14">
      <c r="A150" s="1" t="str">
        <f>equip.xml!A154</f>
        <v>10303060</v>
      </c>
      <c r="B150" s="1">
        <f>equip.xml!B154</f>
        <v>1</v>
      </c>
      <c r="C150" s="1" t="str">
        <f>equip.xml!C154</f>
        <v>神圣典籍</v>
      </c>
      <c r="D150" s="1" t="str">
        <f>equip.xml!D154</f>
        <v>副手武器</v>
      </c>
      <c r="E150" s="1">
        <f>equip.xml!E154</f>
        <v>6</v>
      </c>
      <c r="F150" s="1">
        <f>equip.xml!F154</f>
        <v>1</v>
      </c>
      <c r="G150" s="1">
        <f>equip.xml!G154</f>
        <v>30</v>
      </c>
      <c r="H150" s="1" t="str">
        <f>equip.xml!H154</f>
        <v>3,1003</v>
      </c>
      <c r="I150" s="1">
        <f>equip.xml!J154</f>
        <v>5</v>
      </c>
      <c r="J150" s="1">
        <f>equip.xml!K154</f>
        <v>0</v>
      </c>
      <c r="K150" s="1">
        <f>equip.xml!L154</f>
        <v>0</v>
      </c>
      <c r="L150" s="1" t="str">
        <f>equip.xml!M154</f>
        <v>102_880_880</v>
      </c>
      <c r="M150" s="7" t="str">
        <f>equip.xml!Q154</f>
        <v>equipment/2307.png</v>
      </c>
      <c r="N150" t="str">
        <f>equip.xml!P154</f>
        <v>10000_1002_30000,30000_30001_1,30000_30002_1,30000_30003_1</v>
      </c>
    </row>
    <row r="151" spans="1:14">
      <c r="A151" s="1" t="str">
        <f>equip.xml!A155</f>
        <v>10303061</v>
      </c>
      <c r="B151" s="1">
        <f>equip.xml!B155</f>
        <v>0</v>
      </c>
      <c r="C151" s="1" t="str">
        <f>equip.xml!C155</f>
        <v>召唤之书</v>
      </c>
      <c r="D151" s="1" t="str">
        <f>equip.xml!D155</f>
        <v>副手武器</v>
      </c>
      <c r="E151" s="1">
        <f>equip.xml!E155</f>
        <v>6</v>
      </c>
      <c r="F151" s="1">
        <f>equip.xml!F155</f>
        <v>1</v>
      </c>
      <c r="G151" s="1">
        <f>equip.xml!G155</f>
        <v>30</v>
      </c>
      <c r="H151" s="1" t="str">
        <f>equip.xml!H155</f>
        <v>3,1003</v>
      </c>
      <c r="I151" s="1">
        <f>equip.xml!J155</f>
        <v>5</v>
      </c>
      <c r="J151" s="1">
        <f>equip.xml!K155</f>
        <v>0</v>
      </c>
      <c r="K151" s="1">
        <f>equip.xml!L155</f>
        <v>0</v>
      </c>
      <c r="L151" s="1" t="str">
        <f>equip.xml!M155</f>
        <v>102_944_944</v>
      </c>
      <c r="M151" s="7" t="str">
        <f>equip.xml!Q155</f>
        <v>equipment/2308.png</v>
      </c>
      <c r="N151" t="str">
        <f>equip.xml!P155</f>
        <v>10000_1002_30000,30000_30001_1,30000_30002_1,30000_30003_1</v>
      </c>
    </row>
    <row r="152" spans="1:14">
      <c r="A152" s="1" t="str">
        <f>equip.xml!A156</f>
        <v>10300040</v>
      </c>
      <c r="B152" s="1">
        <f>equip.xml!B156</f>
        <v>1</v>
      </c>
      <c r="C152" s="1" t="str">
        <f>equip.xml!C156</f>
        <v>水滴胸铠</v>
      </c>
      <c r="D152" s="1" t="str">
        <f>equip.xml!D156</f>
        <v>胸甲</v>
      </c>
      <c r="E152" s="1">
        <f>equip.xml!E156</f>
        <v>4</v>
      </c>
      <c r="F152" s="1">
        <f>equip.xml!F156</f>
        <v>1</v>
      </c>
      <c r="G152" s="1">
        <f>equip.xml!G156</f>
        <v>30</v>
      </c>
      <c r="H152" s="1">
        <f>equip.xml!H156</f>
        <v>0</v>
      </c>
      <c r="I152" s="1">
        <f>equip.xml!J156</f>
        <v>5</v>
      </c>
      <c r="J152" s="1">
        <f>equip.xml!K156</f>
        <v>0</v>
      </c>
      <c r="K152" s="1">
        <f>equip.xml!L156</f>
        <v>0</v>
      </c>
      <c r="L152" s="1" t="str">
        <f>equip.xml!M156</f>
        <v>105_216_216</v>
      </c>
      <c r="M152" s="7" t="str">
        <f>equip.xml!Q156</f>
        <v>equipment/5008.png</v>
      </c>
      <c r="N152" t="str">
        <f>equip.xml!P156</f>
        <v>10000_1002_30000,30000_30001_1,30000_30002_1,30000_30003_1</v>
      </c>
    </row>
    <row r="153" spans="1:14">
      <c r="A153" s="1" t="str">
        <f>equip.xml!A157</f>
        <v>10300041</v>
      </c>
      <c r="B153" s="1">
        <f>equip.xml!B157</f>
        <v>1</v>
      </c>
      <c r="C153" s="1" t="str">
        <f>equip.xml!C157</f>
        <v>防卫者外套</v>
      </c>
      <c r="D153" s="1" t="str">
        <f>equip.xml!D157</f>
        <v>胸甲</v>
      </c>
      <c r="E153" s="1">
        <f>equip.xml!E157</f>
        <v>4</v>
      </c>
      <c r="F153" s="1">
        <f>equip.xml!F157</f>
        <v>1</v>
      </c>
      <c r="G153" s="1">
        <f>equip.xml!G157</f>
        <v>30</v>
      </c>
      <c r="H153" s="1">
        <f>equip.xml!H157</f>
        <v>0</v>
      </c>
      <c r="I153" s="1">
        <f>equip.xml!J157</f>
        <v>5</v>
      </c>
      <c r="J153" s="1">
        <f>equip.xml!K157</f>
        <v>0</v>
      </c>
      <c r="K153" s="1">
        <f>equip.xml!L157</f>
        <v>0</v>
      </c>
      <c r="L153" s="1" t="str">
        <f>equip.xml!M157</f>
        <v>105_247_247</v>
      </c>
      <c r="M153" s="7" t="str">
        <f>equip.xml!Q157</f>
        <v>equipment/5009.png</v>
      </c>
      <c r="N153" t="str">
        <f>equip.xml!P157</f>
        <v>10000_1002_30000,30000_30001_1,30000_30002_1,30000_30003_1</v>
      </c>
    </row>
    <row r="154" spans="1:14">
      <c r="A154" s="1" t="str">
        <f>equip.xml!A158</f>
        <v>10300070</v>
      </c>
      <c r="B154" s="1">
        <f>equip.xml!B158</f>
        <v>1</v>
      </c>
      <c r="C154" s="1" t="str">
        <f>equip.xml!C158</f>
        <v>游侠护腿</v>
      </c>
      <c r="D154" s="1" t="str">
        <f>equip.xml!D158</f>
        <v>护腿</v>
      </c>
      <c r="E154" s="1">
        <f>equip.xml!E158</f>
        <v>7</v>
      </c>
      <c r="F154" s="1">
        <f>equip.xml!F158</f>
        <v>1</v>
      </c>
      <c r="G154" s="1">
        <f>equip.xml!G158</f>
        <v>30</v>
      </c>
      <c r="H154" s="1">
        <f>equip.xml!H158</f>
        <v>0</v>
      </c>
      <c r="I154" s="1">
        <f>equip.xml!J158</f>
        <v>5</v>
      </c>
      <c r="J154" s="1">
        <f>equip.xml!K158</f>
        <v>0</v>
      </c>
      <c r="K154" s="1">
        <f>equip.xml!L158</f>
        <v>0</v>
      </c>
      <c r="L154" s="1" t="str">
        <f>equip.xml!M158</f>
        <v>105_216_216</v>
      </c>
      <c r="M154" s="7" t="str">
        <f>equip.xml!Q158</f>
        <v>equipment/7007.png</v>
      </c>
      <c r="N154" t="str">
        <f>equip.xml!P158</f>
        <v>10000_1002_30000,30000_30001_1,30000_30002_1,30000_30003_1</v>
      </c>
    </row>
    <row r="155" spans="1:14">
      <c r="A155" s="1" t="str">
        <f>equip.xml!A159</f>
        <v>10300071</v>
      </c>
      <c r="B155" s="1">
        <f>equip.xml!B159</f>
        <v>1</v>
      </c>
      <c r="C155" s="1" t="str">
        <f>equip.xml!C159</f>
        <v>逐风护腿</v>
      </c>
      <c r="D155" s="1" t="str">
        <f>equip.xml!D159</f>
        <v>护腿</v>
      </c>
      <c r="E155" s="1">
        <f>equip.xml!E159</f>
        <v>7</v>
      </c>
      <c r="F155" s="1">
        <f>equip.xml!F159</f>
        <v>1</v>
      </c>
      <c r="G155" s="1">
        <f>equip.xml!G159</f>
        <v>30</v>
      </c>
      <c r="H155" s="1">
        <f>equip.xml!H159</f>
        <v>0</v>
      </c>
      <c r="I155" s="1">
        <f>equip.xml!J159</f>
        <v>5</v>
      </c>
      <c r="J155" s="1">
        <f>equip.xml!K159</f>
        <v>0</v>
      </c>
      <c r="K155" s="1">
        <f>equip.xml!L159</f>
        <v>0</v>
      </c>
      <c r="L155" s="1" t="str">
        <f>equip.xml!M159</f>
        <v>105_247_247</v>
      </c>
      <c r="M155" s="7" t="str">
        <f>equip.xml!Q159</f>
        <v>equipment/7008.png</v>
      </c>
      <c r="N155" t="str">
        <f>equip.xml!P159</f>
        <v>10000_1002_30000,30000_30001_1,30000_30002_1,30000_30003_1</v>
      </c>
    </row>
    <row r="156" spans="1:14">
      <c r="A156" s="1" t="str">
        <f>equip.xml!A160</f>
        <v>10350010</v>
      </c>
      <c r="B156" s="1">
        <f>equip.xml!B160</f>
        <v>1</v>
      </c>
      <c r="C156" s="1" t="str">
        <f>equip.xml!C160</f>
        <v>镶带头盔</v>
      </c>
      <c r="D156" s="1" t="str">
        <f>equip.xml!D160</f>
        <v>头盔</v>
      </c>
      <c r="E156" s="1">
        <f>equip.xml!E160</f>
        <v>1</v>
      </c>
      <c r="F156" s="1">
        <f>equip.xml!F160</f>
        <v>1</v>
      </c>
      <c r="G156" s="1">
        <f>equip.xml!G160</f>
        <v>35</v>
      </c>
      <c r="H156" s="1">
        <f>equip.xml!H160</f>
        <v>0</v>
      </c>
      <c r="I156" s="1">
        <f>equip.xml!J160</f>
        <v>5</v>
      </c>
      <c r="J156" s="1">
        <f>equip.xml!K160</f>
        <v>0</v>
      </c>
      <c r="K156" s="1">
        <f>equip.xml!L160</f>
        <v>0</v>
      </c>
      <c r="L156" s="1" t="str">
        <f>equip.xml!M160</f>
        <v>106_596_596</v>
      </c>
      <c r="M156" s="7" t="str">
        <f>equip.xml!Q160</f>
        <v>equipment/3006.png</v>
      </c>
      <c r="N156" t="str">
        <f>equip.xml!P160</f>
        <v>10000_1002_35000,30000_30001_1,30000_30002_1,30000_30003_1</v>
      </c>
    </row>
    <row r="157" spans="1:14">
      <c r="A157" s="1" t="str">
        <f>equip.xml!A161</f>
        <v>10350020</v>
      </c>
      <c r="B157" s="1">
        <f>equip.xml!B161</f>
        <v>1</v>
      </c>
      <c r="C157" s="1" t="str">
        <f>equip.xml!C161</f>
        <v>烈焰指环</v>
      </c>
      <c r="D157" s="1" t="str">
        <f>equip.xml!D161</f>
        <v>戒指</v>
      </c>
      <c r="E157" s="1">
        <f>equip.xml!E161</f>
        <v>2</v>
      </c>
      <c r="F157" s="1">
        <f>equip.xml!F161</f>
        <v>1</v>
      </c>
      <c r="G157" s="1">
        <f>equip.xml!G161</f>
        <v>35</v>
      </c>
      <c r="H157" s="1">
        <f>equip.xml!H161</f>
        <v>0</v>
      </c>
      <c r="I157" s="1">
        <f>equip.xml!J161</f>
        <v>5</v>
      </c>
      <c r="J157" s="1">
        <f>equip.xml!K161</f>
        <v>0</v>
      </c>
      <c r="K157" s="1">
        <f>equip.xml!L161</f>
        <v>0</v>
      </c>
      <c r="L157" s="1" t="str">
        <f>equip.xml!M161</f>
        <v>102_590_590</v>
      </c>
      <c r="M157" s="7" t="str">
        <f>equip.xml!Q161</f>
        <v>equipment/14006.png</v>
      </c>
      <c r="N157" t="str">
        <f>equip.xml!P161</f>
        <v>10000_1002_35000,30000_30001_1,30000_30002_1,30000_30003_1</v>
      </c>
    </row>
    <row r="158" spans="1:14">
      <c r="A158" s="1" t="str">
        <f>equip.xml!A162</f>
        <v>10350030</v>
      </c>
      <c r="B158" s="1">
        <f>equip.xml!B162</f>
        <v>1</v>
      </c>
      <c r="C158" s="1" t="str">
        <f>equip.xml!C162</f>
        <v>斗士腰带</v>
      </c>
      <c r="D158" s="1" t="str">
        <f>equip.xml!D162</f>
        <v>腰带</v>
      </c>
      <c r="E158" s="1">
        <f>equip.xml!E162</f>
        <v>3</v>
      </c>
      <c r="F158" s="1">
        <f>equip.xml!F162</f>
        <v>1</v>
      </c>
      <c r="G158" s="1">
        <f>equip.xml!G162</f>
        <v>35</v>
      </c>
      <c r="H158" s="1">
        <f>equip.xml!H162</f>
        <v>0</v>
      </c>
      <c r="I158" s="1">
        <f>equip.xml!J162</f>
        <v>5</v>
      </c>
      <c r="J158" s="1">
        <f>equip.xml!K162</f>
        <v>0</v>
      </c>
      <c r="K158" s="1">
        <f>equip.xml!L162</f>
        <v>0</v>
      </c>
      <c r="L158" s="1" t="str">
        <f>equip.xml!M162</f>
        <v>101_4900_4900</v>
      </c>
      <c r="M158" s="7" t="str">
        <f>equip.xml!Q162</f>
        <v>equipment/6006.png</v>
      </c>
      <c r="N158" t="str">
        <f>equip.xml!P162</f>
        <v>10000_1002_35000,30000_30001_1,30000_30002_1,30000_30003_1</v>
      </c>
    </row>
    <row r="159" spans="1:14">
      <c r="A159" s="1" t="str">
        <f>equip.xml!A163</f>
        <v>10350080</v>
      </c>
      <c r="B159" s="1">
        <f>equip.xml!B163</f>
        <v>1</v>
      </c>
      <c r="C159" s="1" t="str">
        <f>equip.xml!C163</f>
        <v>混乱之靴</v>
      </c>
      <c r="D159" s="1" t="str">
        <f>equip.xml!D163</f>
        <v>鞋子</v>
      </c>
      <c r="E159" s="1">
        <f>equip.xml!E163</f>
        <v>8</v>
      </c>
      <c r="F159" s="1">
        <f>equip.xml!F163</f>
        <v>1</v>
      </c>
      <c r="G159" s="1">
        <f>equip.xml!G163</f>
        <v>35</v>
      </c>
      <c r="H159" s="1">
        <f>equip.xml!H163</f>
        <v>0</v>
      </c>
      <c r="I159" s="1">
        <f>equip.xml!J163</f>
        <v>5</v>
      </c>
      <c r="J159" s="1">
        <f>equip.xml!K163</f>
        <v>0</v>
      </c>
      <c r="K159" s="1">
        <f>equip.xml!L163</f>
        <v>0</v>
      </c>
      <c r="L159" s="1" t="str">
        <f>equip.xml!M163</f>
        <v>110_82_82</v>
      </c>
      <c r="M159" s="7" t="str">
        <f>equip.xml!Q163</f>
        <v>equipment/8006.png</v>
      </c>
      <c r="N159" t="str">
        <f>equip.xml!P163</f>
        <v>10000_1002_35000,30000_30001_1,30000_30002_1,30000_30003_1</v>
      </c>
    </row>
    <row r="160" spans="1:14">
      <c r="A160" s="1" t="str">
        <f>equip.xml!A164</f>
        <v>10350090</v>
      </c>
      <c r="B160" s="1">
        <f>equip.xml!B164</f>
        <v>1</v>
      </c>
      <c r="C160" s="1" t="str">
        <f>equip.xml!C164</f>
        <v>激励手甲</v>
      </c>
      <c r="D160" s="1" t="str">
        <f>equip.xml!D164</f>
        <v>手套</v>
      </c>
      <c r="E160" s="1">
        <f>equip.xml!E164</f>
        <v>9</v>
      </c>
      <c r="F160" s="1">
        <f>equip.xml!F164</f>
        <v>1</v>
      </c>
      <c r="G160" s="1">
        <f>equip.xml!G164</f>
        <v>35</v>
      </c>
      <c r="H160" s="1">
        <f>equip.xml!H164</f>
        <v>0</v>
      </c>
      <c r="I160" s="1">
        <f>equip.xml!J164</f>
        <v>5</v>
      </c>
      <c r="J160" s="1">
        <f>equip.xml!K164</f>
        <v>0</v>
      </c>
      <c r="K160" s="1">
        <f>equip.xml!L164</f>
        <v>0</v>
      </c>
      <c r="L160" s="1" t="str">
        <f>equip.xml!M164</f>
        <v>108_588_588</v>
      </c>
      <c r="M160" s="7" t="str">
        <f>equip.xml!Q164</f>
        <v>equipment/10006.png</v>
      </c>
      <c r="N160" t="str">
        <f>equip.xml!P164</f>
        <v>10000_1002_35000,30000_30001_1,30000_30002_1,30000_30003_1</v>
      </c>
    </row>
    <row r="161" spans="1:14">
      <c r="A161" s="1" t="str">
        <f>equip.xml!A165</f>
        <v>10350100</v>
      </c>
      <c r="B161" s="1">
        <f>equip.xml!B165</f>
        <v>1</v>
      </c>
      <c r="C161" s="1" t="str">
        <f>equip.xml!C165</f>
        <v>苍蓝挂坠</v>
      </c>
      <c r="D161" s="1" t="str">
        <f>equip.xml!D165</f>
        <v>项链</v>
      </c>
      <c r="E161" s="1">
        <f>equip.xml!E165</f>
        <v>10</v>
      </c>
      <c r="F161" s="1">
        <f>equip.xml!F165</f>
        <v>1</v>
      </c>
      <c r="G161" s="1">
        <f>equip.xml!G165</f>
        <v>35</v>
      </c>
      <c r="H161" s="1">
        <f>equip.xml!H165</f>
        <v>0</v>
      </c>
      <c r="I161" s="1">
        <f>equip.xml!J165</f>
        <v>5</v>
      </c>
      <c r="J161" s="1">
        <f>equip.xml!K165</f>
        <v>0</v>
      </c>
      <c r="K161" s="1">
        <f>equip.xml!L165</f>
        <v>0</v>
      </c>
      <c r="L161" s="1" t="str">
        <f>equip.xml!M165</f>
        <v>107_542_542</v>
      </c>
      <c r="M161" s="7" t="str">
        <f>equip.xml!Q165</f>
        <v>equipment/12006.png</v>
      </c>
      <c r="N161" t="str">
        <f>equip.xml!P165</f>
        <v>10000_1002_35000,30000_30001_1,30000_30002_1,30000_30003_1</v>
      </c>
    </row>
    <row r="162" spans="1:14">
      <c r="A162" s="1" t="str">
        <f>equip.xml!A166</f>
        <v>10351050</v>
      </c>
      <c r="B162" s="1">
        <f>equip.xml!B166</f>
        <v>1</v>
      </c>
      <c r="C162" s="1" t="str">
        <f>equip.xml!C166</f>
        <v>水晶剑</v>
      </c>
      <c r="D162" s="1" t="str">
        <f>equip.xml!D166</f>
        <v>主手武器</v>
      </c>
      <c r="E162" s="1">
        <f>equip.xml!E166</f>
        <v>5</v>
      </c>
      <c r="F162" s="1">
        <f>equip.xml!F166</f>
        <v>1</v>
      </c>
      <c r="G162" s="1">
        <f>equip.xml!G166</f>
        <v>35</v>
      </c>
      <c r="H162" s="1" t="str">
        <f>equip.xml!H166</f>
        <v>1,1001</v>
      </c>
      <c r="I162" s="1">
        <f>equip.xml!J166</f>
        <v>5</v>
      </c>
      <c r="J162" s="1">
        <f>equip.xml!K166</f>
        <v>0</v>
      </c>
      <c r="K162" s="1">
        <f>equip.xml!L166</f>
        <v>0</v>
      </c>
      <c r="L162" s="1" t="str">
        <f>equip.xml!M166</f>
        <v>103_443_443,104_886_886</v>
      </c>
      <c r="M162" s="7" t="str">
        <f>equip.xml!Q166</f>
        <v>equipment/1114.png</v>
      </c>
      <c r="N162" t="str">
        <f>equip.xml!P166</f>
        <v>10000_1002_35000,30000_30001_1,30000_30002_1,30000_30003_1</v>
      </c>
    </row>
    <row r="163" spans="1:14">
      <c r="A163" s="1" t="str">
        <f>equip.xml!A167</f>
        <v>10351051</v>
      </c>
      <c r="B163" s="1">
        <f>equip.xml!B167</f>
        <v>0</v>
      </c>
      <c r="C163" s="1" t="str">
        <f>equip.xml!C167</f>
        <v>军刀</v>
      </c>
      <c r="D163" s="1" t="str">
        <f>equip.xml!D167</f>
        <v>主手武器</v>
      </c>
      <c r="E163" s="1">
        <f>equip.xml!E167</f>
        <v>5</v>
      </c>
      <c r="F163" s="1">
        <f>equip.xml!F167</f>
        <v>1</v>
      </c>
      <c r="G163" s="1">
        <f>equip.xml!G167</f>
        <v>35</v>
      </c>
      <c r="H163" s="1" t="str">
        <f>equip.xml!H167</f>
        <v>1,1001</v>
      </c>
      <c r="I163" s="1">
        <f>equip.xml!J167</f>
        <v>5</v>
      </c>
      <c r="J163" s="1">
        <f>equip.xml!K167</f>
        <v>0</v>
      </c>
      <c r="K163" s="1">
        <f>equip.xml!L167</f>
        <v>0</v>
      </c>
      <c r="L163" s="1" t="str">
        <f>equip.xml!M167</f>
        <v>103_533_533,104_1066_1066</v>
      </c>
      <c r="M163" s="7" t="str">
        <f>equip.xml!Q167</f>
        <v>equipment/1101.png</v>
      </c>
      <c r="N163" t="str">
        <f>equip.xml!P167</f>
        <v>10000_1002_35000,30000_30001_1,30000_30002_1,30000_30003_1</v>
      </c>
    </row>
    <row r="164" spans="1:14">
      <c r="A164" s="1" t="str">
        <f>equip.xml!A168</f>
        <v>10351060</v>
      </c>
      <c r="B164" s="1">
        <f>equip.xml!B168</f>
        <v>1</v>
      </c>
      <c r="C164" s="1" t="str">
        <f>equip.xml!C168</f>
        <v>符记盾牌</v>
      </c>
      <c r="D164" s="1" t="str">
        <f>equip.xml!D168</f>
        <v>副手武器</v>
      </c>
      <c r="E164" s="1">
        <f>equip.xml!E168</f>
        <v>6</v>
      </c>
      <c r="F164" s="1">
        <f>equip.xml!F168</f>
        <v>1</v>
      </c>
      <c r="G164" s="1">
        <f>equip.xml!G168</f>
        <v>35</v>
      </c>
      <c r="H164" s="1" t="str">
        <f>equip.xml!H168</f>
        <v>1,1001</v>
      </c>
      <c r="I164" s="1">
        <f>equip.xml!J168</f>
        <v>5</v>
      </c>
      <c r="J164" s="1">
        <f>equip.xml!K168</f>
        <v>0</v>
      </c>
      <c r="K164" s="1">
        <f>equip.xml!L168</f>
        <v>0</v>
      </c>
      <c r="L164" s="1" t="str">
        <f>equip.xml!M168</f>
        <v>105_676_676</v>
      </c>
      <c r="M164" s="7" t="str">
        <f>equip.xml!Q168</f>
        <v>equipment/2108.png</v>
      </c>
      <c r="N164" t="str">
        <f>equip.xml!P168</f>
        <v>10000_1002_35000,30000_30001_1,30000_30002_1,30000_30003_1</v>
      </c>
    </row>
    <row r="165" spans="1:14">
      <c r="A165" s="1" t="str">
        <f>equip.xml!A169</f>
        <v>10351061</v>
      </c>
      <c r="B165" s="1">
        <f>equip.xml!B169</f>
        <v>1</v>
      </c>
      <c r="C165" s="1" t="str">
        <f>equip.xml!C169</f>
        <v>秩序盾牌</v>
      </c>
      <c r="D165" s="1" t="str">
        <f>equip.xml!D169</f>
        <v>副手武器</v>
      </c>
      <c r="E165" s="1">
        <f>equip.xml!E169</f>
        <v>6</v>
      </c>
      <c r="F165" s="1">
        <f>equip.xml!F169</f>
        <v>1</v>
      </c>
      <c r="G165" s="1">
        <f>equip.xml!G169</f>
        <v>35</v>
      </c>
      <c r="H165" s="1" t="str">
        <f>equip.xml!H169</f>
        <v>1,1001</v>
      </c>
      <c r="I165" s="1">
        <f>equip.xml!J169</f>
        <v>5</v>
      </c>
      <c r="J165" s="1">
        <f>equip.xml!K169</f>
        <v>0</v>
      </c>
      <c r="K165" s="1">
        <f>equip.xml!L169</f>
        <v>0</v>
      </c>
      <c r="L165" s="1" t="str">
        <f>equip.xml!M169</f>
        <v>105_758_758</v>
      </c>
      <c r="M165" s="7" t="str">
        <f>equip.xml!Q169</f>
        <v>equipment/2117.png</v>
      </c>
      <c r="N165" t="str">
        <f>equip.xml!P169</f>
        <v>10000_1002_35000,30000_30001_1,30000_30002_1,30000_30003_1</v>
      </c>
    </row>
    <row r="166" spans="1:14">
      <c r="A166" s="1" t="str">
        <f>equip.xml!A170</f>
        <v>10352050</v>
      </c>
      <c r="B166" s="1">
        <f>equip.xml!B170</f>
        <v>1</v>
      </c>
      <c r="C166" s="1" t="str">
        <f>equip.xml!C170</f>
        <v>风语者弯弓</v>
      </c>
      <c r="D166" s="1" t="str">
        <f>equip.xml!D170</f>
        <v>主手武器</v>
      </c>
      <c r="E166" s="1">
        <f>equip.xml!E170</f>
        <v>5</v>
      </c>
      <c r="F166" s="1">
        <f>equip.xml!F170</f>
        <v>1</v>
      </c>
      <c r="G166" s="1">
        <f>equip.xml!G170</f>
        <v>35</v>
      </c>
      <c r="H166" s="1" t="str">
        <f>equip.xml!H170</f>
        <v>2,1002</v>
      </c>
      <c r="I166" s="1">
        <f>equip.xml!J170</f>
        <v>5</v>
      </c>
      <c r="J166" s="1">
        <f>equip.xml!K170</f>
        <v>0</v>
      </c>
      <c r="K166" s="1">
        <f>equip.xml!L170</f>
        <v>0</v>
      </c>
      <c r="L166" s="1" t="str">
        <f>equip.xml!M170</f>
        <v>103_443_443,104_886_886</v>
      </c>
      <c r="M166" s="7" t="str">
        <f>equip.xml!Q170</f>
        <v>equipment/1213.png</v>
      </c>
      <c r="N166" t="str">
        <f>equip.xml!P170</f>
        <v>10000_1002_35000,30000_30001_1,30000_30002_1,30000_30003_1</v>
      </c>
    </row>
    <row r="167" spans="1:14">
      <c r="A167" s="1" t="str">
        <f>equip.xml!A171</f>
        <v>10352051</v>
      </c>
      <c r="B167" s="1">
        <f>equip.xml!B171</f>
        <v>0</v>
      </c>
      <c r="C167" s="1" t="str">
        <f>equip.xml!C171</f>
        <v>棘木弓</v>
      </c>
      <c r="D167" s="1" t="str">
        <f>equip.xml!D171</f>
        <v>主手武器</v>
      </c>
      <c r="E167" s="1">
        <f>equip.xml!E171</f>
        <v>5</v>
      </c>
      <c r="F167" s="1">
        <f>equip.xml!F171</f>
        <v>1</v>
      </c>
      <c r="G167" s="1">
        <f>equip.xml!G171</f>
        <v>35</v>
      </c>
      <c r="H167" s="1" t="str">
        <f>equip.xml!H171</f>
        <v>2,1002</v>
      </c>
      <c r="I167" s="1">
        <f>equip.xml!J171</f>
        <v>5</v>
      </c>
      <c r="J167" s="1">
        <f>equip.xml!K171</f>
        <v>0</v>
      </c>
      <c r="K167" s="1">
        <f>equip.xml!L171</f>
        <v>0</v>
      </c>
      <c r="L167" s="1" t="str">
        <f>equip.xml!M171</f>
        <v>103_533_533,104_1066_1066</v>
      </c>
      <c r="M167" s="7" t="str">
        <f>equip.xml!Q171</f>
        <v>equipment/1201.png</v>
      </c>
      <c r="N167" t="str">
        <f>equip.xml!P171</f>
        <v>10000_1002_35000,30000_30001_1,30000_30002_1,30000_30003_1</v>
      </c>
    </row>
    <row r="168" spans="1:14">
      <c r="A168" s="1" t="str">
        <f>equip.xml!A172</f>
        <v>10352060</v>
      </c>
      <c r="B168" s="1">
        <f>equip.xml!B172</f>
        <v>1</v>
      </c>
      <c r="C168" s="1" t="str">
        <f>equip.xml!C172</f>
        <v>游侠箭筒</v>
      </c>
      <c r="D168" s="1" t="str">
        <f>equip.xml!D172</f>
        <v>副手武器</v>
      </c>
      <c r="E168" s="1">
        <f>equip.xml!E172</f>
        <v>6</v>
      </c>
      <c r="F168" s="1">
        <f>equip.xml!F172</f>
        <v>1</v>
      </c>
      <c r="G168" s="1">
        <f>equip.xml!G172</f>
        <v>35</v>
      </c>
      <c r="H168" s="1" t="str">
        <f>equip.xml!H172</f>
        <v>2,1002</v>
      </c>
      <c r="I168" s="1">
        <f>equip.xml!J172</f>
        <v>5</v>
      </c>
      <c r="J168" s="1">
        <f>equip.xml!K172</f>
        <v>0</v>
      </c>
      <c r="K168" s="1">
        <f>equip.xml!L172</f>
        <v>0</v>
      </c>
      <c r="L168" s="1" t="str">
        <f>equip.xml!M172</f>
        <v>108_676_676</v>
      </c>
      <c r="M168" s="7" t="str">
        <f>equip.xml!Q172</f>
        <v>equipment/2208.png</v>
      </c>
      <c r="N168" t="str">
        <f>equip.xml!P172</f>
        <v>10000_1002_35000,30000_30001_1,30000_30002_1,30000_30003_1</v>
      </c>
    </row>
    <row r="169" spans="1:14">
      <c r="A169" s="1" t="str">
        <f>equip.xml!A173</f>
        <v>10352061</v>
      </c>
      <c r="B169" s="1">
        <f>equip.xml!B173</f>
        <v>1</v>
      </c>
      <c r="C169" s="1" t="str">
        <f>equip.xml!C173</f>
        <v>风行者箭筒</v>
      </c>
      <c r="D169" s="1" t="str">
        <f>equip.xml!D173</f>
        <v>副手武器</v>
      </c>
      <c r="E169" s="1">
        <f>equip.xml!E173</f>
        <v>6</v>
      </c>
      <c r="F169" s="1">
        <f>equip.xml!F173</f>
        <v>1</v>
      </c>
      <c r="G169" s="1">
        <f>equip.xml!G173</f>
        <v>35</v>
      </c>
      <c r="H169" s="1" t="str">
        <f>equip.xml!H173</f>
        <v>2,1002</v>
      </c>
      <c r="I169" s="1">
        <f>equip.xml!J173</f>
        <v>5</v>
      </c>
      <c r="J169" s="1">
        <f>equip.xml!K173</f>
        <v>0</v>
      </c>
      <c r="K169" s="1">
        <f>equip.xml!L173</f>
        <v>0</v>
      </c>
      <c r="L169" s="1" t="str">
        <f>equip.xml!M173</f>
        <v>108_758_758</v>
      </c>
      <c r="M169" s="7" t="str">
        <f>equip.xml!Q173</f>
        <v>equipment/2201.png</v>
      </c>
      <c r="N169" t="str">
        <f>equip.xml!P173</f>
        <v>10000_1002_35000,30000_30001_1,30000_30002_1,30000_30003_1</v>
      </c>
    </row>
    <row r="170" spans="1:14">
      <c r="A170" s="1" t="str">
        <f>equip.xml!A174</f>
        <v>10353050</v>
      </c>
      <c r="B170" s="1">
        <f>equip.xml!B174</f>
        <v>1</v>
      </c>
      <c r="C170" s="1" t="str">
        <f>equip.xml!C174</f>
        <v>聚能之杖</v>
      </c>
      <c r="D170" s="1" t="str">
        <f>equip.xml!D174</f>
        <v>主手武器</v>
      </c>
      <c r="E170" s="1">
        <f>equip.xml!E174</f>
        <v>5</v>
      </c>
      <c r="F170" s="1">
        <f>equip.xml!F174</f>
        <v>1</v>
      </c>
      <c r="G170" s="1">
        <f>equip.xml!G174</f>
        <v>35</v>
      </c>
      <c r="H170" s="1" t="str">
        <f>equip.xml!H174</f>
        <v>3,1003</v>
      </c>
      <c r="I170" s="1">
        <f>equip.xml!J174</f>
        <v>5</v>
      </c>
      <c r="J170" s="1">
        <f>equip.xml!K174</f>
        <v>0</v>
      </c>
      <c r="K170" s="1">
        <f>equip.xml!L174</f>
        <v>0</v>
      </c>
      <c r="L170" s="1" t="str">
        <f>equip.xml!M174</f>
        <v>103_443_443,104_886_886</v>
      </c>
      <c r="M170" s="7" t="str">
        <f>equip.xml!Q174</f>
        <v>equipment/1314.png</v>
      </c>
      <c r="N170" t="str">
        <f>equip.xml!P174</f>
        <v>10000_1002_35000,30000_30001_1,30000_30002_1,30000_30003_1</v>
      </c>
    </row>
    <row r="171" spans="1:14">
      <c r="A171" s="1" t="str">
        <f>equip.xml!A175</f>
        <v>10353051</v>
      </c>
      <c r="B171" s="1">
        <f>equip.xml!B175</f>
        <v>0</v>
      </c>
      <c r="C171" s="1" t="str">
        <f>equip.xml!C175</f>
        <v>学徒法杖</v>
      </c>
      <c r="D171" s="1" t="str">
        <f>equip.xml!D175</f>
        <v>主手武器</v>
      </c>
      <c r="E171" s="1">
        <f>equip.xml!E175</f>
        <v>5</v>
      </c>
      <c r="F171" s="1">
        <f>equip.xml!F175</f>
        <v>1</v>
      </c>
      <c r="G171" s="1">
        <f>equip.xml!G175</f>
        <v>35</v>
      </c>
      <c r="H171" s="1" t="str">
        <f>equip.xml!H175</f>
        <v>3,1003</v>
      </c>
      <c r="I171" s="1">
        <f>equip.xml!J175</f>
        <v>5</v>
      </c>
      <c r="J171" s="1">
        <f>equip.xml!K175</f>
        <v>0</v>
      </c>
      <c r="K171" s="1">
        <f>equip.xml!L175</f>
        <v>0</v>
      </c>
      <c r="L171" s="1" t="str">
        <f>equip.xml!M175</f>
        <v>103_533_533,104_1066_1066</v>
      </c>
      <c r="M171" s="7" t="str">
        <f>equip.xml!Q175</f>
        <v>equipment/1301.png</v>
      </c>
      <c r="N171" t="str">
        <f>equip.xml!P175</f>
        <v>10000_1002_35000,30000_30001_1,30000_30002_1,30000_30003_1</v>
      </c>
    </row>
    <row r="172" spans="1:14">
      <c r="A172" s="1" t="str">
        <f>equip.xml!A176</f>
        <v>10353060</v>
      </c>
      <c r="B172" s="1">
        <f>equip.xml!B176</f>
        <v>1</v>
      </c>
      <c r="C172" s="1" t="str">
        <f>equip.xml!C176</f>
        <v>召唤魔典</v>
      </c>
      <c r="D172" s="1" t="str">
        <f>equip.xml!D176</f>
        <v>副手武器</v>
      </c>
      <c r="E172" s="1">
        <f>equip.xml!E176</f>
        <v>6</v>
      </c>
      <c r="F172" s="1">
        <f>equip.xml!F176</f>
        <v>1</v>
      </c>
      <c r="G172" s="1">
        <f>equip.xml!G176</f>
        <v>35</v>
      </c>
      <c r="H172" s="1" t="str">
        <f>equip.xml!H176</f>
        <v>3,1003</v>
      </c>
      <c r="I172" s="1">
        <f>equip.xml!J176</f>
        <v>5</v>
      </c>
      <c r="J172" s="1">
        <f>equip.xml!K176</f>
        <v>0</v>
      </c>
      <c r="K172" s="1">
        <f>equip.xml!L176</f>
        <v>0</v>
      </c>
      <c r="L172" s="1" t="str">
        <f>equip.xml!M176</f>
        <v>102_1040_1040</v>
      </c>
      <c r="M172" s="7" t="str">
        <f>equip.xml!Q176</f>
        <v>equipment/2308.png</v>
      </c>
      <c r="N172" t="str">
        <f>equip.xml!P176</f>
        <v>10000_1002_35000,30000_30001_1,30000_30002_1,30000_30003_1</v>
      </c>
    </row>
    <row r="173" spans="1:14">
      <c r="A173" s="1" t="str">
        <f>equip.xml!A177</f>
        <v>10353061</v>
      </c>
      <c r="B173" s="1">
        <f>equip.xml!B177</f>
        <v>1</v>
      </c>
      <c r="C173" s="1" t="str">
        <f>equip.xml!C177</f>
        <v>大法师之书</v>
      </c>
      <c r="D173" s="1" t="str">
        <f>equip.xml!D177</f>
        <v>副手武器</v>
      </c>
      <c r="E173" s="1">
        <f>equip.xml!E177</f>
        <v>6</v>
      </c>
      <c r="F173" s="1">
        <f>equip.xml!F177</f>
        <v>1</v>
      </c>
      <c r="G173" s="1">
        <f>equip.xml!G177</f>
        <v>35</v>
      </c>
      <c r="H173" s="1" t="str">
        <f>equip.xml!H177</f>
        <v>3,1003</v>
      </c>
      <c r="I173" s="1">
        <f>equip.xml!J177</f>
        <v>5</v>
      </c>
      <c r="J173" s="1">
        <f>equip.xml!K177</f>
        <v>0</v>
      </c>
      <c r="K173" s="1">
        <f>equip.xml!L177</f>
        <v>0</v>
      </c>
      <c r="L173" s="1" t="str">
        <f>equip.xml!M177</f>
        <v>102_1120_1120</v>
      </c>
      <c r="M173" s="7" t="str">
        <f>equip.xml!Q177</f>
        <v>equipment/2314.png</v>
      </c>
      <c r="N173" t="str">
        <f>equip.xml!P177</f>
        <v>10000_1002_35000,30000_30001_1,30000_30002_1,30000_30003_1</v>
      </c>
    </row>
    <row r="174" spans="1:14">
      <c r="A174" s="1" t="str">
        <f>equip.xml!A178</f>
        <v>10350040</v>
      </c>
      <c r="B174" s="1">
        <f>equip.xml!B178</f>
        <v>1</v>
      </c>
      <c r="C174" s="1" t="str">
        <f>equip.xml!C178</f>
        <v>蛮兽胸甲</v>
      </c>
      <c r="D174" s="1" t="str">
        <f>equip.xml!D178</f>
        <v>胸甲</v>
      </c>
      <c r="E174" s="1">
        <f>equip.xml!E178</f>
        <v>4</v>
      </c>
      <c r="F174" s="1">
        <f>equip.xml!F178</f>
        <v>1</v>
      </c>
      <c r="G174" s="1">
        <f>equip.xml!G178</f>
        <v>35</v>
      </c>
      <c r="H174" s="1">
        <f>equip.xml!H178</f>
        <v>0</v>
      </c>
      <c r="I174" s="1">
        <f>equip.xml!J178</f>
        <v>5</v>
      </c>
      <c r="J174" s="1">
        <f>equip.xml!K178</f>
        <v>0</v>
      </c>
      <c r="K174" s="1">
        <f>equip.xml!L178</f>
        <v>0</v>
      </c>
      <c r="L174" s="1" t="str">
        <f>equip.xml!M178</f>
        <v>105_293_293</v>
      </c>
      <c r="M174" s="7" t="str">
        <f>equip.xml!Q178</f>
        <v>equipment/5011.png</v>
      </c>
      <c r="N174" t="str">
        <f>equip.xml!P178</f>
        <v>10000_1002_35000,30000_30001_1,30000_30002_1,30000_30003_1</v>
      </c>
    </row>
    <row r="175" spans="1:14">
      <c r="A175" s="1" t="str">
        <f>equip.xml!A179</f>
        <v>10350041</v>
      </c>
      <c r="B175" s="1">
        <f>equip.xml!B179</f>
        <v>1</v>
      </c>
      <c r="C175" s="1" t="str">
        <f>equip.xml!C179</f>
        <v>魔鳞外衣</v>
      </c>
      <c r="D175" s="1" t="str">
        <f>equip.xml!D179</f>
        <v>胸甲</v>
      </c>
      <c r="E175" s="1">
        <f>equip.xml!E179</f>
        <v>4</v>
      </c>
      <c r="F175" s="1">
        <f>equip.xml!F179</f>
        <v>1</v>
      </c>
      <c r="G175" s="1">
        <f>equip.xml!G179</f>
        <v>35</v>
      </c>
      <c r="H175" s="1">
        <f>equip.xml!H179</f>
        <v>0</v>
      </c>
      <c r="I175" s="1">
        <f>equip.xml!J179</f>
        <v>5</v>
      </c>
      <c r="J175" s="1">
        <f>equip.xml!K179</f>
        <v>0</v>
      </c>
      <c r="K175" s="1">
        <f>equip.xml!L179</f>
        <v>0</v>
      </c>
      <c r="L175" s="1" t="str">
        <f>equip.xml!M179</f>
        <v>105_375_375</v>
      </c>
      <c r="M175" s="7" t="str">
        <f>equip.xml!Q179</f>
        <v>equipment/5001.png</v>
      </c>
      <c r="N175" t="str">
        <f>equip.xml!P179</f>
        <v>10000_1002_35000,30000_30001_1,30000_30002_1,30000_30003_1</v>
      </c>
    </row>
    <row r="176" spans="1:14">
      <c r="A176" s="1" t="str">
        <f>equip.xml!A180</f>
        <v>10350070</v>
      </c>
      <c r="B176" s="1">
        <f>equip.xml!B180</f>
        <v>1</v>
      </c>
      <c r="C176" s="1" t="str">
        <f>equip.xml!C180</f>
        <v>残忍腿甲</v>
      </c>
      <c r="D176" s="1" t="str">
        <f>equip.xml!D180</f>
        <v>护腿</v>
      </c>
      <c r="E176" s="1">
        <f>equip.xml!E180</f>
        <v>7</v>
      </c>
      <c r="F176" s="1">
        <f>equip.xml!F180</f>
        <v>1</v>
      </c>
      <c r="G176" s="1">
        <f>equip.xml!G180</f>
        <v>35</v>
      </c>
      <c r="H176" s="1">
        <f>equip.xml!H180</f>
        <v>0</v>
      </c>
      <c r="I176" s="1">
        <f>equip.xml!J180</f>
        <v>5</v>
      </c>
      <c r="J176" s="1">
        <f>equip.xml!K180</f>
        <v>0</v>
      </c>
      <c r="K176" s="1">
        <f>equip.xml!L180</f>
        <v>0</v>
      </c>
      <c r="L176" s="1" t="str">
        <f>equip.xml!M180</f>
        <v>105_293_293</v>
      </c>
      <c r="M176" s="7" t="str">
        <f>equip.xml!Q180</f>
        <v>equipment/7008.png</v>
      </c>
      <c r="N176" t="str">
        <f>equip.xml!P180</f>
        <v>10000_1002_35000,30000_30001_1,30000_30002_1,30000_30003_1</v>
      </c>
    </row>
    <row r="177" spans="1:14">
      <c r="A177" s="1" t="str">
        <f>equip.xml!A181</f>
        <v>10350071</v>
      </c>
      <c r="B177" s="1">
        <f>equip.xml!B181</f>
        <v>0</v>
      </c>
      <c r="C177" s="1" t="str">
        <f>equip.xml!C181</f>
        <v>学徒短裤</v>
      </c>
      <c r="D177" s="1" t="str">
        <f>equip.xml!D181</f>
        <v>护腿</v>
      </c>
      <c r="E177" s="1">
        <f>equip.xml!E181</f>
        <v>7</v>
      </c>
      <c r="F177" s="1">
        <f>equip.xml!F181</f>
        <v>1</v>
      </c>
      <c r="G177" s="1">
        <f>equip.xml!G181</f>
        <v>35</v>
      </c>
      <c r="H177" s="1">
        <f>equip.xml!H181</f>
        <v>0</v>
      </c>
      <c r="I177" s="1">
        <f>equip.xml!J181</f>
        <v>5</v>
      </c>
      <c r="J177" s="1">
        <f>equip.xml!K181</f>
        <v>0</v>
      </c>
      <c r="K177" s="1">
        <f>equip.xml!L181</f>
        <v>0</v>
      </c>
      <c r="L177" s="1" t="str">
        <f>equip.xml!M181</f>
        <v>105_331_331</v>
      </c>
      <c r="M177" s="7" t="str">
        <f>equip.xml!Q181</f>
        <v>equipment/7001.png</v>
      </c>
      <c r="N177" t="str">
        <f>equip.xml!P181</f>
        <v>10000_1002_35000,30000_30001_1,30000_30002_1,30000_30003_1</v>
      </c>
    </row>
    <row r="178" spans="1:14">
      <c r="A178" s="1" t="str">
        <f>equip.xml!A182</f>
        <v>10400010</v>
      </c>
      <c r="B178" s="1">
        <f>equip.xml!B182</f>
        <v>1</v>
      </c>
      <c r="C178" s="1" t="str">
        <f>equip.xml!C182</f>
        <v>烈焰头罩</v>
      </c>
      <c r="D178" s="1" t="str">
        <f>equip.xml!D182</f>
        <v>头盔</v>
      </c>
      <c r="E178" s="1">
        <f>equip.xml!E182</f>
        <v>1</v>
      </c>
      <c r="F178" s="1">
        <f>equip.xml!F182</f>
        <v>1</v>
      </c>
      <c r="G178" s="1">
        <f>equip.xml!G182</f>
        <v>40</v>
      </c>
      <c r="H178" s="1">
        <f>equip.xml!H182</f>
        <v>0</v>
      </c>
      <c r="I178" s="1">
        <f>equip.xml!J182</f>
        <v>5</v>
      </c>
      <c r="J178" s="1">
        <f>equip.xml!K182</f>
        <v>0</v>
      </c>
      <c r="K178" s="1">
        <f>equip.xml!L182</f>
        <v>0</v>
      </c>
      <c r="L178" s="1" t="str">
        <f>equip.xml!M182</f>
        <v>106_751_751</v>
      </c>
      <c r="M178" s="7" t="str">
        <f>equip.xml!Q182</f>
        <v>equipment/3007.png</v>
      </c>
      <c r="N178" t="str">
        <f>equip.xml!P182</f>
        <v>10000_1002_40000,30000_30001_1,30000_30002_1,30000_30003_1</v>
      </c>
    </row>
    <row r="179" spans="1:14">
      <c r="A179" s="1" t="str">
        <f>equip.xml!A183</f>
        <v>10400020</v>
      </c>
      <c r="B179" s="1">
        <f>equip.xml!B183</f>
        <v>1</v>
      </c>
      <c r="C179" s="1" t="str">
        <f>equip.xml!C183</f>
        <v>龙纹戒指</v>
      </c>
      <c r="D179" s="1" t="str">
        <f>equip.xml!D183</f>
        <v>戒指</v>
      </c>
      <c r="E179" s="1">
        <f>equip.xml!E183</f>
        <v>2</v>
      </c>
      <c r="F179" s="1">
        <f>equip.xml!F183</f>
        <v>1</v>
      </c>
      <c r="G179" s="1">
        <f>equip.xml!G183</f>
        <v>40</v>
      </c>
      <c r="H179" s="1">
        <f>equip.xml!H183</f>
        <v>0</v>
      </c>
      <c r="I179" s="1">
        <f>equip.xml!J183</f>
        <v>5</v>
      </c>
      <c r="J179" s="1">
        <f>equip.xml!K183</f>
        <v>0</v>
      </c>
      <c r="K179" s="1">
        <f>equip.xml!L183</f>
        <v>0</v>
      </c>
      <c r="L179" s="1" t="str">
        <f>equip.xml!M183</f>
        <v>102_740_740</v>
      </c>
      <c r="M179" s="7" t="str">
        <f>equip.xml!Q183</f>
        <v>equipment/14007.png</v>
      </c>
      <c r="N179" t="str">
        <f>equip.xml!P183</f>
        <v>10000_1002_40000,30000_30001_1,30000_30002_1,30000_30003_1</v>
      </c>
    </row>
    <row r="180" spans="1:14">
      <c r="A180" s="1" t="str">
        <f>equip.xml!A184</f>
        <v>10400030</v>
      </c>
      <c r="B180" s="1">
        <f>equip.xml!B184</f>
        <v>1</v>
      </c>
      <c r="C180" s="1" t="str">
        <f>equip.xml!C184</f>
        <v>力量腰带</v>
      </c>
      <c r="D180" s="1" t="str">
        <f>equip.xml!D184</f>
        <v>腰带</v>
      </c>
      <c r="E180" s="1">
        <f>equip.xml!E184</f>
        <v>3</v>
      </c>
      <c r="F180" s="1">
        <f>equip.xml!F184</f>
        <v>1</v>
      </c>
      <c r="G180" s="1">
        <f>equip.xml!G184</f>
        <v>40</v>
      </c>
      <c r="H180" s="1">
        <f>equip.xml!H184</f>
        <v>0</v>
      </c>
      <c r="I180" s="1">
        <f>equip.xml!J184</f>
        <v>5</v>
      </c>
      <c r="J180" s="1">
        <f>equip.xml!K184</f>
        <v>0</v>
      </c>
      <c r="K180" s="1">
        <f>equip.xml!L184</f>
        <v>0</v>
      </c>
      <c r="L180" s="1" t="str">
        <f>equip.xml!M184</f>
        <v>101_6720_6720</v>
      </c>
      <c r="M180" s="7" t="str">
        <f>equip.xml!Q184</f>
        <v>equipment/6007.png</v>
      </c>
      <c r="N180" t="str">
        <f>equip.xml!P184</f>
        <v>10000_1002_40000,30000_30001_1,30000_30002_1,30000_30003_1</v>
      </c>
    </row>
    <row r="181" spans="1:14">
      <c r="A181" s="1" t="str">
        <f>equip.xml!A185</f>
        <v>10400080</v>
      </c>
      <c r="B181" s="1">
        <f>equip.xml!B185</f>
        <v>1</v>
      </c>
      <c r="C181" s="1" t="str">
        <f>equip.xml!C185</f>
        <v>征战之靴</v>
      </c>
      <c r="D181" s="1" t="str">
        <f>equip.xml!D185</f>
        <v>鞋子</v>
      </c>
      <c r="E181" s="1">
        <f>equip.xml!E185</f>
        <v>8</v>
      </c>
      <c r="F181" s="1">
        <f>equip.xml!F185</f>
        <v>1</v>
      </c>
      <c r="G181" s="1">
        <f>equip.xml!G185</f>
        <v>40</v>
      </c>
      <c r="H181" s="1">
        <f>equip.xml!H185</f>
        <v>0</v>
      </c>
      <c r="I181" s="1">
        <f>equip.xml!J185</f>
        <v>5</v>
      </c>
      <c r="J181" s="1">
        <f>equip.xml!K185</f>
        <v>0</v>
      </c>
      <c r="K181" s="1">
        <f>equip.xml!L185</f>
        <v>0</v>
      </c>
      <c r="L181" s="1" t="str">
        <f>equip.xml!M185</f>
        <v>110_108_108</v>
      </c>
      <c r="M181" s="7" t="str">
        <f>equip.xml!Q185</f>
        <v>equipment/8007.png</v>
      </c>
      <c r="N181" t="str">
        <f>equip.xml!P185</f>
        <v>10000_1002_40000,30000_30001_1,30000_30002_1,30000_30003_1</v>
      </c>
    </row>
    <row r="182" spans="1:14">
      <c r="A182" s="1" t="str">
        <f>equip.xml!A186</f>
        <v>10400090</v>
      </c>
      <c r="B182" s="1">
        <f>equip.xml!B186</f>
        <v>1</v>
      </c>
      <c r="C182" s="1" t="str">
        <f>equip.xml!C186</f>
        <v>重拳手套</v>
      </c>
      <c r="D182" s="1" t="str">
        <f>equip.xml!D186</f>
        <v>手套</v>
      </c>
      <c r="E182" s="1">
        <f>equip.xml!E186</f>
        <v>9</v>
      </c>
      <c r="F182" s="1">
        <f>equip.xml!F186</f>
        <v>1</v>
      </c>
      <c r="G182" s="1">
        <f>equip.xml!G186</f>
        <v>40</v>
      </c>
      <c r="H182" s="1">
        <f>equip.xml!H186</f>
        <v>0</v>
      </c>
      <c r="I182" s="1">
        <f>equip.xml!J186</f>
        <v>5</v>
      </c>
      <c r="J182" s="1">
        <f>equip.xml!K186</f>
        <v>0</v>
      </c>
      <c r="K182" s="1">
        <f>equip.xml!L186</f>
        <v>0</v>
      </c>
      <c r="L182" s="1" t="str">
        <f>equip.xml!M186</f>
        <v>108_880_880</v>
      </c>
      <c r="M182" s="7" t="str">
        <f>equip.xml!Q186</f>
        <v>equipment/10007.png</v>
      </c>
      <c r="N182" t="str">
        <f>equip.xml!P186</f>
        <v>10000_1002_40000,30000_30001_1,30000_30002_1,30000_30003_1</v>
      </c>
    </row>
    <row r="183" spans="1:14">
      <c r="A183" s="1" t="str">
        <f>equip.xml!A187</f>
        <v>10400100</v>
      </c>
      <c r="B183" s="1">
        <f>equip.xml!B187</f>
        <v>0</v>
      </c>
      <c r="C183" s="1" t="str">
        <f>equip.xml!C187</f>
        <v>贝壳项链</v>
      </c>
      <c r="D183" s="1" t="str">
        <f>equip.xml!D187</f>
        <v>项链</v>
      </c>
      <c r="E183" s="1">
        <f>equip.xml!E187</f>
        <v>10</v>
      </c>
      <c r="F183" s="1">
        <f>equip.xml!F187</f>
        <v>1</v>
      </c>
      <c r="G183" s="1">
        <f>equip.xml!G187</f>
        <v>40</v>
      </c>
      <c r="H183" s="1">
        <f>equip.xml!H187</f>
        <v>0</v>
      </c>
      <c r="I183" s="1">
        <f>equip.xml!J187</f>
        <v>5</v>
      </c>
      <c r="J183" s="1">
        <f>equip.xml!K187</f>
        <v>0</v>
      </c>
      <c r="K183" s="1">
        <f>equip.xml!L187</f>
        <v>0</v>
      </c>
      <c r="L183" s="1" t="str">
        <f>equip.xml!M187</f>
        <v>107_542_542</v>
      </c>
      <c r="M183" s="7" t="str">
        <f>equip.xml!Q187</f>
        <v>equipment/12001.png</v>
      </c>
      <c r="N183" t="str">
        <f>equip.xml!P187</f>
        <v>10000_1002_40000,30000_30001_1,30000_30002_1,30000_30003_1</v>
      </c>
    </row>
    <row r="184" spans="1:14">
      <c r="A184" s="1" t="str">
        <f>equip.xml!A188</f>
        <v>10401050</v>
      </c>
      <c r="B184" s="1">
        <f>equip.xml!B188</f>
        <v>1</v>
      </c>
      <c r="C184" s="1" t="str">
        <f>equip.xml!C188</f>
        <v>魔铁巨剑</v>
      </c>
      <c r="D184" s="1" t="str">
        <f>equip.xml!D188</f>
        <v>主手武器</v>
      </c>
      <c r="E184" s="1">
        <f>equip.xml!E188</f>
        <v>5</v>
      </c>
      <c r="F184" s="1">
        <f>equip.xml!F188</f>
        <v>1</v>
      </c>
      <c r="G184" s="1">
        <f>equip.xml!G188</f>
        <v>40</v>
      </c>
      <c r="H184" s="1" t="str">
        <f>equip.xml!H188</f>
        <v>1,1001</v>
      </c>
      <c r="I184" s="1">
        <f>equip.xml!J188</f>
        <v>5</v>
      </c>
      <c r="J184" s="1">
        <f>equip.xml!K188</f>
        <v>0</v>
      </c>
      <c r="K184" s="1">
        <f>equip.xml!L188</f>
        <v>0</v>
      </c>
      <c r="L184" s="1" t="str">
        <f>equip.xml!M188</f>
        <v>103_670_670,104_1340_1340</v>
      </c>
      <c r="M184" s="7" t="str">
        <f>equip.xml!Q188</f>
        <v>equipment/1115.png</v>
      </c>
      <c r="N184" t="str">
        <f>equip.xml!P188</f>
        <v>10000_1002_40000,30000_30001_1,30000_30002_1,30000_30003_1</v>
      </c>
    </row>
    <row r="185" spans="1:14">
      <c r="A185" s="1" t="str">
        <f>equip.xml!A189</f>
        <v>10401051</v>
      </c>
      <c r="B185" s="1">
        <f>equip.xml!B189</f>
        <v>1</v>
      </c>
      <c r="C185" s="1" t="str">
        <f>equip.xml!C189</f>
        <v>破咒之刃</v>
      </c>
      <c r="D185" s="1" t="str">
        <f>equip.xml!D189</f>
        <v>主手武器</v>
      </c>
      <c r="E185" s="1">
        <f>equip.xml!E189</f>
        <v>5</v>
      </c>
      <c r="F185" s="1">
        <f>equip.xml!F189</f>
        <v>1</v>
      </c>
      <c r="G185" s="1">
        <f>equip.xml!G189</f>
        <v>40</v>
      </c>
      <c r="H185" s="1" t="str">
        <f>equip.xml!H189</f>
        <v>1,1001</v>
      </c>
      <c r="I185" s="1">
        <f>equip.xml!J189</f>
        <v>5</v>
      </c>
      <c r="J185" s="1">
        <f>equip.xml!K189</f>
        <v>0</v>
      </c>
      <c r="K185" s="1">
        <f>equip.xml!L189</f>
        <v>0</v>
      </c>
      <c r="L185" s="1" t="str">
        <f>equip.xml!M189</f>
        <v>103_743_743,104_1486_1486</v>
      </c>
      <c r="M185" s="7" t="str">
        <f>equip.xml!Q189</f>
        <v>equipment/1116.png</v>
      </c>
      <c r="N185" t="str">
        <f>equip.xml!P189</f>
        <v>10000_1002_40000,30000_30001_1,30000_30002_1,30000_30003_1</v>
      </c>
    </row>
    <row r="186" spans="1:14">
      <c r="A186" s="1" t="str">
        <f>equip.xml!A190</f>
        <v>10401060</v>
      </c>
      <c r="B186" s="1">
        <f>equip.xml!B190</f>
        <v>1</v>
      </c>
      <c r="C186" s="1" t="str">
        <f>equip.xml!C190</f>
        <v>洛阿巨盾</v>
      </c>
      <c r="D186" s="1" t="str">
        <f>equip.xml!D190</f>
        <v>副手武器</v>
      </c>
      <c r="E186" s="1">
        <f>equip.xml!E190</f>
        <v>6</v>
      </c>
      <c r="F186" s="1">
        <f>equip.xml!F190</f>
        <v>1</v>
      </c>
      <c r="G186" s="1">
        <f>equip.xml!G190</f>
        <v>40</v>
      </c>
      <c r="H186" s="1" t="str">
        <f>equip.xml!H190</f>
        <v>1,1001</v>
      </c>
      <c r="I186" s="1">
        <f>equip.xml!J190</f>
        <v>5</v>
      </c>
      <c r="J186" s="1">
        <f>equip.xml!K190</f>
        <v>0</v>
      </c>
      <c r="K186" s="1">
        <f>equip.xml!L190</f>
        <v>0</v>
      </c>
      <c r="L186" s="1" t="str">
        <f>equip.xml!M190</f>
        <v>105_880_880</v>
      </c>
      <c r="M186" s="7" t="str">
        <f>equip.xml!Q190</f>
        <v>equipment/2109.png</v>
      </c>
      <c r="N186" t="str">
        <f>equip.xml!P190</f>
        <v>10000_1002_40000,30000_30001_1,30000_30002_1,30000_30003_1</v>
      </c>
    </row>
    <row r="187" spans="1:14">
      <c r="A187" s="1" t="str">
        <f>equip.xml!A191</f>
        <v>10401061</v>
      </c>
      <c r="B187" s="1">
        <f>equip.xml!B191</f>
        <v>0</v>
      </c>
      <c r="C187" s="1" t="str">
        <f>equip.xml!C191</f>
        <v>尖头盾</v>
      </c>
      <c r="D187" s="1" t="str">
        <f>equip.xml!D191</f>
        <v>副手武器</v>
      </c>
      <c r="E187" s="1">
        <f>equip.xml!E191</f>
        <v>6</v>
      </c>
      <c r="F187" s="1">
        <f>equip.xml!F191</f>
        <v>1</v>
      </c>
      <c r="G187" s="1">
        <f>equip.xml!G191</f>
        <v>40</v>
      </c>
      <c r="H187" s="1" t="str">
        <f>equip.xml!H191</f>
        <v>1,1001</v>
      </c>
      <c r="I187" s="1">
        <f>equip.xml!J191</f>
        <v>5</v>
      </c>
      <c r="J187" s="1">
        <f>equip.xml!K191</f>
        <v>0</v>
      </c>
      <c r="K187" s="1">
        <f>equip.xml!L191</f>
        <v>0</v>
      </c>
      <c r="L187" s="1" t="str">
        <f>equip.xml!M191</f>
        <v>105_1029_1029</v>
      </c>
      <c r="M187" s="7" t="str">
        <f>equip.xml!Q191</f>
        <v>equipment/2101.png</v>
      </c>
      <c r="N187" t="str">
        <f>equip.xml!P191</f>
        <v>10000_1002_40000,30000_30001_1,30000_30002_1,30000_30003_1</v>
      </c>
    </row>
    <row r="188" spans="1:14">
      <c r="A188" s="1" t="str">
        <f>equip.xml!A192</f>
        <v>10402050</v>
      </c>
      <c r="B188" s="1">
        <f>equip.xml!B192</f>
        <v>1</v>
      </c>
      <c r="C188" s="1" t="str">
        <f>equip.xml!C192</f>
        <v>强击之弓</v>
      </c>
      <c r="D188" s="1" t="str">
        <f>equip.xml!D192</f>
        <v>主手武器</v>
      </c>
      <c r="E188" s="1">
        <f>equip.xml!E192</f>
        <v>5</v>
      </c>
      <c r="F188" s="1">
        <f>equip.xml!F192</f>
        <v>1</v>
      </c>
      <c r="G188" s="1">
        <f>equip.xml!G192</f>
        <v>40</v>
      </c>
      <c r="H188" s="1" t="str">
        <f>equip.xml!H192</f>
        <v>2,1002</v>
      </c>
      <c r="I188" s="1">
        <f>equip.xml!J192</f>
        <v>5</v>
      </c>
      <c r="J188" s="1">
        <f>equip.xml!K192</f>
        <v>0</v>
      </c>
      <c r="K188" s="1">
        <f>equip.xml!L192</f>
        <v>0</v>
      </c>
      <c r="L188" s="1" t="str">
        <f>equip.xml!M192</f>
        <v>103_670_670,104_1340_1340</v>
      </c>
      <c r="M188" s="7" t="str">
        <f>equip.xml!Q192</f>
        <v>equipment/1216.png</v>
      </c>
      <c r="N188" t="str">
        <f>equip.xml!P192</f>
        <v>10000_1002_40000,30000_30001_1,30000_30002_1,30000_30003_1</v>
      </c>
    </row>
    <row r="189" spans="1:14">
      <c r="A189" s="1" t="str">
        <f>equip.xml!A193</f>
        <v>10402051</v>
      </c>
      <c r="B189" s="1">
        <f>equip.xml!B193</f>
        <v>1</v>
      </c>
      <c r="C189" s="1" t="str">
        <f>equip.xml!C193</f>
        <v>羽月长弓</v>
      </c>
      <c r="D189" s="1" t="str">
        <f>equip.xml!D193</f>
        <v>主手武器</v>
      </c>
      <c r="E189" s="1">
        <f>equip.xml!E193</f>
        <v>5</v>
      </c>
      <c r="F189" s="1">
        <f>equip.xml!F193</f>
        <v>1</v>
      </c>
      <c r="G189" s="1">
        <f>equip.xml!G193</f>
        <v>40</v>
      </c>
      <c r="H189" s="1" t="str">
        <f>equip.xml!H193</f>
        <v>2,1002</v>
      </c>
      <c r="I189" s="1">
        <f>equip.xml!J193</f>
        <v>5</v>
      </c>
      <c r="J189" s="1">
        <f>equip.xml!K193</f>
        <v>0</v>
      </c>
      <c r="K189" s="1">
        <f>equip.xml!L193</f>
        <v>0</v>
      </c>
      <c r="L189" s="1" t="str">
        <f>equip.xml!M193</f>
        <v>103_743_743,104_1486_1486</v>
      </c>
      <c r="M189" s="7" t="str">
        <f>equip.xml!Q193</f>
        <v>equipment/1214.png</v>
      </c>
      <c r="N189" t="str">
        <f>equip.xml!P193</f>
        <v>10000_1002_40000,30000_30001_1,30000_30002_1,30000_30003_1</v>
      </c>
    </row>
    <row r="190" spans="1:14">
      <c r="A190" s="1" t="str">
        <f>equip.xml!A194</f>
        <v>10402060</v>
      </c>
      <c r="B190" s="1">
        <f>equip.xml!B194</f>
        <v>1</v>
      </c>
      <c r="C190" s="1" t="str">
        <f>equip.xml!C194</f>
        <v>风怒箭筒</v>
      </c>
      <c r="D190" s="1" t="str">
        <f>equip.xml!D194</f>
        <v>副手武器</v>
      </c>
      <c r="E190" s="1">
        <f>equip.xml!E194</f>
        <v>6</v>
      </c>
      <c r="F190" s="1">
        <f>equip.xml!F194</f>
        <v>1</v>
      </c>
      <c r="G190" s="1">
        <f>equip.xml!G194</f>
        <v>40</v>
      </c>
      <c r="H190" s="1" t="str">
        <f>equip.xml!H194</f>
        <v>2,1002</v>
      </c>
      <c r="I190" s="1">
        <f>equip.xml!J194</f>
        <v>5</v>
      </c>
      <c r="J190" s="1">
        <f>equip.xml!K194</f>
        <v>0</v>
      </c>
      <c r="K190" s="1">
        <f>equip.xml!L194</f>
        <v>0</v>
      </c>
      <c r="L190" s="1" t="str">
        <f>equip.xml!M194</f>
        <v>108_880_880</v>
      </c>
      <c r="M190" s="7" t="str">
        <f>equip.xml!Q194</f>
        <v>equipment/2209.png</v>
      </c>
      <c r="N190" t="str">
        <f>equip.xml!P194</f>
        <v>10000_1002_40000,30000_30001_1,30000_30002_1,30000_30003_1</v>
      </c>
    </row>
    <row r="191" spans="1:14">
      <c r="A191" s="1" t="str">
        <f>equip.xml!A195</f>
        <v>10402061</v>
      </c>
      <c r="B191" s="1">
        <f>equip.xml!B195</f>
        <v>0</v>
      </c>
      <c r="C191" s="1" t="str">
        <f>equip.xml!C195</f>
        <v>箭筒</v>
      </c>
      <c r="D191" s="1" t="str">
        <f>equip.xml!D195</f>
        <v>副手武器</v>
      </c>
      <c r="E191" s="1">
        <f>equip.xml!E195</f>
        <v>6</v>
      </c>
      <c r="F191" s="1">
        <f>equip.xml!F195</f>
        <v>1</v>
      </c>
      <c r="G191" s="1">
        <f>equip.xml!G195</f>
        <v>40</v>
      </c>
      <c r="H191" s="1" t="str">
        <f>equip.xml!H195</f>
        <v>2,1002</v>
      </c>
      <c r="I191" s="1">
        <f>equip.xml!J195</f>
        <v>5</v>
      </c>
      <c r="J191" s="1">
        <f>equip.xml!K195</f>
        <v>0</v>
      </c>
      <c r="K191" s="1">
        <f>equip.xml!L195</f>
        <v>0</v>
      </c>
      <c r="L191" s="1" t="str">
        <f>equip.xml!M195</f>
        <v>108_1029_1029</v>
      </c>
      <c r="M191" s="7" t="str">
        <f>equip.xml!Q195</f>
        <v>equipment/2201.png</v>
      </c>
      <c r="N191" t="str">
        <f>equip.xml!P195</f>
        <v>10000_1002_40000,30000_30001_1,30000_30002_1,30000_30003_1</v>
      </c>
    </row>
    <row r="192" spans="1:14">
      <c r="A192" s="1" t="str">
        <f>equip.xml!A196</f>
        <v>10403050</v>
      </c>
      <c r="B192" s="1">
        <f>equip.xml!B196</f>
        <v>1</v>
      </c>
      <c r="C192" s="1" t="str">
        <f>equip.xml!C196</f>
        <v>符文魔杖</v>
      </c>
      <c r="D192" s="1" t="str">
        <f>equip.xml!D196</f>
        <v>主手武器</v>
      </c>
      <c r="E192" s="1">
        <f>equip.xml!E196</f>
        <v>5</v>
      </c>
      <c r="F192" s="1">
        <f>equip.xml!F196</f>
        <v>1</v>
      </c>
      <c r="G192" s="1">
        <f>equip.xml!G196</f>
        <v>40</v>
      </c>
      <c r="H192" s="1" t="str">
        <f>equip.xml!H196</f>
        <v>3,1003</v>
      </c>
      <c r="I192" s="1">
        <f>equip.xml!J196</f>
        <v>5</v>
      </c>
      <c r="J192" s="1">
        <f>equip.xml!K196</f>
        <v>0</v>
      </c>
      <c r="K192" s="1">
        <f>equip.xml!L196</f>
        <v>0</v>
      </c>
      <c r="L192" s="1" t="str">
        <f>equip.xml!M196</f>
        <v>103_670_670,104_1340_1340</v>
      </c>
      <c r="M192" s="7" t="str">
        <f>equip.xml!Q196</f>
        <v>equipment/1317.png</v>
      </c>
      <c r="N192" t="str">
        <f>equip.xml!P196</f>
        <v>10000_1002_40000,30000_30001_1,30000_30002_1,30000_30003_1</v>
      </c>
    </row>
    <row r="193" spans="1:14">
      <c r="A193" s="1" t="str">
        <f>equip.xml!A197</f>
        <v>10403051</v>
      </c>
      <c r="B193" s="1">
        <f>equip.xml!B197</f>
        <v>1</v>
      </c>
      <c r="C193" s="1" t="str">
        <f>equip.xml!C197</f>
        <v>真理之杖</v>
      </c>
      <c r="D193" s="1" t="str">
        <f>equip.xml!D197</f>
        <v>主手武器</v>
      </c>
      <c r="E193" s="1">
        <f>equip.xml!E197</f>
        <v>5</v>
      </c>
      <c r="F193" s="1">
        <f>equip.xml!F197</f>
        <v>1</v>
      </c>
      <c r="G193" s="1">
        <f>equip.xml!G197</f>
        <v>40</v>
      </c>
      <c r="H193" s="1" t="str">
        <f>equip.xml!H197</f>
        <v>3,1003</v>
      </c>
      <c r="I193" s="1">
        <f>equip.xml!J197</f>
        <v>5</v>
      </c>
      <c r="J193" s="1">
        <f>equip.xml!K197</f>
        <v>0</v>
      </c>
      <c r="K193" s="1">
        <f>equip.xml!L197</f>
        <v>0</v>
      </c>
      <c r="L193" s="1" t="str">
        <f>equip.xml!M197</f>
        <v>103_743_743,104_1486_1486</v>
      </c>
      <c r="M193" s="7" t="str">
        <f>equip.xml!Q197</f>
        <v>equipment/1315.png</v>
      </c>
      <c r="N193" t="str">
        <f>equip.xml!P197</f>
        <v>10000_1002_40000,30000_30001_1,30000_30002_1,30000_30003_1</v>
      </c>
    </row>
    <row r="194" spans="1:14">
      <c r="A194" s="1" t="str">
        <f>equip.xml!A198</f>
        <v>10403060</v>
      </c>
      <c r="B194" s="1">
        <f>equip.xml!B198</f>
        <v>1</v>
      </c>
      <c r="C194" s="1" t="str">
        <f>equip.xml!C198</f>
        <v>附魔秘典</v>
      </c>
      <c r="D194" s="1" t="str">
        <f>equip.xml!D198</f>
        <v>副手武器</v>
      </c>
      <c r="E194" s="1">
        <f>equip.xml!E198</f>
        <v>6</v>
      </c>
      <c r="F194" s="1">
        <f>equip.xml!F198</f>
        <v>1</v>
      </c>
      <c r="G194" s="1">
        <f>equip.xml!G198</f>
        <v>40</v>
      </c>
      <c r="H194" s="1" t="str">
        <f>equip.xml!H198</f>
        <v>3,1003</v>
      </c>
      <c r="I194" s="1">
        <f>equip.xml!J198</f>
        <v>5</v>
      </c>
      <c r="J194" s="1">
        <f>equip.xml!K198</f>
        <v>0</v>
      </c>
      <c r="K194" s="1">
        <f>equip.xml!L198</f>
        <v>0</v>
      </c>
      <c r="L194" s="1" t="str">
        <f>equip.xml!M198</f>
        <v>102_1240_1240</v>
      </c>
      <c r="M194" s="7" t="str">
        <f>equip.xml!Q198</f>
        <v>equipment/2309.png</v>
      </c>
      <c r="N194" t="str">
        <f>equip.xml!P198</f>
        <v>10000_1002_40000,30000_30001_1,30000_30002_1,30000_30003_1</v>
      </c>
    </row>
    <row r="195" spans="1:14">
      <c r="A195" s="1" t="str">
        <f>equip.xml!A199</f>
        <v>10403061</v>
      </c>
      <c r="B195" s="1">
        <f>equip.xml!B199</f>
        <v>0</v>
      </c>
      <c r="C195" s="1" t="str">
        <f>equip.xml!C199</f>
        <v>法术指南</v>
      </c>
      <c r="D195" s="1" t="str">
        <f>equip.xml!D199</f>
        <v>副手武器</v>
      </c>
      <c r="E195" s="1">
        <f>equip.xml!E199</f>
        <v>6</v>
      </c>
      <c r="F195" s="1">
        <f>equip.xml!F199</f>
        <v>1</v>
      </c>
      <c r="G195" s="1">
        <f>equip.xml!G199</f>
        <v>40</v>
      </c>
      <c r="H195" s="1" t="str">
        <f>equip.xml!H199</f>
        <v>3,1003</v>
      </c>
      <c r="I195" s="1">
        <f>equip.xml!J199</f>
        <v>5</v>
      </c>
      <c r="J195" s="1">
        <f>equip.xml!K199</f>
        <v>0</v>
      </c>
      <c r="K195" s="1">
        <f>equip.xml!L199</f>
        <v>0</v>
      </c>
      <c r="L195" s="1" t="str">
        <f>equip.xml!M199</f>
        <v>102_1029_1029</v>
      </c>
      <c r="M195" s="7" t="str">
        <f>equip.xml!Q199</f>
        <v>equipment/2301.png</v>
      </c>
      <c r="N195" t="str">
        <f>equip.xml!P199</f>
        <v>10000_1002_40000,30000_30001_1,30000_30002_1,30000_30003_1</v>
      </c>
    </row>
    <row r="196" spans="1:14">
      <c r="A196" s="1" t="str">
        <f>equip.xml!A200</f>
        <v>10400040</v>
      </c>
      <c r="B196" s="1">
        <f>equip.xml!B200</f>
        <v>1</v>
      </c>
      <c r="C196" s="1" t="str">
        <f>equip.xml!C200</f>
        <v>瑟银护甲</v>
      </c>
      <c r="D196" s="1" t="str">
        <f>equip.xml!D200</f>
        <v>胸甲</v>
      </c>
      <c r="E196" s="1">
        <f>equip.xml!E200</f>
        <v>4</v>
      </c>
      <c r="F196" s="1">
        <f>equip.xml!F200</f>
        <v>1</v>
      </c>
      <c r="G196" s="1">
        <f>equip.xml!G200</f>
        <v>40</v>
      </c>
      <c r="H196" s="1">
        <f>equip.xml!H200</f>
        <v>0</v>
      </c>
      <c r="I196" s="1">
        <f>equip.xml!J200</f>
        <v>5</v>
      </c>
      <c r="J196" s="1">
        <f>equip.xml!K200</f>
        <v>0</v>
      </c>
      <c r="K196" s="1">
        <f>equip.xml!L200</f>
        <v>0</v>
      </c>
      <c r="L196" s="1" t="str">
        <f>equip.xml!M200</f>
        <v>105_497_497</v>
      </c>
      <c r="M196" s="7" t="str">
        <f>equip.xml!Q200</f>
        <v>equipment/5012.png</v>
      </c>
      <c r="N196" t="str">
        <f>equip.xml!P200</f>
        <v>10000_1002_40000,30000_30001_1,30000_30002_1,30000_30003_1</v>
      </c>
    </row>
    <row r="197" spans="1:14">
      <c r="A197" s="1" t="str">
        <f>equip.xml!A201</f>
        <v>10400041</v>
      </c>
      <c r="B197" s="1">
        <f>equip.xml!B201</f>
        <v>0</v>
      </c>
      <c r="C197" s="1" t="str">
        <f>equip.xml!C201</f>
        <v>新兵外套</v>
      </c>
      <c r="D197" s="1" t="str">
        <f>equip.xml!D201</f>
        <v>胸甲</v>
      </c>
      <c r="E197" s="1">
        <f>equip.xml!E201</f>
        <v>4</v>
      </c>
      <c r="F197" s="1">
        <f>equip.xml!F201</f>
        <v>1</v>
      </c>
      <c r="G197" s="1">
        <f>equip.xml!G201</f>
        <v>40</v>
      </c>
      <c r="H197" s="1">
        <f>equip.xml!H201</f>
        <v>0</v>
      </c>
      <c r="I197" s="1">
        <f>equip.xml!J201</f>
        <v>5</v>
      </c>
      <c r="J197" s="1">
        <f>equip.xml!K201</f>
        <v>0</v>
      </c>
      <c r="K197" s="1">
        <f>equip.xml!L201</f>
        <v>0</v>
      </c>
      <c r="L197" s="1" t="str">
        <f>equip.xml!M201</f>
        <v>105_549_549</v>
      </c>
      <c r="M197" s="7" t="str">
        <f>equip.xml!Q201</f>
        <v>equipment/5001.png</v>
      </c>
      <c r="N197" t="str">
        <f>equip.xml!P201</f>
        <v>10000_1002_40000,30000_30001_1,30000_30002_1,30000_30003_1</v>
      </c>
    </row>
    <row r="198" spans="1:14">
      <c r="A198" s="1" t="str">
        <f>equip.xml!A202</f>
        <v>10400070</v>
      </c>
      <c r="B198" s="1">
        <f>equip.xml!B202</f>
        <v>1</v>
      </c>
      <c r="C198" s="1" t="str">
        <f>equip.xml!C202</f>
        <v>巨熊护腿</v>
      </c>
      <c r="D198" s="1" t="str">
        <f>equip.xml!D202</f>
        <v>护腿</v>
      </c>
      <c r="E198" s="1">
        <f>equip.xml!E202</f>
        <v>7</v>
      </c>
      <c r="F198" s="1">
        <f>equip.xml!F202</f>
        <v>1</v>
      </c>
      <c r="G198" s="1">
        <f>equip.xml!G202</f>
        <v>40</v>
      </c>
      <c r="H198" s="1">
        <f>equip.xml!H202</f>
        <v>0</v>
      </c>
      <c r="I198" s="1">
        <f>equip.xml!J202</f>
        <v>5</v>
      </c>
      <c r="J198" s="1">
        <f>equip.xml!K202</f>
        <v>0</v>
      </c>
      <c r="K198" s="1">
        <f>equip.xml!L202</f>
        <v>0</v>
      </c>
      <c r="L198" s="1" t="str">
        <f>equip.xml!M202</f>
        <v>105_387_387</v>
      </c>
      <c r="M198" s="7" t="str">
        <f>equip.xml!Q202</f>
        <v>equipment/7009.png</v>
      </c>
      <c r="N198" t="str">
        <f>equip.xml!P202</f>
        <v>10000_1002_40000,30000_30001_1,30000_30002_1,30000_30003_1</v>
      </c>
    </row>
    <row r="199" spans="1:14">
      <c r="A199" s="1" t="str">
        <f>equip.xml!A203</f>
        <v>10400071</v>
      </c>
      <c r="B199" s="1">
        <f>equip.xml!B203</f>
        <v>0</v>
      </c>
      <c r="C199" s="1" t="str">
        <f>equip.xml!C203</f>
        <v>学徒短裤</v>
      </c>
      <c r="D199" s="1" t="str">
        <f>equip.xml!D203</f>
        <v>护腿</v>
      </c>
      <c r="E199" s="1">
        <f>equip.xml!E203</f>
        <v>7</v>
      </c>
      <c r="F199" s="1">
        <f>equip.xml!F203</f>
        <v>1</v>
      </c>
      <c r="G199" s="1">
        <f>equip.xml!G203</f>
        <v>40</v>
      </c>
      <c r="H199" s="1">
        <f>equip.xml!H203</f>
        <v>0</v>
      </c>
      <c r="I199" s="1">
        <f>equip.xml!J203</f>
        <v>5</v>
      </c>
      <c r="J199" s="1">
        <f>equip.xml!K203</f>
        <v>0</v>
      </c>
      <c r="K199" s="1">
        <f>equip.xml!L203</f>
        <v>0</v>
      </c>
      <c r="L199" s="1" t="str">
        <f>equip.xml!M203</f>
        <v>105_431_431</v>
      </c>
      <c r="M199" s="7" t="str">
        <f>equip.xml!Q203</f>
        <v>equipment/7001.png</v>
      </c>
      <c r="N199" t="str">
        <f>equip.xml!P203</f>
        <v>10000_1002_40000,30000_30001_1,30000_30002_1,30000_30003_1</v>
      </c>
    </row>
    <row r="200" spans="1:14">
      <c r="A200" s="1" t="str">
        <f>equip.xml!A204</f>
        <v>10450010</v>
      </c>
      <c r="B200" s="1">
        <f>equip.xml!B204</f>
        <v>0</v>
      </c>
      <c r="C200" s="1" t="str">
        <f>equip.xml!C204</f>
        <v>战争头盔</v>
      </c>
      <c r="D200" s="1" t="str">
        <f>equip.xml!D204</f>
        <v>头盔</v>
      </c>
      <c r="E200" s="1">
        <f>equip.xml!E204</f>
        <v>1</v>
      </c>
      <c r="F200" s="1">
        <f>equip.xml!F204</f>
        <v>1</v>
      </c>
      <c r="G200" s="1">
        <f>equip.xml!G204</f>
        <v>45</v>
      </c>
      <c r="H200" s="1">
        <f>equip.xml!H204</f>
        <v>0</v>
      </c>
      <c r="I200" s="1">
        <f>equip.xml!J204</f>
        <v>5</v>
      </c>
      <c r="J200" s="1">
        <f>equip.xml!K204</f>
        <v>0</v>
      </c>
      <c r="K200" s="1">
        <f>equip.xml!L204</f>
        <v>0</v>
      </c>
      <c r="L200" s="1" t="str">
        <f>equip.xml!M204</f>
        <v>106_751_751</v>
      </c>
      <c r="M200" s="7" t="str">
        <f>equip.xml!Q204</f>
        <v>equipment/3001.png</v>
      </c>
      <c r="N200" t="str">
        <f>equip.xml!P204</f>
        <v>10000_1002_45000,30000_30001_1,30000_30002_1,30000_30003_1</v>
      </c>
    </row>
    <row r="201" spans="1:14">
      <c r="A201" s="1" t="str">
        <f>equip.xml!A205</f>
        <v>10450020</v>
      </c>
      <c r="B201" s="1">
        <f>equip.xml!B205</f>
        <v>0</v>
      </c>
      <c r="C201" s="1" t="str">
        <f>equip.xml!C205</f>
        <v>金戒指</v>
      </c>
      <c r="D201" s="1" t="str">
        <f>equip.xml!D205</f>
        <v>戒指</v>
      </c>
      <c r="E201" s="1">
        <f>equip.xml!E205</f>
        <v>2</v>
      </c>
      <c r="F201" s="1">
        <f>equip.xml!F205</f>
        <v>1</v>
      </c>
      <c r="G201" s="1">
        <f>equip.xml!G205</f>
        <v>45</v>
      </c>
      <c r="H201" s="1">
        <f>equip.xml!H205</f>
        <v>0</v>
      </c>
      <c r="I201" s="1">
        <f>equip.xml!J205</f>
        <v>5</v>
      </c>
      <c r="J201" s="1">
        <f>equip.xml!K205</f>
        <v>0</v>
      </c>
      <c r="K201" s="1">
        <f>equip.xml!L205</f>
        <v>0</v>
      </c>
      <c r="L201" s="1" t="str">
        <f>equip.xml!M205</f>
        <v>102_740_740</v>
      </c>
      <c r="M201" s="7" t="str">
        <f>equip.xml!Q205</f>
        <v>equipment/14001.png</v>
      </c>
      <c r="N201" t="str">
        <f>equip.xml!P205</f>
        <v>10000_1002_45000,30000_30001_1,30000_30002_1,30000_30003_1</v>
      </c>
    </row>
    <row r="202" spans="1:14">
      <c r="A202" s="1" t="str">
        <f>equip.xml!A206</f>
        <v>10450030</v>
      </c>
      <c r="B202" s="1">
        <f>equip.xml!B206</f>
        <v>1</v>
      </c>
      <c r="C202" s="1" t="str">
        <f>equip.xml!C206</f>
        <v>督军腰带</v>
      </c>
      <c r="D202" s="1" t="str">
        <f>equip.xml!D206</f>
        <v>腰带</v>
      </c>
      <c r="E202" s="1">
        <f>equip.xml!E206</f>
        <v>3</v>
      </c>
      <c r="F202" s="1">
        <f>equip.xml!F206</f>
        <v>1</v>
      </c>
      <c r="G202" s="1">
        <f>equip.xml!G206</f>
        <v>45</v>
      </c>
      <c r="H202" s="1">
        <f>equip.xml!H206</f>
        <v>0</v>
      </c>
      <c r="I202" s="1">
        <f>equip.xml!J206</f>
        <v>5</v>
      </c>
      <c r="J202" s="1">
        <f>equip.xml!K206</f>
        <v>0</v>
      </c>
      <c r="K202" s="1">
        <f>equip.xml!L206</f>
        <v>0</v>
      </c>
      <c r="L202" s="1" t="str">
        <f>equip.xml!M206</f>
        <v>101_8840_8840</v>
      </c>
      <c r="M202" s="7" t="str">
        <f>equip.xml!Q206</f>
        <v>equipment/6008.png</v>
      </c>
      <c r="N202" t="str">
        <f>equip.xml!P206</f>
        <v>10000_1002_45000,30000_30001_1,30000_30002_1,30000_30003_1</v>
      </c>
    </row>
    <row r="203" spans="1:14">
      <c r="A203" s="1" t="str">
        <f>equip.xml!A207</f>
        <v>10450080</v>
      </c>
      <c r="B203" s="1">
        <f>equip.xml!B207</f>
        <v>1</v>
      </c>
      <c r="C203" s="1" t="str">
        <f>equip.xml!C207</f>
        <v>浩劫长靴</v>
      </c>
      <c r="D203" s="1" t="str">
        <f>equip.xml!D207</f>
        <v>鞋子</v>
      </c>
      <c r="E203" s="1">
        <f>equip.xml!E207</f>
        <v>8</v>
      </c>
      <c r="F203" s="1">
        <f>equip.xml!F207</f>
        <v>1</v>
      </c>
      <c r="G203" s="1">
        <f>equip.xml!G207</f>
        <v>45</v>
      </c>
      <c r="H203" s="1">
        <f>equip.xml!H207</f>
        <v>0</v>
      </c>
      <c r="I203" s="1">
        <f>equip.xml!J207</f>
        <v>5</v>
      </c>
      <c r="J203" s="1">
        <f>equip.xml!K207</f>
        <v>0</v>
      </c>
      <c r="K203" s="1">
        <f>equip.xml!L207</f>
        <v>0</v>
      </c>
      <c r="L203" s="1" t="str">
        <f>equip.xml!M207</f>
        <v>110_137_137</v>
      </c>
      <c r="M203" s="7" t="str">
        <f>equip.xml!Q207</f>
        <v>equipment/8008.png</v>
      </c>
      <c r="N203" t="str">
        <f>equip.xml!P207</f>
        <v>10000_1002_45000,30000_30001_1,30000_30002_1,30000_30003_1</v>
      </c>
    </row>
    <row r="204" spans="1:14">
      <c r="A204" s="1" t="str">
        <f>equip.xml!A208</f>
        <v>10450090</v>
      </c>
      <c r="B204" s="1">
        <f>equip.xml!B208</f>
        <v>1</v>
      </c>
      <c r="C204" s="1" t="str">
        <f>equip.xml!C208</f>
        <v>愤怒护手</v>
      </c>
      <c r="D204" s="1" t="str">
        <f>equip.xml!D208</f>
        <v>手套</v>
      </c>
      <c r="E204" s="1">
        <f>equip.xml!E208</f>
        <v>9</v>
      </c>
      <c r="F204" s="1">
        <f>equip.xml!F208</f>
        <v>1</v>
      </c>
      <c r="G204" s="1">
        <f>equip.xml!G208</f>
        <v>45</v>
      </c>
      <c r="H204" s="1">
        <f>equip.xml!H208</f>
        <v>0</v>
      </c>
      <c r="I204" s="1">
        <f>equip.xml!J208</f>
        <v>5</v>
      </c>
      <c r="J204" s="1">
        <f>equip.xml!K208</f>
        <v>0</v>
      </c>
      <c r="K204" s="1">
        <f>equip.xml!L208</f>
        <v>0</v>
      </c>
      <c r="L204" s="1" t="str">
        <f>equip.xml!M208</f>
        <v>108_1255_1255</v>
      </c>
      <c r="M204" s="7" t="str">
        <f>equip.xml!Q208</f>
        <v>equipment/10008.png</v>
      </c>
      <c r="N204" t="str">
        <f>equip.xml!P208</f>
        <v>10000_1002_45000,30000_30001_1,30000_30002_1,30000_30003_1</v>
      </c>
    </row>
    <row r="205" spans="1:14">
      <c r="A205" s="1" t="str">
        <f>equip.xml!A209</f>
        <v>10450100</v>
      </c>
      <c r="B205" s="1">
        <f>equip.xml!B209</f>
        <v>1</v>
      </c>
      <c r="C205" s="1" t="str">
        <f>equip.xml!C209</f>
        <v>新月项链</v>
      </c>
      <c r="D205" s="1" t="str">
        <f>equip.xml!D209</f>
        <v>项链</v>
      </c>
      <c r="E205" s="1">
        <f>equip.xml!E209</f>
        <v>10</v>
      </c>
      <c r="F205" s="1">
        <f>equip.xml!F209</f>
        <v>1</v>
      </c>
      <c r="G205" s="1">
        <f>equip.xml!G209</f>
        <v>45</v>
      </c>
      <c r="H205" s="1">
        <f>equip.xml!H209</f>
        <v>0</v>
      </c>
      <c r="I205" s="1">
        <f>equip.xml!J209</f>
        <v>5</v>
      </c>
      <c r="J205" s="1">
        <f>equip.xml!K209</f>
        <v>0</v>
      </c>
      <c r="K205" s="1">
        <f>equip.xml!L209</f>
        <v>0</v>
      </c>
      <c r="L205" s="1" t="str">
        <f>equip.xml!M209</f>
        <v>107_751_751</v>
      </c>
      <c r="M205" s="7" t="str">
        <f>equip.xml!Q209</f>
        <v>equipment/12007.png</v>
      </c>
      <c r="N205" t="str">
        <f>equip.xml!P209</f>
        <v>10000_1002_45000,30000_30001_1,30000_30002_1,30000_30003_1</v>
      </c>
    </row>
    <row r="206" spans="1:14">
      <c r="A206" s="1" t="str">
        <f>equip.xml!A210</f>
        <v>10451050</v>
      </c>
      <c r="B206" s="1">
        <f>equip.xml!B210</f>
        <v>1</v>
      </c>
      <c r="C206" s="1" t="str">
        <f>equip.xml!C210</f>
        <v>龙纹之刃</v>
      </c>
      <c r="D206" s="1" t="str">
        <f>equip.xml!D210</f>
        <v>主手武器</v>
      </c>
      <c r="E206" s="1">
        <f>equip.xml!E210</f>
        <v>5</v>
      </c>
      <c r="F206" s="1">
        <f>equip.xml!F210</f>
        <v>1</v>
      </c>
      <c r="G206" s="1">
        <f>equip.xml!G210</f>
        <v>45</v>
      </c>
      <c r="H206" s="1" t="str">
        <f>equip.xml!H210</f>
        <v>1,1001</v>
      </c>
      <c r="I206" s="1">
        <f>equip.xml!J210</f>
        <v>5</v>
      </c>
      <c r="J206" s="1">
        <f>equip.xml!K210</f>
        <v>0</v>
      </c>
      <c r="K206" s="1">
        <f>equip.xml!L210</f>
        <v>0</v>
      </c>
      <c r="L206" s="1" t="str">
        <f>equip.xml!M210</f>
        <v>103_854_854,104_1708_1708</v>
      </c>
      <c r="M206" s="7" t="str">
        <f>equip.xml!Q210</f>
        <v>equipment/1117.png</v>
      </c>
      <c r="N206" t="str">
        <f>equip.xml!P210</f>
        <v>10000_1002_45000,30000_30001_1,30000_30002_1,30000_30003_1</v>
      </c>
    </row>
    <row r="207" spans="1:14">
      <c r="A207" s="1" t="str">
        <f>equip.xml!A211</f>
        <v>10451051</v>
      </c>
      <c r="B207" s="1">
        <f>equip.xml!B211</f>
        <v>0</v>
      </c>
      <c r="C207" s="1" t="str">
        <f>equip.xml!C211</f>
        <v>军刀</v>
      </c>
      <c r="D207" s="1" t="str">
        <f>equip.xml!D211</f>
        <v>主手武器</v>
      </c>
      <c r="E207" s="1">
        <f>equip.xml!E211</f>
        <v>5</v>
      </c>
      <c r="F207" s="1">
        <f>equip.xml!F211</f>
        <v>1</v>
      </c>
      <c r="G207" s="1">
        <f>equip.xml!G211</f>
        <v>45</v>
      </c>
      <c r="H207" s="1" t="str">
        <f>equip.xml!H211</f>
        <v>1,1001</v>
      </c>
      <c r="I207" s="1">
        <f>equip.xml!J211</f>
        <v>5</v>
      </c>
      <c r="J207" s="1">
        <f>equip.xml!K211</f>
        <v>0</v>
      </c>
      <c r="K207" s="1">
        <f>equip.xml!L211</f>
        <v>0</v>
      </c>
      <c r="L207" s="1" t="str">
        <f>equip.xml!M211</f>
        <v>103_951_951,104_1902_1902</v>
      </c>
      <c r="M207" s="7" t="str">
        <f>equip.xml!Q211</f>
        <v>equipment/1101.png</v>
      </c>
      <c r="N207" t="str">
        <f>equip.xml!P211</f>
        <v>10000_1002_45000,30000_30001_1,30000_30002_1,30000_30003_1</v>
      </c>
    </row>
    <row r="208" spans="1:14">
      <c r="A208" s="1" t="str">
        <f>equip.xml!A212</f>
        <v>10451060</v>
      </c>
      <c r="B208" s="1">
        <f>equip.xml!B212</f>
        <v>1</v>
      </c>
      <c r="C208" s="1" t="str">
        <f>equip.xml!C212</f>
        <v>正义壁垒</v>
      </c>
      <c r="D208" s="1" t="str">
        <f>equip.xml!D212</f>
        <v>副手武器</v>
      </c>
      <c r="E208" s="1">
        <f>equip.xml!E212</f>
        <v>6</v>
      </c>
      <c r="F208" s="1">
        <f>equip.xml!F212</f>
        <v>1</v>
      </c>
      <c r="G208" s="1">
        <f>equip.xml!G212</f>
        <v>45</v>
      </c>
      <c r="H208" s="1" t="str">
        <f>equip.xml!H212</f>
        <v>1,1001</v>
      </c>
      <c r="I208" s="1">
        <f>equip.xml!J212</f>
        <v>5</v>
      </c>
      <c r="J208" s="1">
        <f>equip.xml!K212</f>
        <v>0</v>
      </c>
      <c r="K208" s="1">
        <f>equip.xml!L212</f>
        <v>0</v>
      </c>
      <c r="L208" s="1" t="str">
        <f>equip.xml!M212</f>
        <v>105_1253_1253</v>
      </c>
      <c r="M208" s="7" t="str">
        <f>equip.xml!Q212</f>
        <v>equipment/2110.png</v>
      </c>
      <c r="N208" t="str">
        <f>equip.xml!P212</f>
        <v>10000_1002_45000,30000_30001_1,30000_30002_1,30000_30003_1</v>
      </c>
    </row>
    <row r="209" spans="1:14">
      <c r="A209" s="1" t="str">
        <f>equip.xml!A213</f>
        <v>10451061</v>
      </c>
      <c r="B209" s="1">
        <f>equip.xml!B213</f>
        <v>0</v>
      </c>
      <c r="C209" s="1" t="str">
        <f>equip.xml!C213</f>
        <v>尖头盾</v>
      </c>
      <c r="D209" s="1" t="str">
        <f>equip.xml!D213</f>
        <v>副手武器</v>
      </c>
      <c r="E209" s="1">
        <f>equip.xml!E213</f>
        <v>6</v>
      </c>
      <c r="F209" s="1">
        <f>equip.xml!F213</f>
        <v>1</v>
      </c>
      <c r="G209" s="1">
        <f>equip.xml!G213</f>
        <v>45</v>
      </c>
      <c r="H209" s="1" t="str">
        <f>equip.xml!H213</f>
        <v>1,1001</v>
      </c>
      <c r="I209" s="1">
        <f>equip.xml!J213</f>
        <v>5</v>
      </c>
      <c r="J209" s="1">
        <f>equip.xml!K213</f>
        <v>0</v>
      </c>
      <c r="K209" s="1">
        <f>equip.xml!L213</f>
        <v>0</v>
      </c>
      <c r="L209" s="1" t="str">
        <f>equip.xml!M213</f>
        <v>105_1312_1312</v>
      </c>
      <c r="M209" s="7" t="str">
        <f>equip.xml!Q213</f>
        <v>equipment/2101.png</v>
      </c>
      <c r="N209" t="str">
        <f>equip.xml!P213</f>
        <v>10000_1002_45000,30000_30001_1,30000_30002_1,30000_30003_1</v>
      </c>
    </row>
    <row r="210" spans="1:14">
      <c r="A210" s="1" t="str">
        <f>equip.xml!A214</f>
        <v>10452050</v>
      </c>
      <c r="B210" s="1">
        <f>equip.xml!B214</f>
        <v>1</v>
      </c>
      <c r="C210" s="1" t="str">
        <f>equip.xml!C214</f>
        <v>霜语长弓</v>
      </c>
      <c r="D210" s="1" t="str">
        <f>equip.xml!D214</f>
        <v>主手武器</v>
      </c>
      <c r="E210" s="1">
        <f>equip.xml!E214</f>
        <v>5</v>
      </c>
      <c r="F210" s="1">
        <f>equip.xml!F214</f>
        <v>1</v>
      </c>
      <c r="G210" s="1">
        <f>equip.xml!G214</f>
        <v>45</v>
      </c>
      <c r="H210" s="1" t="str">
        <f>equip.xml!H214</f>
        <v>2,1002</v>
      </c>
      <c r="I210" s="1">
        <f>equip.xml!J214</f>
        <v>5</v>
      </c>
      <c r="J210" s="1">
        <f>equip.xml!K214</f>
        <v>0</v>
      </c>
      <c r="K210" s="1">
        <f>equip.xml!L214</f>
        <v>0</v>
      </c>
      <c r="L210" s="1" t="str">
        <f>equip.xml!M214</f>
        <v>103_854_854,104_1708_1708</v>
      </c>
      <c r="M210" s="7" t="str">
        <f>equip.xml!Q214</f>
        <v>equipment/1217.png</v>
      </c>
      <c r="N210" t="str">
        <f>equip.xml!P214</f>
        <v>10000_1002_45000,30000_30001_1,30000_30002_1,30000_30003_1</v>
      </c>
    </row>
    <row r="211" spans="1:14">
      <c r="A211" s="1" t="str">
        <f>equip.xml!A215</f>
        <v>10452051</v>
      </c>
      <c r="B211" s="1">
        <f>equip.xml!B215</f>
        <v>0</v>
      </c>
      <c r="C211" s="1" t="str">
        <f>equip.xml!C215</f>
        <v>棘木弓</v>
      </c>
      <c r="D211" s="1" t="str">
        <f>equip.xml!D215</f>
        <v>主手武器</v>
      </c>
      <c r="E211" s="1">
        <f>equip.xml!E215</f>
        <v>5</v>
      </c>
      <c r="F211" s="1">
        <f>equip.xml!F215</f>
        <v>1</v>
      </c>
      <c r="G211" s="1">
        <f>equip.xml!G215</f>
        <v>45</v>
      </c>
      <c r="H211" s="1" t="str">
        <f>equip.xml!H215</f>
        <v>2,1002</v>
      </c>
      <c r="I211" s="1">
        <f>equip.xml!J215</f>
        <v>5</v>
      </c>
      <c r="J211" s="1">
        <f>equip.xml!K215</f>
        <v>0</v>
      </c>
      <c r="K211" s="1">
        <f>equip.xml!L215</f>
        <v>0</v>
      </c>
      <c r="L211" s="1" t="str">
        <f>equip.xml!M215</f>
        <v>103_951_951,104_1902_1902</v>
      </c>
      <c r="M211" s="7" t="str">
        <f>equip.xml!Q215</f>
        <v>equipment/1201.png</v>
      </c>
      <c r="N211" t="str">
        <f>equip.xml!P215</f>
        <v>10000_1002_45000,30000_30001_1,30000_30002_1,30000_30003_1</v>
      </c>
    </row>
    <row r="212" spans="1:14">
      <c r="A212" s="1" t="str">
        <f>equip.xml!A216</f>
        <v>10452060</v>
      </c>
      <c r="B212" s="1">
        <f>equip.xml!B216</f>
        <v>1</v>
      </c>
      <c r="C212" s="1" t="str">
        <f>equip.xml!C216</f>
        <v>月沐箭筒</v>
      </c>
      <c r="D212" s="1" t="str">
        <f>equip.xml!D216</f>
        <v>副手武器</v>
      </c>
      <c r="E212" s="1">
        <f>equip.xml!E216</f>
        <v>6</v>
      </c>
      <c r="F212" s="1">
        <f>equip.xml!F216</f>
        <v>1</v>
      </c>
      <c r="G212" s="1">
        <f>equip.xml!G216</f>
        <v>45</v>
      </c>
      <c r="H212" s="1" t="str">
        <f>equip.xml!H216</f>
        <v>2,1002</v>
      </c>
      <c r="I212" s="1">
        <f>equip.xml!J216</f>
        <v>5</v>
      </c>
      <c r="J212" s="1">
        <f>equip.xml!K216</f>
        <v>0</v>
      </c>
      <c r="K212" s="1">
        <f>equip.xml!L216</f>
        <v>0</v>
      </c>
      <c r="L212" s="1" t="str">
        <f>equip.xml!M216</f>
        <v>108_1253_1253</v>
      </c>
      <c r="M212" s="7" t="str">
        <f>equip.xml!Q216</f>
        <v>equipment/2211.png</v>
      </c>
      <c r="N212" t="str">
        <f>equip.xml!P216</f>
        <v>10000_1002_45000,30000_30001_1,30000_30002_1,30000_30003_1</v>
      </c>
    </row>
    <row r="213" spans="1:14">
      <c r="A213" s="1" t="str">
        <f>equip.xml!A217</f>
        <v>10452061</v>
      </c>
      <c r="B213" s="1">
        <f>equip.xml!B217</f>
        <v>0</v>
      </c>
      <c r="C213" s="1" t="str">
        <f>equip.xml!C217</f>
        <v>箭筒</v>
      </c>
      <c r="D213" s="1" t="str">
        <f>equip.xml!D217</f>
        <v>副手武器</v>
      </c>
      <c r="E213" s="1">
        <f>equip.xml!E217</f>
        <v>6</v>
      </c>
      <c r="F213" s="1">
        <f>equip.xml!F217</f>
        <v>1</v>
      </c>
      <c r="G213" s="1">
        <f>equip.xml!G217</f>
        <v>45</v>
      </c>
      <c r="H213" s="1" t="str">
        <f>equip.xml!H217</f>
        <v>2,1002</v>
      </c>
      <c r="I213" s="1">
        <f>equip.xml!J217</f>
        <v>5</v>
      </c>
      <c r="J213" s="1">
        <f>equip.xml!K217</f>
        <v>0</v>
      </c>
      <c r="K213" s="1">
        <f>equip.xml!L217</f>
        <v>0</v>
      </c>
      <c r="L213" s="1" t="str">
        <f>equip.xml!M217</f>
        <v>108_1312_1312</v>
      </c>
      <c r="M213" s="7" t="str">
        <f>equip.xml!Q217</f>
        <v>equipment/2201.png</v>
      </c>
      <c r="N213" t="str">
        <f>equip.xml!P217</f>
        <v>10000_1002_45000,30000_30001_1,30000_30002_1,30000_30003_1</v>
      </c>
    </row>
    <row r="214" spans="1:14">
      <c r="A214" s="1" t="str">
        <f>equip.xml!A218</f>
        <v>10453050</v>
      </c>
      <c r="B214" s="1">
        <f>equip.xml!B218</f>
        <v>1</v>
      </c>
      <c r="C214" s="1" t="str">
        <f>equip.xml!C218</f>
        <v>皇权之杖</v>
      </c>
      <c r="D214" s="1" t="str">
        <f>equip.xml!D218</f>
        <v>主手武器</v>
      </c>
      <c r="E214" s="1">
        <f>equip.xml!E218</f>
        <v>5</v>
      </c>
      <c r="F214" s="1">
        <f>equip.xml!F218</f>
        <v>1</v>
      </c>
      <c r="G214" s="1">
        <f>equip.xml!G218</f>
        <v>45</v>
      </c>
      <c r="H214" s="1" t="str">
        <f>equip.xml!H218</f>
        <v>3,1003</v>
      </c>
      <c r="I214" s="1">
        <f>equip.xml!J218</f>
        <v>5</v>
      </c>
      <c r="J214" s="1">
        <f>equip.xml!K218</f>
        <v>0</v>
      </c>
      <c r="K214" s="1">
        <f>equip.xml!L218</f>
        <v>0</v>
      </c>
      <c r="L214" s="1" t="str">
        <f>equip.xml!M218</f>
        <v>103_854_854,104_1708_1708</v>
      </c>
      <c r="M214" s="7" t="str">
        <f>equip.xml!Q218</f>
        <v>equipment/1316.png</v>
      </c>
      <c r="N214" t="str">
        <f>equip.xml!P218</f>
        <v>10000_1002_45000,30000_30001_1,30000_30002_1,30000_30003_1</v>
      </c>
    </row>
    <row r="215" spans="1:14">
      <c r="A215" s="1" t="str">
        <f>equip.xml!A219</f>
        <v>10453051</v>
      </c>
      <c r="B215" s="1">
        <f>equip.xml!B219</f>
        <v>1</v>
      </c>
      <c r="C215" s="1" t="str">
        <f>equip.xml!C219</f>
        <v>圣晶权杖</v>
      </c>
      <c r="D215" s="1" t="str">
        <f>equip.xml!D219</f>
        <v>主手武器</v>
      </c>
      <c r="E215" s="1">
        <f>equip.xml!E219</f>
        <v>5</v>
      </c>
      <c r="F215" s="1">
        <f>equip.xml!F219</f>
        <v>1</v>
      </c>
      <c r="G215" s="1">
        <f>equip.xml!G219</f>
        <v>45</v>
      </c>
      <c r="H215" s="1" t="str">
        <f>equip.xml!H219</f>
        <v>3,1003</v>
      </c>
      <c r="I215" s="1">
        <f>equip.xml!J219</f>
        <v>5</v>
      </c>
      <c r="J215" s="1">
        <f>equip.xml!K219</f>
        <v>0</v>
      </c>
      <c r="K215" s="1">
        <f>equip.xml!L219</f>
        <v>0</v>
      </c>
      <c r="L215" s="1" t="str">
        <f>equip.xml!M219</f>
        <v>103_951_951,104_1902_1902</v>
      </c>
      <c r="M215" s="7" t="str">
        <f>equip.xml!Q219</f>
        <v>equipment/1318.png</v>
      </c>
      <c r="N215" t="str">
        <f>equip.xml!P219</f>
        <v>10000_1002_45000,30000_30001_1,30000_30002_1,30000_30003_1</v>
      </c>
    </row>
    <row r="216" spans="1:14">
      <c r="A216" s="1" t="str">
        <f>equip.xml!A220</f>
        <v>10453060</v>
      </c>
      <c r="B216" s="1">
        <f>equip.xml!B220</f>
        <v>1</v>
      </c>
      <c r="C216" s="1" t="str">
        <f>equip.xml!C220</f>
        <v>占卜魔典</v>
      </c>
      <c r="D216" s="1" t="str">
        <f>equip.xml!D220</f>
        <v>副手武器</v>
      </c>
      <c r="E216" s="1">
        <f>equip.xml!E220</f>
        <v>6</v>
      </c>
      <c r="F216" s="1">
        <f>equip.xml!F220</f>
        <v>1</v>
      </c>
      <c r="G216" s="1">
        <f>equip.xml!G220</f>
        <v>45</v>
      </c>
      <c r="H216" s="1" t="str">
        <f>equip.xml!H220</f>
        <v>3,1003</v>
      </c>
      <c r="I216" s="1">
        <f>equip.xml!J220</f>
        <v>5</v>
      </c>
      <c r="J216" s="1">
        <f>equip.xml!K220</f>
        <v>0</v>
      </c>
      <c r="K216" s="1">
        <f>equip.xml!L220</f>
        <v>0</v>
      </c>
      <c r="L216" s="1" t="str">
        <f>equip.xml!M220</f>
        <v>102_1320_1320</v>
      </c>
      <c r="M216" s="7" t="str">
        <f>equip.xml!Q220</f>
        <v>equipment/2310.png</v>
      </c>
      <c r="N216" t="str">
        <f>equip.xml!P220</f>
        <v>10000_1002_45000,30000_30001_1,30000_30002_1,30000_30003_1</v>
      </c>
    </row>
    <row r="217" spans="1:14">
      <c r="A217" s="1" t="str">
        <f>equip.xml!A221</f>
        <v>10453061</v>
      </c>
      <c r="B217" s="1">
        <f>equip.xml!B221</f>
        <v>0</v>
      </c>
      <c r="C217" s="1" t="str">
        <f>equip.xml!C221</f>
        <v>法术指南</v>
      </c>
      <c r="D217" s="1" t="str">
        <f>equip.xml!D221</f>
        <v>副手武器</v>
      </c>
      <c r="E217" s="1">
        <f>equip.xml!E221</f>
        <v>6</v>
      </c>
      <c r="F217" s="1">
        <f>equip.xml!F221</f>
        <v>1</v>
      </c>
      <c r="G217" s="1">
        <f>equip.xml!G221</f>
        <v>45</v>
      </c>
      <c r="H217" s="1" t="str">
        <f>equip.xml!H221</f>
        <v>3,1003</v>
      </c>
      <c r="I217" s="1">
        <f>equip.xml!J221</f>
        <v>5</v>
      </c>
      <c r="J217" s="1">
        <f>equip.xml!K221</f>
        <v>0</v>
      </c>
      <c r="K217" s="1">
        <f>equip.xml!L221</f>
        <v>0</v>
      </c>
      <c r="L217" s="1" t="str">
        <f>equip.xml!M221</f>
        <v>102_1312_1312</v>
      </c>
      <c r="M217" s="7" t="str">
        <f>equip.xml!Q221</f>
        <v>equipment/2301.png</v>
      </c>
      <c r="N217" t="str">
        <f>equip.xml!P221</f>
        <v>10000_1002_45000,30000_30001_1,30000_30002_1,30000_30003_1</v>
      </c>
    </row>
    <row r="218" spans="1:14">
      <c r="A218" s="1" t="str">
        <f>equip.xml!A222</f>
        <v>10450040</v>
      </c>
      <c r="B218" s="1">
        <f>equip.xml!B222</f>
        <v>1</v>
      </c>
      <c r="C218" s="1" t="str">
        <f>equip.xml!C222</f>
        <v>执政官胸甲</v>
      </c>
      <c r="D218" s="1" t="str">
        <f>equip.xml!D222</f>
        <v>胸甲</v>
      </c>
      <c r="E218" s="1">
        <f>equip.xml!E222</f>
        <v>4</v>
      </c>
      <c r="F218" s="1">
        <f>equip.xml!F222</f>
        <v>1</v>
      </c>
      <c r="G218" s="1">
        <f>equip.xml!G222</f>
        <v>45</v>
      </c>
      <c r="H218" s="1">
        <f>equip.xml!H222</f>
        <v>0</v>
      </c>
      <c r="I218" s="1">
        <f>equip.xml!J222</f>
        <v>5</v>
      </c>
      <c r="J218" s="1">
        <f>equip.xml!K222</f>
        <v>0</v>
      </c>
      <c r="K218" s="1">
        <f>equip.xml!L222</f>
        <v>0</v>
      </c>
      <c r="L218" s="1" t="str">
        <f>equip.xml!M222</f>
        <v>105_628_628</v>
      </c>
      <c r="M218" s="7" t="str">
        <f>equip.xml!Q222</f>
        <v>equipment/5013.png</v>
      </c>
      <c r="N218" t="str">
        <f>equip.xml!P222</f>
        <v>10000_1002_45000,30000_30001_1,30000_30002_1,30000_30003_1</v>
      </c>
    </row>
    <row r="219" spans="1:14">
      <c r="A219" s="1" t="str">
        <f>equip.xml!A223</f>
        <v>10450041</v>
      </c>
      <c r="B219" s="1">
        <f>equip.xml!B223</f>
        <v>1</v>
      </c>
      <c r="C219" s="1" t="str">
        <f>equip.xml!C223</f>
        <v>军团胸甲</v>
      </c>
      <c r="D219" s="1" t="str">
        <f>equip.xml!D223</f>
        <v>胸甲</v>
      </c>
      <c r="E219" s="1">
        <f>equip.xml!E223</f>
        <v>4</v>
      </c>
      <c r="F219" s="1">
        <f>equip.xml!F223</f>
        <v>1</v>
      </c>
      <c r="G219" s="1">
        <f>equip.xml!G223</f>
        <v>45</v>
      </c>
      <c r="H219" s="1">
        <f>equip.xml!H223</f>
        <v>0</v>
      </c>
      <c r="I219" s="1">
        <f>equip.xml!J223</f>
        <v>5</v>
      </c>
      <c r="J219" s="1">
        <f>equip.xml!K223</f>
        <v>0</v>
      </c>
      <c r="K219" s="1">
        <f>equip.xml!L223</f>
        <v>0</v>
      </c>
      <c r="L219" s="1" t="str">
        <f>equip.xml!M223</f>
        <v>105_689_689</v>
      </c>
      <c r="M219" s="7" t="str">
        <f>equip.xml!Q223</f>
        <v>equipment/5014.png</v>
      </c>
      <c r="N219" t="str">
        <f>equip.xml!P223</f>
        <v>10000_1002_45000,30000_30001_1,30000_30002_1,30000_30003_1</v>
      </c>
    </row>
    <row r="220" spans="1:14">
      <c r="A220" s="1" t="str">
        <f>equip.xml!A224</f>
        <v>10450070</v>
      </c>
      <c r="B220" s="1">
        <f>equip.xml!B224</f>
        <v>1</v>
      </c>
      <c r="C220" s="1" t="str">
        <f>equip.xml!C224</f>
        <v>冰铸腿铠</v>
      </c>
      <c r="D220" s="1" t="str">
        <f>equip.xml!D224</f>
        <v>护腿</v>
      </c>
      <c r="E220" s="1">
        <f>equip.xml!E224</f>
        <v>7</v>
      </c>
      <c r="F220" s="1">
        <f>equip.xml!F224</f>
        <v>1</v>
      </c>
      <c r="G220" s="1">
        <f>equip.xml!G224</f>
        <v>45</v>
      </c>
      <c r="H220" s="1">
        <f>equip.xml!H224</f>
        <v>0</v>
      </c>
      <c r="I220" s="1">
        <f>equip.xml!J224</f>
        <v>5</v>
      </c>
      <c r="J220" s="1">
        <f>equip.xml!K224</f>
        <v>0</v>
      </c>
      <c r="K220" s="1">
        <f>equip.xml!L224</f>
        <v>0</v>
      </c>
      <c r="L220" s="1" t="str">
        <f>equip.xml!M224</f>
        <v>105_497_497</v>
      </c>
      <c r="M220" s="7" t="str">
        <f>equip.xml!Q224</f>
        <v>equipment/7011.png</v>
      </c>
      <c r="N220" t="str">
        <f>equip.xml!P224</f>
        <v>10000_1002_45000,30000_30001_1,30000_30002_1,30000_30003_1</v>
      </c>
    </row>
    <row r="221" spans="1:14">
      <c r="A221" s="1" t="str">
        <f>equip.xml!A225</f>
        <v>10450071</v>
      </c>
      <c r="B221" s="1">
        <f>equip.xml!B225</f>
        <v>1</v>
      </c>
      <c r="C221" s="1" t="str">
        <f>equip.xml!C225</f>
        <v>织灵护腿</v>
      </c>
      <c r="D221" s="1" t="str">
        <f>equip.xml!D225</f>
        <v>护腿</v>
      </c>
      <c r="E221" s="1">
        <f>equip.xml!E225</f>
        <v>7</v>
      </c>
      <c r="F221" s="1">
        <f>equip.xml!F225</f>
        <v>1</v>
      </c>
      <c r="G221" s="1">
        <f>equip.xml!G225</f>
        <v>45</v>
      </c>
      <c r="H221" s="1">
        <f>equip.xml!H225</f>
        <v>0</v>
      </c>
      <c r="I221" s="1">
        <f>equip.xml!J225</f>
        <v>5</v>
      </c>
      <c r="J221" s="1">
        <f>equip.xml!K225</f>
        <v>0</v>
      </c>
      <c r="K221" s="1">
        <f>equip.xml!L225</f>
        <v>0</v>
      </c>
      <c r="L221" s="1" t="str">
        <f>equip.xml!M225</f>
        <v>105_549_549</v>
      </c>
      <c r="M221" s="7" t="str">
        <f>equip.xml!Q225</f>
        <v>equipment/7010.png</v>
      </c>
      <c r="N221" t="str">
        <f>equip.xml!P225</f>
        <v>10000_1002_45000,30000_30001_1,30000_30002_1,30000_30003_1</v>
      </c>
    </row>
    <row r="222" spans="1:14">
      <c r="A222" s="1" t="str">
        <f>equip.xml!A226</f>
        <v>10500010</v>
      </c>
      <c r="B222" s="1">
        <f>equip.xml!B226</f>
        <v>1</v>
      </c>
      <c r="C222" s="1" t="str">
        <f>equip.xml!C226</f>
        <v>战痕头盔</v>
      </c>
      <c r="D222" s="1" t="str">
        <f>equip.xml!D226</f>
        <v>头盔</v>
      </c>
      <c r="E222" s="1">
        <f>equip.xml!E226</f>
        <v>1</v>
      </c>
      <c r="F222" s="1">
        <f>equip.xml!F226</f>
        <v>1</v>
      </c>
      <c r="G222" s="1">
        <f>equip.xml!G226</f>
        <v>50</v>
      </c>
      <c r="H222" s="1">
        <f>equip.xml!H226</f>
        <v>0</v>
      </c>
      <c r="I222" s="1">
        <f>equip.xml!J226</f>
        <v>5</v>
      </c>
      <c r="J222" s="1">
        <f>equip.xml!K226</f>
        <v>0</v>
      </c>
      <c r="K222" s="1">
        <f>equip.xml!L226</f>
        <v>0</v>
      </c>
      <c r="L222" s="1" t="str">
        <f>equip.xml!M226</f>
        <v>106_1000_1000</v>
      </c>
      <c r="M222" s="7" t="str">
        <f>equip.xml!Q226</f>
        <v>equipment/3008.png</v>
      </c>
      <c r="N222" t="str">
        <f>equip.xml!P226</f>
        <v>10000_1002_50000,30000_30001_1,30000_30002_1,30000_30003_1</v>
      </c>
    </row>
    <row r="223" spans="1:14">
      <c r="A223" s="1" t="str">
        <f>equip.xml!A227</f>
        <v>10500020</v>
      </c>
      <c r="B223" s="1">
        <f>equip.xml!B227</f>
        <v>1</v>
      </c>
      <c r="C223" s="1" t="str">
        <f>equip.xml!C227</f>
        <v>灵风之戒</v>
      </c>
      <c r="D223" s="1" t="str">
        <f>equip.xml!D227</f>
        <v>戒指</v>
      </c>
      <c r="E223" s="1">
        <f>equip.xml!E227</f>
        <v>2</v>
      </c>
      <c r="F223" s="1">
        <f>equip.xml!F227</f>
        <v>1</v>
      </c>
      <c r="G223" s="1">
        <f>equip.xml!G227</f>
        <v>50</v>
      </c>
      <c r="H223" s="1">
        <f>equip.xml!H227</f>
        <v>0</v>
      </c>
      <c r="I223" s="1">
        <f>equip.xml!J227</f>
        <v>5</v>
      </c>
      <c r="J223" s="1">
        <f>equip.xml!K227</f>
        <v>0</v>
      </c>
      <c r="K223" s="1">
        <f>equip.xml!L227</f>
        <v>0</v>
      </c>
      <c r="L223" s="1" t="str">
        <f>equip.xml!M227</f>
        <v>102_975_975</v>
      </c>
      <c r="M223" s="7" t="str">
        <f>equip.xml!Q227</f>
        <v>equipment/14008.png</v>
      </c>
      <c r="N223" t="str">
        <f>equip.xml!P227</f>
        <v>10000_1002_50000,30000_30001_1,30000_30002_1,30000_30003_1</v>
      </c>
    </row>
    <row r="224" spans="1:14">
      <c r="A224" s="1" t="str">
        <f>equip.xml!A228</f>
        <v>10500030</v>
      </c>
      <c r="B224" s="1">
        <f>equip.xml!B228</f>
        <v>1</v>
      </c>
      <c r="C224" s="1" t="str">
        <f>equip.xml!C228</f>
        <v>生命腰带</v>
      </c>
      <c r="D224" s="1" t="str">
        <f>equip.xml!D228</f>
        <v>腰带</v>
      </c>
      <c r="E224" s="1">
        <f>equip.xml!E228</f>
        <v>3</v>
      </c>
      <c r="F224" s="1">
        <f>equip.xml!F228</f>
        <v>1</v>
      </c>
      <c r="G224" s="1">
        <f>equip.xml!G228</f>
        <v>50</v>
      </c>
      <c r="H224" s="1">
        <f>equip.xml!H228</f>
        <v>0</v>
      </c>
      <c r="I224" s="1">
        <f>equip.xml!J228</f>
        <v>5</v>
      </c>
      <c r="J224" s="1">
        <f>equip.xml!K228</f>
        <v>0</v>
      </c>
      <c r="K224" s="1">
        <f>equip.xml!L228</f>
        <v>0</v>
      </c>
      <c r="L224" s="1" t="str">
        <f>equip.xml!M228</f>
        <v>101_11560_11560</v>
      </c>
      <c r="M224" s="7" t="str">
        <f>equip.xml!Q228</f>
        <v>equipment/6009.png</v>
      </c>
      <c r="N224" t="str">
        <f>equip.xml!P228</f>
        <v>10000_1002_50000,30000_30001_1,30000_30002_1,30000_30003_1</v>
      </c>
    </row>
    <row r="225" spans="1:14">
      <c r="A225" s="1" t="str">
        <f>equip.xml!A229</f>
        <v>10500080</v>
      </c>
      <c r="B225" s="1">
        <f>equip.xml!B229</f>
        <v>0</v>
      </c>
      <c r="C225" s="1" t="str">
        <f>equip.xml!C229</f>
        <v>龙鳞护胫</v>
      </c>
      <c r="D225" s="1" t="str">
        <f>equip.xml!D229</f>
        <v>鞋子</v>
      </c>
      <c r="E225" s="1">
        <f>equip.xml!E229</f>
        <v>8</v>
      </c>
      <c r="F225" s="1">
        <f>equip.xml!F229</f>
        <v>1</v>
      </c>
      <c r="G225" s="1">
        <f>equip.xml!G229</f>
        <v>50</v>
      </c>
      <c r="H225" s="1">
        <f>equip.xml!H229</f>
        <v>0</v>
      </c>
      <c r="I225" s="1">
        <f>equip.xml!J229</f>
        <v>5</v>
      </c>
      <c r="J225" s="1">
        <f>equip.xml!K229</f>
        <v>0</v>
      </c>
      <c r="K225" s="1">
        <f>equip.xml!L229</f>
        <v>0</v>
      </c>
      <c r="L225" s="1" t="str">
        <f>equip.xml!M229</f>
        <v>110_172_172</v>
      </c>
      <c r="M225" s="7" t="str">
        <f>equip.xml!Q229</f>
        <v>equipment/8001.png</v>
      </c>
      <c r="N225" t="str">
        <f>equip.xml!P229</f>
        <v>10000_1002_50000,30000_30001_1,30000_30002_1,30000_30003_1</v>
      </c>
    </row>
    <row r="226" spans="1:14">
      <c r="A226" s="1" t="str">
        <f>equip.xml!A230</f>
        <v>10500090</v>
      </c>
      <c r="B226" s="1">
        <f>equip.xml!B230</f>
        <v>1</v>
      </c>
      <c r="C226" s="1" t="str">
        <f>equip.xml!C230</f>
        <v>血拳手套</v>
      </c>
      <c r="D226" s="1" t="str">
        <f>equip.xml!D230</f>
        <v>手套</v>
      </c>
      <c r="E226" s="1">
        <f>equip.xml!E230</f>
        <v>9</v>
      </c>
      <c r="F226" s="1">
        <f>equip.xml!F230</f>
        <v>1</v>
      </c>
      <c r="G226" s="1">
        <f>equip.xml!G230</f>
        <v>50</v>
      </c>
      <c r="H226" s="1">
        <f>equip.xml!H230</f>
        <v>0</v>
      </c>
      <c r="I226" s="1">
        <f>equip.xml!J230</f>
        <v>5</v>
      </c>
      <c r="J226" s="1">
        <f>equip.xml!K230</f>
        <v>0</v>
      </c>
      <c r="K226" s="1">
        <f>equip.xml!L230</f>
        <v>0</v>
      </c>
      <c r="L226" s="1" t="str">
        <f>equip.xml!M230</f>
        <v>108_1726_1726</v>
      </c>
      <c r="M226" s="7" t="str">
        <f>equip.xml!Q230</f>
        <v>equipment/10009.png</v>
      </c>
      <c r="N226" t="str">
        <f>equip.xml!P230</f>
        <v>10000_1002_50000,30000_30001_1,30000_30002_1,30000_30003_1</v>
      </c>
    </row>
    <row r="227" spans="1:14">
      <c r="A227" s="1" t="str">
        <f>equip.xml!A231</f>
        <v>10500100</v>
      </c>
      <c r="B227" s="1">
        <f>equip.xml!B231</f>
        <v>1</v>
      </c>
      <c r="C227" s="1" t="str">
        <f>equip.xml!C231</f>
        <v>誓言护坠</v>
      </c>
      <c r="D227" s="1" t="str">
        <f>equip.xml!D231</f>
        <v>项链</v>
      </c>
      <c r="E227" s="1">
        <f>equip.xml!E231</f>
        <v>10</v>
      </c>
      <c r="F227" s="1">
        <f>equip.xml!F231</f>
        <v>1</v>
      </c>
      <c r="G227" s="1">
        <f>equip.xml!G231</f>
        <v>50</v>
      </c>
      <c r="H227" s="1">
        <f>equip.xml!H231</f>
        <v>0</v>
      </c>
      <c r="I227" s="1">
        <f>equip.xml!J231</f>
        <v>5</v>
      </c>
      <c r="J227" s="1">
        <f>equip.xml!K231</f>
        <v>0</v>
      </c>
      <c r="K227" s="1">
        <f>equip.xml!L231</f>
        <v>0</v>
      </c>
      <c r="L227" s="1" t="str">
        <f>equip.xml!M231</f>
        <v>107_1000_1000</v>
      </c>
      <c r="M227" s="7" t="str">
        <f>equip.xml!Q231</f>
        <v>equipment/12008.png</v>
      </c>
      <c r="N227" t="str">
        <f>equip.xml!P231</f>
        <v>10000_1002_50000,30000_30001_1,30000_30002_1,30000_30003_1</v>
      </c>
    </row>
    <row r="228" spans="1:14">
      <c r="A228" s="1" t="str">
        <f>equip.xml!A232</f>
        <v>10501050</v>
      </c>
      <c r="B228" s="1">
        <f>equip.xml!B232</f>
        <v>1</v>
      </c>
      <c r="C228" s="1" t="str">
        <f>equip.xml!C232</f>
        <v>黎明之刃</v>
      </c>
      <c r="D228" s="1" t="str">
        <f>equip.xml!D232</f>
        <v>主手武器</v>
      </c>
      <c r="E228" s="1">
        <f>equip.xml!E232</f>
        <v>5</v>
      </c>
      <c r="F228" s="1">
        <f>equip.xml!F232</f>
        <v>1</v>
      </c>
      <c r="G228" s="1">
        <f>equip.xml!G232</f>
        <v>50</v>
      </c>
      <c r="H228" s="1" t="str">
        <f>equip.xml!H232</f>
        <v>1,1001</v>
      </c>
      <c r="I228" s="1">
        <f>equip.xml!J232</f>
        <v>5</v>
      </c>
      <c r="J228" s="1">
        <f>equip.xml!K232</f>
        <v>0</v>
      </c>
      <c r="K228" s="1">
        <f>equip.xml!L232</f>
        <v>0</v>
      </c>
      <c r="L228" s="1" t="str">
        <f>equip.xml!M232</f>
        <v>103_1097_1097,104_2194_2194</v>
      </c>
      <c r="M228" s="7" t="str">
        <f>equip.xml!Q232</f>
        <v>equipment/1119.png</v>
      </c>
      <c r="N228" t="str">
        <f>equip.xml!P232</f>
        <v>10000_1002_50000,30000_30001_1,30000_30002_1,30000_30003_1</v>
      </c>
    </row>
    <row r="229" spans="1:14">
      <c r="A229" s="1" t="str">
        <f>equip.xml!A233</f>
        <v>10501051</v>
      </c>
      <c r="B229" s="1">
        <f>equip.xml!B233</f>
        <v>1</v>
      </c>
      <c r="C229" s="1" t="str">
        <f>equip.xml!C233</f>
        <v>放逐者之刃</v>
      </c>
      <c r="D229" s="1" t="str">
        <f>equip.xml!D233</f>
        <v>主手武器</v>
      </c>
      <c r="E229" s="1">
        <f>equip.xml!E233</f>
        <v>5</v>
      </c>
      <c r="F229" s="1">
        <f>equip.xml!F233</f>
        <v>1</v>
      </c>
      <c r="G229" s="1">
        <f>equip.xml!G233</f>
        <v>50</v>
      </c>
      <c r="H229" s="1" t="str">
        <f>equip.xml!H233</f>
        <v>1,1001</v>
      </c>
      <c r="I229" s="1">
        <f>equip.xml!J233</f>
        <v>5</v>
      </c>
      <c r="J229" s="1">
        <f>equip.xml!K233</f>
        <v>0</v>
      </c>
      <c r="K229" s="1">
        <f>equip.xml!L233</f>
        <v>0</v>
      </c>
      <c r="L229" s="1" t="str">
        <f>equip.xml!M233</f>
        <v>103_1222_1222,104_2444_2444</v>
      </c>
      <c r="M229" s="7" t="str">
        <f>equip.xml!Q233</f>
        <v>equipment/1120.png</v>
      </c>
      <c r="N229" t="str">
        <f>equip.xml!P233</f>
        <v>10000_1002_50000,30000_30001_1,30000_30002_1,30000_30003_1</v>
      </c>
    </row>
    <row r="230" spans="1:14">
      <c r="A230" s="1" t="str">
        <f>equip.xml!A234</f>
        <v>10501060</v>
      </c>
      <c r="B230" s="1">
        <f>equip.xml!B234</f>
        <v>1</v>
      </c>
      <c r="C230" s="1" t="str">
        <f>equip.xml!C234</f>
        <v>魂祭之盾</v>
      </c>
      <c r="D230" s="1" t="str">
        <f>equip.xml!D234</f>
        <v>副手武器</v>
      </c>
      <c r="E230" s="1">
        <f>equip.xml!E234</f>
        <v>6</v>
      </c>
      <c r="F230" s="1">
        <f>equip.xml!F234</f>
        <v>1</v>
      </c>
      <c r="G230" s="1">
        <f>equip.xml!G234</f>
        <v>50</v>
      </c>
      <c r="H230" s="1" t="str">
        <f>equip.xml!H234</f>
        <v>1,1001</v>
      </c>
      <c r="I230" s="1">
        <f>equip.xml!J234</f>
        <v>5</v>
      </c>
      <c r="J230" s="1">
        <f>equip.xml!K234</f>
        <v>0</v>
      </c>
      <c r="K230" s="1">
        <f>equip.xml!L234</f>
        <v>0</v>
      </c>
      <c r="L230" s="1" t="str">
        <f>equip.xml!M234</f>
        <v>105_1401_1401</v>
      </c>
      <c r="M230" s="7" t="str">
        <f>equip.xml!Q234</f>
        <v>equipment/2111.png</v>
      </c>
      <c r="N230" t="str">
        <f>equip.xml!P234</f>
        <v>10000_1002_50000,30000_30001_1,30000_30002_1,30000_30003_1</v>
      </c>
    </row>
    <row r="231" spans="1:14">
      <c r="A231" s="1" t="str">
        <f>equip.xml!A235</f>
        <v>10501061</v>
      </c>
      <c r="B231" s="1">
        <f>equip.xml!B235</f>
        <v>1</v>
      </c>
      <c r="C231" s="1" t="str">
        <f>equip.xml!C235</f>
        <v>氪金大盾</v>
      </c>
      <c r="D231" s="1" t="str">
        <f>equip.xml!D235</f>
        <v>副手武器</v>
      </c>
      <c r="E231" s="1">
        <f>equip.xml!E235</f>
        <v>6</v>
      </c>
      <c r="F231" s="1">
        <f>equip.xml!F235</f>
        <v>1</v>
      </c>
      <c r="G231" s="1">
        <f>equip.xml!G235</f>
        <v>50</v>
      </c>
      <c r="H231" s="1" t="str">
        <f>equip.xml!H235</f>
        <v>1,1001</v>
      </c>
      <c r="I231" s="1">
        <f>equip.xml!J235</f>
        <v>5</v>
      </c>
      <c r="J231" s="1">
        <f>equip.xml!K235</f>
        <v>0</v>
      </c>
      <c r="K231" s="1">
        <f>equip.xml!L235</f>
        <v>0</v>
      </c>
      <c r="L231" s="1" t="str">
        <f>equip.xml!M235</f>
        <v>105_1633_1633</v>
      </c>
      <c r="M231" s="7" t="str">
        <f>equip.xml!Q235</f>
        <v>equipment/2112.png</v>
      </c>
      <c r="N231" t="str">
        <f>equip.xml!P235</f>
        <v>10000_1002_50000,30000_30001_1,30000_30002_1,30000_30003_1</v>
      </c>
    </row>
    <row r="232" spans="1:14">
      <c r="A232" s="1" t="str">
        <f>equip.xml!A236</f>
        <v>10502050</v>
      </c>
      <c r="B232" s="1">
        <f>equip.xml!B236</f>
        <v>1</v>
      </c>
      <c r="C232" s="1" t="str">
        <f>equip.xml!C236</f>
        <v>觅心者长弓</v>
      </c>
      <c r="D232" s="1" t="str">
        <f>equip.xml!D236</f>
        <v>主手武器</v>
      </c>
      <c r="E232" s="1">
        <f>equip.xml!E236</f>
        <v>5</v>
      </c>
      <c r="F232" s="1">
        <f>equip.xml!F236</f>
        <v>1</v>
      </c>
      <c r="G232" s="1">
        <f>equip.xml!G236</f>
        <v>50</v>
      </c>
      <c r="H232" s="1" t="str">
        <f>equip.xml!H236</f>
        <v>2,1002</v>
      </c>
      <c r="I232" s="1">
        <f>equip.xml!J236</f>
        <v>5</v>
      </c>
      <c r="J232" s="1">
        <f>equip.xml!K236</f>
        <v>0</v>
      </c>
      <c r="K232" s="1">
        <f>equip.xml!L236</f>
        <v>0</v>
      </c>
      <c r="L232" s="1" t="str">
        <f>equip.xml!M236</f>
        <v>103_1097_1097,104_2194_2194</v>
      </c>
      <c r="M232" s="7" t="str">
        <f>equip.xml!Q236</f>
        <v>equipment/1218.png</v>
      </c>
      <c r="N232" t="str">
        <f>equip.xml!P236</f>
        <v>10000_1002_50000,30000_30001_1,30000_30002_1,30000_30003_1</v>
      </c>
    </row>
    <row r="233" spans="1:14">
      <c r="A233" s="1" t="str">
        <f>equip.xml!A237</f>
        <v>10502051</v>
      </c>
      <c r="B233" s="1">
        <f>equip.xml!B237</f>
        <v>1</v>
      </c>
      <c r="C233" s="1" t="str">
        <f>equip.xml!C237</f>
        <v>阳炎之弓</v>
      </c>
      <c r="D233" s="1" t="str">
        <f>equip.xml!D237</f>
        <v>主手武器</v>
      </c>
      <c r="E233" s="1">
        <f>equip.xml!E237</f>
        <v>5</v>
      </c>
      <c r="F233" s="1">
        <f>equip.xml!F237</f>
        <v>1</v>
      </c>
      <c r="G233" s="1">
        <f>equip.xml!G237</f>
        <v>50</v>
      </c>
      <c r="H233" s="1" t="str">
        <f>equip.xml!H237</f>
        <v>2,1002</v>
      </c>
      <c r="I233" s="1">
        <f>equip.xml!J237</f>
        <v>5</v>
      </c>
      <c r="J233" s="1">
        <f>equip.xml!K237</f>
        <v>0</v>
      </c>
      <c r="K233" s="1">
        <f>equip.xml!L237</f>
        <v>0</v>
      </c>
      <c r="L233" s="1" t="str">
        <f>equip.xml!M237</f>
        <v>103_1222_1222,104_2444_2444</v>
      </c>
      <c r="M233" s="7" t="str">
        <f>equip.xml!Q237</f>
        <v>equipment/1221.png</v>
      </c>
      <c r="N233" t="str">
        <f>equip.xml!P237</f>
        <v>10000_1002_50000,30000_30001_1,30000_30002_1,30000_30003_1</v>
      </c>
    </row>
    <row r="234" spans="1:14">
      <c r="A234" s="1" t="str">
        <f>equip.xml!A238</f>
        <v>10502060</v>
      </c>
      <c r="B234" s="1">
        <f>equip.xml!B238</f>
        <v>1</v>
      </c>
      <c r="C234" s="1" t="str">
        <f>equip.xml!C238</f>
        <v>黑骨箭袋</v>
      </c>
      <c r="D234" s="1" t="str">
        <f>equip.xml!D238</f>
        <v>副手武器</v>
      </c>
      <c r="E234" s="1">
        <f>equip.xml!E238</f>
        <v>6</v>
      </c>
      <c r="F234" s="1">
        <f>equip.xml!F238</f>
        <v>1</v>
      </c>
      <c r="G234" s="1">
        <f>equip.xml!G238</f>
        <v>50</v>
      </c>
      <c r="H234" s="1" t="str">
        <f>equip.xml!H238</f>
        <v>2,1002</v>
      </c>
      <c r="I234" s="1">
        <f>equip.xml!J238</f>
        <v>5</v>
      </c>
      <c r="J234" s="1">
        <f>equip.xml!K238</f>
        <v>0</v>
      </c>
      <c r="K234" s="1">
        <f>equip.xml!L238</f>
        <v>0</v>
      </c>
      <c r="L234" s="1" t="str">
        <f>equip.xml!M238</f>
        <v>108_1401_1401</v>
      </c>
      <c r="M234" s="7" t="str">
        <f>equip.xml!Q238</f>
        <v>equipment/2210.png</v>
      </c>
      <c r="N234" t="str">
        <f>equip.xml!P238</f>
        <v>10000_1002_50000,30000_30001_1,30000_30002_1,30000_30003_1</v>
      </c>
    </row>
    <row r="235" spans="1:14">
      <c r="A235" s="1" t="str">
        <f>equip.xml!A239</f>
        <v>10502061</v>
      </c>
      <c r="B235" s="1">
        <f>equip.xml!B239</f>
        <v>1</v>
      </c>
      <c r="C235" s="1" t="str">
        <f>equip.xml!C239</f>
        <v>符文箭筒</v>
      </c>
      <c r="D235" s="1" t="str">
        <f>equip.xml!D239</f>
        <v>副手武器</v>
      </c>
      <c r="E235" s="1">
        <f>equip.xml!E239</f>
        <v>6</v>
      </c>
      <c r="F235" s="1">
        <f>equip.xml!F239</f>
        <v>1</v>
      </c>
      <c r="G235" s="1">
        <f>equip.xml!G239</f>
        <v>50</v>
      </c>
      <c r="H235" s="1" t="str">
        <f>equip.xml!H239</f>
        <v>2,1002</v>
      </c>
      <c r="I235" s="1">
        <f>equip.xml!J239</f>
        <v>5</v>
      </c>
      <c r="J235" s="1">
        <f>equip.xml!K239</f>
        <v>0</v>
      </c>
      <c r="K235" s="1">
        <f>equip.xml!L239</f>
        <v>0</v>
      </c>
      <c r="L235" s="1" t="str">
        <f>equip.xml!M239</f>
        <v>108_1633_1633</v>
      </c>
      <c r="M235" s="7" t="str">
        <f>equip.xml!Q239</f>
        <v>equipment/2212.png</v>
      </c>
      <c r="N235" t="str">
        <f>equip.xml!P239</f>
        <v>10000_1002_50000,30000_30001_1,30000_30002_1,30000_30003_1</v>
      </c>
    </row>
    <row r="236" spans="1:14">
      <c r="A236" s="1" t="str">
        <f>equip.xml!A240</f>
        <v>10503050</v>
      </c>
      <c r="B236" s="1">
        <f>equip.xml!B240</f>
        <v>1</v>
      </c>
      <c r="C236" s="1" t="str">
        <f>equip.xml!C240</f>
        <v>虚灵法杖</v>
      </c>
      <c r="D236" s="1" t="str">
        <f>equip.xml!D240</f>
        <v>主手武器</v>
      </c>
      <c r="E236" s="1">
        <f>equip.xml!E240</f>
        <v>5</v>
      </c>
      <c r="F236" s="1">
        <f>equip.xml!F240</f>
        <v>1</v>
      </c>
      <c r="G236" s="1">
        <f>equip.xml!G240</f>
        <v>50</v>
      </c>
      <c r="H236" s="1" t="str">
        <f>equip.xml!H240</f>
        <v>3,1003</v>
      </c>
      <c r="I236" s="1">
        <f>equip.xml!J240</f>
        <v>5</v>
      </c>
      <c r="J236" s="1">
        <f>equip.xml!K240</f>
        <v>0</v>
      </c>
      <c r="K236" s="1">
        <f>equip.xml!L240</f>
        <v>0</v>
      </c>
      <c r="L236" s="1" t="str">
        <f>equip.xml!M240</f>
        <v>103_1097_1097,104_2194_2194</v>
      </c>
      <c r="M236" s="7" t="str">
        <f>equip.xml!Q240</f>
        <v>equipment/1319.png</v>
      </c>
      <c r="N236" t="str">
        <f>equip.xml!P240</f>
        <v>10000_1002_50000,30000_30001_1,30000_30002_1,30000_30003_1</v>
      </c>
    </row>
    <row r="237" spans="1:14">
      <c r="A237" s="1" t="str">
        <f>equip.xml!A241</f>
        <v>10503051</v>
      </c>
      <c r="B237" s="1">
        <f>equip.xml!B241</f>
        <v>1</v>
      </c>
      <c r="C237" s="1" t="str">
        <f>equip.xml!C241</f>
        <v>恒光巨杖</v>
      </c>
      <c r="D237" s="1" t="str">
        <f>equip.xml!D241</f>
        <v>主手武器</v>
      </c>
      <c r="E237" s="1">
        <f>equip.xml!E241</f>
        <v>5</v>
      </c>
      <c r="F237" s="1">
        <f>equip.xml!F241</f>
        <v>1</v>
      </c>
      <c r="G237" s="1">
        <f>equip.xml!G241</f>
        <v>50</v>
      </c>
      <c r="H237" s="1" t="str">
        <f>equip.xml!H241</f>
        <v>3,1003</v>
      </c>
      <c r="I237" s="1">
        <f>equip.xml!J241</f>
        <v>5</v>
      </c>
      <c r="J237" s="1">
        <f>equip.xml!K241</f>
        <v>0</v>
      </c>
      <c r="K237" s="1">
        <f>equip.xml!L241</f>
        <v>0</v>
      </c>
      <c r="L237" s="1" t="str">
        <f>equip.xml!M241</f>
        <v>103_1222_1222,104_2444_2444</v>
      </c>
      <c r="M237" s="7" t="str">
        <f>equip.xml!Q241</f>
        <v>equipment/1320.png</v>
      </c>
      <c r="N237" t="str">
        <f>equip.xml!P241</f>
        <v>10000_1002_50000,30000_30001_1,30000_30002_1,30000_30003_1</v>
      </c>
    </row>
    <row r="238" spans="1:14">
      <c r="A238" s="1" t="str">
        <f>equip.xml!A242</f>
        <v>10503060</v>
      </c>
      <c r="B238" s="1">
        <f>equip.xml!B242</f>
        <v>1</v>
      </c>
      <c r="C238" s="1" t="str">
        <f>equip.xml!C242</f>
        <v>幻术之书</v>
      </c>
      <c r="D238" s="1" t="str">
        <f>equip.xml!D242</f>
        <v>副手武器</v>
      </c>
      <c r="E238" s="1">
        <f>equip.xml!E242</f>
        <v>6</v>
      </c>
      <c r="F238" s="1">
        <f>equip.xml!F242</f>
        <v>1</v>
      </c>
      <c r="G238" s="1">
        <f>equip.xml!G242</f>
        <v>50</v>
      </c>
      <c r="H238" s="1" t="str">
        <f>equip.xml!H242</f>
        <v>3,1003</v>
      </c>
      <c r="I238" s="1">
        <f>equip.xml!J242</f>
        <v>5</v>
      </c>
      <c r="J238" s="1">
        <f>equip.xml!K242</f>
        <v>0</v>
      </c>
      <c r="K238" s="1">
        <f>equip.xml!L242</f>
        <v>0</v>
      </c>
      <c r="L238" s="1" t="str">
        <f>equip.xml!M242</f>
        <v>102_1440_1440</v>
      </c>
      <c r="M238" s="7" t="str">
        <f>equip.xml!Q242</f>
        <v>equipment/2311.png</v>
      </c>
      <c r="N238" t="str">
        <f>equip.xml!P242</f>
        <v>10000_1002_50000,30000_30001_1,30000_30002_1,30000_30003_1</v>
      </c>
    </row>
    <row r="239" spans="1:14">
      <c r="A239" s="1" t="str">
        <f>equip.xml!A243</f>
        <v>10503061</v>
      </c>
      <c r="B239" s="1">
        <f>equip.xml!B243</f>
        <v>1</v>
      </c>
      <c r="C239" s="1" t="str">
        <f>equip.xml!C243</f>
        <v>护咒之书</v>
      </c>
      <c r="D239" s="1" t="str">
        <f>equip.xml!D243</f>
        <v>副手武器</v>
      </c>
      <c r="E239" s="1">
        <f>equip.xml!E243</f>
        <v>6</v>
      </c>
      <c r="F239" s="1">
        <f>equip.xml!F243</f>
        <v>1</v>
      </c>
      <c r="G239" s="1">
        <f>equip.xml!G243</f>
        <v>50</v>
      </c>
      <c r="H239" s="1" t="str">
        <f>equip.xml!H243</f>
        <v>3,1003</v>
      </c>
      <c r="I239" s="1">
        <f>equip.xml!J243</f>
        <v>5</v>
      </c>
      <c r="J239" s="1">
        <f>equip.xml!K243</f>
        <v>0</v>
      </c>
      <c r="K239" s="1">
        <f>equip.xml!L243</f>
        <v>0</v>
      </c>
      <c r="L239" s="1" t="str">
        <f>equip.xml!M243</f>
        <v>102_1633_1633</v>
      </c>
      <c r="M239" s="7" t="str">
        <f>equip.xml!Q243</f>
        <v>equipment/2312.png</v>
      </c>
      <c r="N239" t="str">
        <f>equip.xml!P243</f>
        <v>10000_1002_50000,30000_30001_1,30000_30002_1,30000_30003_1</v>
      </c>
    </row>
    <row r="240" spans="1:14">
      <c r="A240" s="1" t="str">
        <f>equip.xml!A244</f>
        <v>10500040</v>
      </c>
      <c r="B240" s="1">
        <f>equip.xml!B244</f>
        <v>0</v>
      </c>
      <c r="C240" s="1" t="str">
        <f>equip.xml!C244</f>
        <v>新兵外套</v>
      </c>
      <c r="D240" s="1" t="str">
        <f>equip.xml!D244</f>
        <v>胸甲</v>
      </c>
      <c r="E240" s="1">
        <f>equip.xml!E244</f>
        <v>4</v>
      </c>
      <c r="F240" s="1">
        <f>equip.xml!F244</f>
        <v>1</v>
      </c>
      <c r="G240" s="1">
        <f>equip.xml!G244</f>
        <v>50</v>
      </c>
      <c r="H240" s="1">
        <f>equip.xml!H244</f>
        <v>0</v>
      </c>
      <c r="I240" s="1">
        <f>equip.xml!J244</f>
        <v>5</v>
      </c>
      <c r="J240" s="1">
        <f>equip.xml!K244</f>
        <v>0</v>
      </c>
      <c r="K240" s="1">
        <f>equip.xml!L244</f>
        <v>0</v>
      </c>
      <c r="L240" s="1" t="str">
        <f>equip.xml!M244</f>
        <v>105_780_780</v>
      </c>
      <c r="M240" s="7" t="str">
        <f>equip.xml!Q244</f>
        <v>equipment/5001.png</v>
      </c>
      <c r="N240" t="str">
        <f>equip.xml!P244</f>
        <v>10000_1002_50000,30000_30001_1,30000_30002_1,30000_30003_1</v>
      </c>
    </row>
    <row r="241" spans="1:14">
      <c r="A241" s="1" t="str">
        <f>equip.xml!A245</f>
        <v>10500041</v>
      </c>
      <c r="B241" s="1">
        <f>equip.xml!B245</f>
        <v>0</v>
      </c>
      <c r="C241" s="1" t="str">
        <f>equip.xml!C245</f>
        <v>新兵外套</v>
      </c>
      <c r="D241" s="1" t="str">
        <f>equip.xml!D245</f>
        <v>胸甲</v>
      </c>
      <c r="E241" s="1">
        <f>equip.xml!E245</f>
        <v>4</v>
      </c>
      <c r="F241" s="1">
        <f>equip.xml!F245</f>
        <v>1</v>
      </c>
      <c r="G241" s="1">
        <f>equip.xml!G245</f>
        <v>50</v>
      </c>
      <c r="H241" s="1">
        <f>equip.xml!H245</f>
        <v>0</v>
      </c>
      <c r="I241" s="1">
        <f>equip.xml!J245</f>
        <v>5</v>
      </c>
      <c r="J241" s="1">
        <f>equip.xml!K245</f>
        <v>0</v>
      </c>
      <c r="K241" s="1">
        <f>equip.xml!L245</f>
        <v>0</v>
      </c>
      <c r="L241" s="1" t="str">
        <f>equip.xml!M245</f>
        <v>105_929_929</v>
      </c>
      <c r="M241" s="7" t="str">
        <f>equip.xml!Q245</f>
        <v>equipment/5001.png</v>
      </c>
      <c r="N241" t="str">
        <f>equip.xml!P245</f>
        <v>10000_1002_50000,30000_30001_1,30000_30002_1,30000_30003_1</v>
      </c>
    </row>
    <row r="242" spans="1:14">
      <c r="A242" s="1" t="str">
        <f>equip.xml!A246</f>
        <v>10500070</v>
      </c>
      <c r="B242" s="1">
        <f>equip.xml!B246</f>
        <v>1</v>
      </c>
      <c r="C242" s="1" t="str">
        <f>equip.xml!C246</f>
        <v>凯旋腿甲</v>
      </c>
      <c r="D242" s="1" t="str">
        <f>equip.xml!D246</f>
        <v>护腿</v>
      </c>
      <c r="E242" s="1">
        <f>equip.xml!E246</f>
        <v>7</v>
      </c>
      <c r="F242" s="1">
        <f>equip.xml!F246</f>
        <v>1</v>
      </c>
      <c r="G242" s="1">
        <f>equip.xml!G246</f>
        <v>50</v>
      </c>
      <c r="H242" s="1">
        <f>equip.xml!H246</f>
        <v>0</v>
      </c>
      <c r="I242" s="1">
        <f>equip.xml!J246</f>
        <v>5</v>
      </c>
      <c r="J242" s="1">
        <f>equip.xml!K246</f>
        <v>0</v>
      </c>
      <c r="K242" s="1">
        <f>equip.xml!L246</f>
        <v>0</v>
      </c>
      <c r="L242" s="1" t="str">
        <f>equip.xml!M246</f>
        <v>105_628_628</v>
      </c>
      <c r="M242" s="7" t="str">
        <f>equip.xml!Q246</f>
        <v>equipment/7012.png</v>
      </c>
      <c r="N242" t="str">
        <f>equip.xml!P246</f>
        <v>10000_1002_50000,30000_30001_1,30000_30002_1,30000_30003_1</v>
      </c>
    </row>
    <row r="243" spans="1:14">
      <c r="A243" s="1" t="str">
        <f>equip.xml!A247</f>
        <v>10500071</v>
      </c>
      <c r="B243" s="1">
        <f>equip.xml!B247</f>
        <v>0</v>
      </c>
      <c r="C243" s="1" t="str">
        <f>equip.xml!C247</f>
        <v>学徒短裤</v>
      </c>
      <c r="D243" s="1" t="str">
        <f>equip.xml!D247</f>
        <v>护腿</v>
      </c>
      <c r="E243" s="1">
        <f>equip.xml!E247</f>
        <v>7</v>
      </c>
      <c r="F243" s="1">
        <f>equip.xml!F247</f>
        <v>1</v>
      </c>
      <c r="G243" s="1">
        <f>equip.xml!G247</f>
        <v>50</v>
      </c>
      <c r="H243" s="1">
        <f>equip.xml!H247</f>
        <v>0</v>
      </c>
      <c r="I243" s="1">
        <f>equip.xml!J247</f>
        <v>5</v>
      </c>
      <c r="J243" s="1">
        <f>equip.xml!K247</f>
        <v>0</v>
      </c>
      <c r="K243" s="1">
        <f>equip.xml!L247</f>
        <v>0</v>
      </c>
      <c r="L243" s="1" t="str">
        <f>equip.xml!M247</f>
        <v>105_689_689</v>
      </c>
      <c r="M243" s="7" t="str">
        <f>equip.xml!Q247</f>
        <v>equipment/7001.png</v>
      </c>
      <c r="N243" t="str">
        <f>equip.xml!P247</f>
        <v>10000_1002_50000,30000_30001_1,30000_30002_1,30000_30003_1</v>
      </c>
    </row>
    <row r="244" spans="1:14">
      <c r="A244" s="1" t="str">
        <f>equip.xml!A248</f>
        <v>10550010</v>
      </c>
      <c r="B244" s="1">
        <f>equip.xml!B248</f>
        <v>1</v>
      </c>
      <c r="C244" s="1" t="str">
        <f>equip.xml!C248</f>
        <v>银月头盔</v>
      </c>
      <c r="D244" s="1" t="str">
        <f>equip.xml!D248</f>
        <v>头盔</v>
      </c>
      <c r="E244" s="1">
        <f>equip.xml!E248</f>
        <v>1</v>
      </c>
      <c r="F244" s="1">
        <f>equip.xml!F248</f>
        <v>1</v>
      </c>
      <c r="G244" s="1">
        <f>equip.xml!G248</f>
        <v>55</v>
      </c>
      <c r="H244" s="1">
        <f>equip.xml!H248</f>
        <v>0</v>
      </c>
      <c r="I244" s="1">
        <f>equip.xml!J248</f>
        <v>5</v>
      </c>
      <c r="J244" s="1">
        <f>equip.xml!K248</f>
        <v>0</v>
      </c>
      <c r="K244" s="1">
        <f>equip.xml!L248</f>
        <v>0</v>
      </c>
      <c r="L244" s="1" t="str">
        <f>equip.xml!M248</f>
        <v>106_1291_1291</v>
      </c>
      <c r="M244" s="7" t="str">
        <f>equip.xml!Q248</f>
        <v>equipment/3009.png</v>
      </c>
      <c r="N244" t="str">
        <f>equip.xml!P248</f>
        <v>10000_1002_55000,30000_30001_1,30000_30002_1,30000_30003_1</v>
      </c>
    </row>
    <row r="245" spans="1:14">
      <c r="A245" s="1" t="str">
        <f>equip.xml!A249</f>
        <v>10550020</v>
      </c>
      <c r="B245" s="1">
        <f>equip.xml!B249</f>
        <v>1</v>
      </c>
      <c r="C245" s="1" t="str">
        <f>equip.xml!C249</f>
        <v>镇魂之戒</v>
      </c>
      <c r="D245" s="1" t="str">
        <f>equip.xml!D249</f>
        <v>戒指</v>
      </c>
      <c r="E245" s="1">
        <f>equip.xml!E249</f>
        <v>2</v>
      </c>
      <c r="F245" s="1">
        <f>equip.xml!F249</f>
        <v>1</v>
      </c>
      <c r="G245" s="1">
        <f>equip.xml!G249</f>
        <v>55</v>
      </c>
      <c r="H245" s="1">
        <f>equip.xml!H249</f>
        <v>0</v>
      </c>
      <c r="I245" s="1">
        <f>equip.xml!J249</f>
        <v>5</v>
      </c>
      <c r="J245" s="1">
        <f>equip.xml!K249</f>
        <v>0</v>
      </c>
      <c r="K245" s="1">
        <f>equip.xml!L249</f>
        <v>0</v>
      </c>
      <c r="L245" s="1" t="str">
        <f>equip.xml!M249</f>
        <v>102_1080_1080</v>
      </c>
      <c r="M245" s="7" t="str">
        <f>equip.xml!Q249</f>
        <v>equipment/14009.png</v>
      </c>
      <c r="N245" t="str">
        <f>equip.xml!P249</f>
        <v>10000_1002_55000,30000_30001_1,30000_30002_1,30000_30003_1</v>
      </c>
    </row>
    <row r="246" spans="1:14">
      <c r="A246" s="1" t="str">
        <f>equip.xml!A250</f>
        <v>10550030</v>
      </c>
      <c r="B246" s="1">
        <f>equip.xml!B250</f>
        <v>0</v>
      </c>
      <c r="C246" s="1" t="str">
        <f>equip.xml!C250</f>
        <v>魔鳞腰带</v>
      </c>
      <c r="D246" s="1" t="str">
        <f>equip.xml!D250</f>
        <v>腰带</v>
      </c>
      <c r="E246" s="1">
        <f>equip.xml!E250</f>
        <v>3</v>
      </c>
      <c r="F246" s="1">
        <f>equip.xml!F250</f>
        <v>1</v>
      </c>
      <c r="G246" s="1">
        <f>equip.xml!G250</f>
        <v>55</v>
      </c>
      <c r="H246" s="1">
        <f>equip.xml!H250</f>
        <v>0</v>
      </c>
      <c r="I246" s="1">
        <f>equip.xml!J250</f>
        <v>5</v>
      </c>
      <c r="J246" s="1">
        <f>equip.xml!K250</f>
        <v>0</v>
      </c>
      <c r="K246" s="1">
        <f>equip.xml!L250</f>
        <v>0</v>
      </c>
      <c r="L246" s="1" t="str">
        <f>equip.xml!M250</f>
        <v>101_13920_13920</v>
      </c>
      <c r="M246" s="7" t="str">
        <f>equip.xml!Q250</f>
        <v>equipment/6001.png</v>
      </c>
      <c r="N246" t="str">
        <f>equip.xml!P250</f>
        <v>10000_1002_55000,30000_30001_1,30000_30002_1,30000_30003_1</v>
      </c>
    </row>
    <row r="247" spans="1:14">
      <c r="A247" s="1" t="str">
        <f>equip.xml!A251</f>
        <v>10550080</v>
      </c>
      <c r="B247" s="1">
        <f>equip.xml!B251</f>
        <v>1</v>
      </c>
      <c r="C247" s="1" t="str">
        <f>equip.xml!C251</f>
        <v>天行者之靴</v>
      </c>
      <c r="D247" s="1" t="str">
        <f>equip.xml!D251</f>
        <v>鞋子</v>
      </c>
      <c r="E247" s="1">
        <f>equip.xml!E251</f>
        <v>8</v>
      </c>
      <c r="F247" s="1">
        <f>equip.xml!F251</f>
        <v>1</v>
      </c>
      <c r="G247" s="1">
        <f>equip.xml!G251</f>
        <v>55</v>
      </c>
      <c r="H247" s="1">
        <f>equip.xml!H251</f>
        <v>0</v>
      </c>
      <c r="I247" s="1">
        <f>equip.xml!J251</f>
        <v>5</v>
      </c>
      <c r="J247" s="1">
        <f>equip.xml!K251</f>
        <v>0</v>
      </c>
      <c r="K247" s="1">
        <f>equip.xml!L251</f>
        <v>0</v>
      </c>
      <c r="L247" s="1" t="str">
        <f>equip.xml!M251</f>
        <v>110_219_219</v>
      </c>
      <c r="M247" s="7" t="str">
        <f>equip.xml!Q251</f>
        <v>equipment/8009.png</v>
      </c>
      <c r="N247" t="str">
        <f>equip.xml!P251</f>
        <v>10000_1002_55000,30000_30001_1,30000_30002_1,30000_30003_1</v>
      </c>
    </row>
    <row r="248" spans="1:14">
      <c r="A248" s="1" t="str">
        <f>equip.xml!A252</f>
        <v>10550090</v>
      </c>
      <c r="B248" s="1">
        <f>equip.xml!B252</f>
        <v>0</v>
      </c>
      <c r="C248" s="1" t="str">
        <f>equip.xml!C252</f>
        <v>轻布手套</v>
      </c>
      <c r="D248" s="1" t="str">
        <f>equip.xml!D252</f>
        <v>手套</v>
      </c>
      <c r="E248" s="1">
        <f>equip.xml!E252</f>
        <v>9</v>
      </c>
      <c r="F248" s="1">
        <f>equip.xml!F252</f>
        <v>1</v>
      </c>
      <c r="G248" s="1">
        <f>equip.xml!G252</f>
        <v>55</v>
      </c>
      <c r="H248" s="1">
        <f>equip.xml!H252</f>
        <v>0</v>
      </c>
      <c r="I248" s="1">
        <f>equip.xml!J252</f>
        <v>5</v>
      </c>
      <c r="J248" s="1">
        <f>equip.xml!K252</f>
        <v>0</v>
      </c>
      <c r="K248" s="1">
        <f>equip.xml!L252</f>
        <v>0</v>
      </c>
      <c r="L248" s="1" t="str">
        <f>equip.xml!M252</f>
        <v>108_1726_1726</v>
      </c>
      <c r="M248" s="7" t="str">
        <f>equip.xml!Q252</f>
        <v>equipment/10001.png</v>
      </c>
      <c r="N248" t="str">
        <f>equip.xml!P252</f>
        <v>10000_1002_55000,30000_30001_1,30000_30002_1,30000_30003_1</v>
      </c>
    </row>
    <row r="249" spans="1:14">
      <c r="A249" s="1" t="str">
        <f>equip.xml!A253</f>
        <v>10550100</v>
      </c>
      <c r="B249" s="1">
        <f>equip.xml!B253</f>
        <v>1</v>
      </c>
      <c r="C249" s="1" t="str">
        <f>equip.xml!C253</f>
        <v>遗忘石坠</v>
      </c>
      <c r="D249" s="1" t="str">
        <f>equip.xml!D253</f>
        <v>项链</v>
      </c>
      <c r="E249" s="1">
        <f>equip.xml!E253</f>
        <v>10</v>
      </c>
      <c r="F249" s="1">
        <f>equip.xml!F253</f>
        <v>1</v>
      </c>
      <c r="G249" s="1">
        <f>equip.xml!G253</f>
        <v>55</v>
      </c>
      <c r="H249" s="1">
        <f>equip.xml!H253</f>
        <v>0</v>
      </c>
      <c r="I249" s="1">
        <f>equip.xml!J253</f>
        <v>5</v>
      </c>
      <c r="J249" s="1">
        <f>equip.xml!K253</f>
        <v>0</v>
      </c>
      <c r="K249" s="1">
        <f>equip.xml!L253</f>
        <v>0</v>
      </c>
      <c r="L249" s="1" t="str">
        <f>equip.xml!M253</f>
        <v>107_1291_1291</v>
      </c>
      <c r="M249" s="7" t="str">
        <f>equip.xml!Q253</f>
        <v>equipment/12009.png</v>
      </c>
      <c r="N249" t="str">
        <f>equip.xml!P253</f>
        <v>10000_1002_55000,30000_30001_1,30000_30002_1,30000_30003_1</v>
      </c>
    </row>
    <row r="250" spans="1:14">
      <c r="A250" s="1" t="str">
        <f>equip.xml!A254</f>
        <v>10551050</v>
      </c>
      <c r="B250" s="1">
        <f>equip.xml!B254</f>
        <v>1</v>
      </c>
      <c r="C250" s="1" t="str">
        <f>equip.xml!C254</f>
        <v>噬魂符剑</v>
      </c>
      <c r="D250" s="1" t="str">
        <f>equip.xml!D254</f>
        <v>主手武器</v>
      </c>
      <c r="E250" s="1">
        <f>equip.xml!E254</f>
        <v>5</v>
      </c>
      <c r="F250" s="1">
        <f>equip.xml!F254</f>
        <v>1</v>
      </c>
      <c r="G250" s="1">
        <f>equip.xml!G254</f>
        <v>55</v>
      </c>
      <c r="H250" s="1" t="str">
        <f>equip.xml!H254</f>
        <v>1,1001</v>
      </c>
      <c r="I250" s="1">
        <f>equip.xml!J254</f>
        <v>5</v>
      </c>
      <c r="J250" s="1">
        <f>equip.xml!K254</f>
        <v>0</v>
      </c>
      <c r="K250" s="1">
        <f>equip.xml!L254</f>
        <v>0</v>
      </c>
      <c r="L250" s="1" t="str">
        <f>equip.xml!M254</f>
        <v>103_1409_1409,104_2818_2818</v>
      </c>
      <c r="M250" s="7" t="str">
        <f>equip.xml!Q254</f>
        <v>equipment/1121.png</v>
      </c>
      <c r="N250" t="str">
        <f>equip.xml!P254</f>
        <v>10000_1002_55000,30000_30001_1,30000_30002_1,30000_30003_1</v>
      </c>
    </row>
    <row r="251" spans="1:14">
      <c r="A251" s="1" t="str">
        <f>equip.xml!A255</f>
        <v>10551051</v>
      </c>
      <c r="B251" s="1">
        <f>equip.xml!B255</f>
        <v>0</v>
      </c>
      <c r="C251" s="1" t="str">
        <f>equip.xml!C255</f>
        <v>军刀</v>
      </c>
      <c r="D251" s="1" t="str">
        <f>equip.xml!D255</f>
        <v>主手武器</v>
      </c>
      <c r="E251" s="1">
        <f>equip.xml!E255</f>
        <v>5</v>
      </c>
      <c r="F251" s="1">
        <f>equip.xml!F255</f>
        <v>1</v>
      </c>
      <c r="G251" s="1">
        <f>equip.xml!G255</f>
        <v>55</v>
      </c>
      <c r="H251" s="1" t="str">
        <f>equip.xml!H255</f>
        <v>1,1001</v>
      </c>
      <c r="I251" s="1">
        <f>equip.xml!J255</f>
        <v>5</v>
      </c>
      <c r="J251" s="1">
        <f>equip.xml!K255</f>
        <v>0</v>
      </c>
      <c r="K251" s="1">
        <f>equip.xml!L255</f>
        <v>0</v>
      </c>
      <c r="L251" s="1" t="str">
        <f>equip.xml!M255</f>
        <v>103_1648_1648,104_3296_3296</v>
      </c>
      <c r="M251" s="7" t="str">
        <f>equip.xml!Q255</f>
        <v>equipment/1101.png</v>
      </c>
      <c r="N251" t="str">
        <f>equip.xml!P255</f>
        <v>10000_1002_55000,30000_30001_1,30000_30002_1,30000_30003_1</v>
      </c>
    </row>
    <row r="252" spans="1:14">
      <c r="A252" s="1" t="str">
        <f>equip.xml!A256</f>
        <v>10551060</v>
      </c>
      <c r="B252" s="1">
        <f>equip.xml!B256</f>
        <v>1</v>
      </c>
      <c r="C252" s="1" t="str">
        <f>equip.xml!C256</f>
        <v>反射壁垒</v>
      </c>
      <c r="D252" s="1" t="str">
        <f>equip.xml!D256</f>
        <v>副手武器</v>
      </c>
      <c r="E252" s="1">
        <f>equip.xml!E256</f>
        <v>6</v>
      </c>
      <c r="F252" s="1">
        <f>equip.xml!F256</f>
        <v>1</v>
      </c>
      <c r="G252" s="1">
        <f>equip.xml!G256</f>
        <v>55</v>
      </c>
      <c r="H252" s="1" t="str">
        <f>equip.xml!H256</f>
        <v>1,1001</v>
      </c>
      <c r="I252" s="1">
        <f>equip.xml!J256</f>
        <v>5</v>
      </c>
      <c r="J252" s="1">
        <f>equip.xml!K256</f>
        <v>0</v>
      </c>
      <c r="K252" s="1">
        <f>equip.xml!L256</f>
        <v>0</v>
      </c>
      <c r="L252" s="1" t="str">
        <f>equip.xml!M256</f>
        <v>105_1981_1981</v>
      </c>
      <c r="M252" s="7" t="str">
        <f>equip.xml!Q256</f>
        <v>equipment/2113.png</v>
      </c>
      <c r="N252" t="str">
        <f>equip.xml!P256</f>
        <v>10000_1002_55000,30000_30001_1,30000_30002_1,30000_30003_1</v>
      </c>
    </row>
    <row r="253" spans="1:14">
      <c r="A253" s="1" t="str">
        <f>equip.xml!A257</f>
        <v>10551061</v>
      </c>
      <c r="B253" s="1">
        <f>equip.xml!B257</f>
        <v>1</v>
      </c>
      <c r="C253" s="1" t="str">
        <f>equip.xml!C257</f>
        <v>巨龙之盾</v>
      </c>
      <c r="D253" s="1" t="str">
        <f>equip.xml!D257</f>
        <v>副手武器</v>
      </c>
      <c r="E253" s="1">
        <f>equip.xml!E257</f>
        <v>6</v>
      </c>
      <c r="F253" s="1">
        <f>equip.xml!F257</f>
        <v>1</v>
      </c>
      <c r="G253" s="1">
        <f>equip.xml!G257</f>
        <v>55</v>
      </c>
      <c r="H253" s="1" t="str">
        <f>equip.xml!H257</f>
        <v>1,1001</v>
      </c>
      <c r="I253" s="1">
        <f>equip.xml!J257</f>
        <v>5</v>
      </c>
      <c r="J253" s="1">
        <f>equip.xml!K257</f>
        <v>0</v>
      </c>
      <c r="K253" s="1">
        <f>equip.xml!L257</f>
        <v>0</v>
      </c>
      <c r="L253" s="1" t="str">
        <f>equip.xml!M257</f>
        <v>105_2195_2195</v>
      </c>
      <c r="M253" s="7" t="str">
        <f>equip.xml!Q257</f>
        <v>equipment/2114.png</v>
      </c>
      <c r="N253" t="str">
        <f>equip.xml!P257</f>
        <v>10000_1002_55000,30000_30001_1,30000_30002_1,30000_30003_1</v>
      </c>
    </row>
    <row r="254" spans="1:14">
      <c r="A254" s="1" t="str">
        <f>equip.xml!A258</f>
        <v>10552050</v>
      </c>
      <c r="B254" s="1">
        <f>equip.xml!B258</f>
        <v>1</v>
      </c>
      <c r="C254" s="1" t="str">
        <f>equip.xml!C258</f>
        <v>魂击长弓</v>
      </c>
      <c r="D254" s="1" t="str">
        <f>equip.xml!D258</f>
        <v>主手武器</v>
      </c>
      <c r="E254" s="1">
        <f>equip.xml!E258</f>
        <v>5</v>
      </c>
      <c r="F254" s="1">
        <f>equip.xml!F258</f>
        <v>1</v>
      </c>
      <c r="G254" s="1">
        <f>equip.xml!G258</f>
        <v>55</v>
      </c>
      <c r="H254" s="1" t="str">
        <f>equip.xml!H258</f>
        <v>2,1002</v>
      </c>
      <c r="I254" s="1">
        <f>equip.xml!J258</f>
        <v>5</v>
      </c>
      <c r="J254" s="1">
        <f>equip.xml!K258</f>
        <v>0</v>
      </c>
      <c r="K254" s="1">
        <f>equip.xml!L258</f>
        <v>0</v>
      </c>
      <c r="L254" s="1" t="str">
        <f>equip.xml!M258</f>
        <v>103_1409_1409,104_2818_2818</v>
      </c>
      <c r="M254" s="7" t="str">
        <f>equip.xml!Q258</f>
        <v>equipment/1218.png</v>
      </c>
      <c r="N254" t="str">
        <f>equip.xml!P258</f>
        <v>10000_1002_55000,30000_30001_1,30000_30002_1,30000_30003_1</v>
      </c>
    </row>
    <row r="255" spans="1:14">
      <c r="A255" s="1" t="str">
        <f>equip.xml!A259</f>
        <v>10552051</v>
      </c>
      <c r="B255" s="1">
        <f>equip.xml!B259</f>
        <v>0</v>
      </c>
      <c r="C255" s="1" t="str">
        <f>equip.xml!C259</f>
        <v>棘木弓</v>
      </c>
      <c r="D255" s="1" t="str">
        <f>equip.xml!D259</f>
        <v>主手武器</v>
      </c>
      <c r="E255" s="1">
        <f>equip.xml!E259</f>
        <v>5</v>
      </c>
      <c r="F255" s="1">
        <f>equip.xml!F259</f>
        <v>1</v>
      </c>
      <c r="G255" s="1">
        <f>equip.xml!G259</f>
        <v>55</v>
      </c>
      <c r="H255" s="1" t="str">
        <f>equip.xml!H259</f>
        <v>2,1002</v>
      </c>
      <c r="I255" s="1">
        <f>equip.xml!J259</f>
        <v>5</v>
      </c>
      <c r="J255" s="1">
        <f>equip.xml!K259</f>
        <v>0</v>
      </c>
      <c r="K255" s="1">
        <f>equip.xml!L259</f>
        <v>0</v>
      </c>
      <c r="L255" s="1" t="str">
        <f>equip.xml!M259</f>
        <v>103_1648_1648,104_3296_3296</v>
      </c>
      <c r="M255" s="7" t="str">
        <f>equip.xml!Q259</f>
        <v>equipment/1201.png</v>
      </c>
      <c r="N255" t="str">
        <f>equip.xml!P259</f>
        <v>10000_1002_55000,30000_30001_1,30000_30002_1,30000_30003_1</v>
      </c>
    </row>
    <row r="256" spans="1:14">
      <c r="A256" s="1" t="str">
        <f>equip.xml!A260</f>
        <v>10552060</v>
      </c>
      <c r="B256" s="1">
        <f>equip.xml!B260</f>
        <v>1</v>
      </c>
      <c r="C256" s="1" t="str">
        <f>equip.xml!C260</f>
        <v>银矢箭筒</v>
      </c>
      <c r="D256" s="1" t="str">
        <f>equip.xml!D260</f>
        <v>副手武器</v>
      </c>
      <c r="E256" s="1">
        <f>equip.xml!E260</f>
        <v>6</v>
      </c>
      <c r="F256" s="1">
        <f>equip.xml!F260</f>
        <v>1</v>
      </c>
      <c r="G256" s="1">
        <f>equip.xml!G260</f>
        <v>55</v>
      </c>
      <c r="H256" s="1" t="str">
        <f>equip.xml!H260</f>
        <v>2,1002</v>
      </c>
      <c r="I256" s="1">
        <f>equip.xml!J260</f>
        <v>5</v>
      </c>
      <c r="J256" s="1">
        <f>equip.xml!K260</f>
        <v>0</v>
      </c>
      <c r="K256" s="1">
        <f>equip.xml!L260</f>
        <v>0</v>
      </c>
      <c r="L256" s="1" t="str">
        <f>equip.xml!M260</f>
        <v>108_1981_1981</v>
      </c>
      <c r="M256" s="7" t="str">
        <f>equip.xml!Q260</f>
        <v>equipment/2213.png</v>
      </c>
      <c r="N256" t="str">
        <f>equip.xml!P260</f>
        <v>10000_1002_55000,30000_30001_1,30000_30002_1,30000_30003_1</v>
      </c>
    </row>
    <row r="257" spans="1:14">
      <c r="A257" s="1" t="str">
        <f>equip.xml!A261</f>
        <v>10552061</v>
      </c>
      <c r="B257" s="1">
        <f>equip.xml!B261</f>
        <v>1</v>
      </c>
      <c r="C257" s="1" t="str">
        <f>equip.xml!C261</f>
        <v>日怒箭筒</v>
      </c>
      <c r="D257" s="1" t="str">
        <f>equip.xml!D261</f>
        <v>副手武器</v>
      </c>
      <c r="E257" s="1">
        <f>equip.xml!E261</f>
        <v>6</v>
      </c>
      <c r="F257" s="1">
        <f>equip.xml!F261</f>
        <v>1</v>
      </c>
      <c r="G257" s="1">
        <f>equip.xml!G261</f>
        <v>55</v>
      </c>
      <c r="H257" s="1" t="str">
        <f>equip.xml!H261</f>
        <v>2,1002</v>
      </c>
      <c r="I257" s="1">
        <f>equip.xml!J261</f>
        <v>5</v>
      </c>
      <c r="J257" s="1">
        <f>equip.xml!K261</f>
        <v>0</v>
      </c>
      <c r="K257" s="1">
        <f>equip.xml!L261</f>
        <v>0</v>
      </c>
      <c r="L257" s="1" t="str">
        <f>equip.xml!M261</f>
        <v>108_2195_2195</v>
      </c>
      <c r="M257" s="7" t="str">
        <f>equip.xml!Q261</f>
        <v>equipment/2214.png</v>
      </c>
      <c r="N257" t="str">
        <f>equip.xml!P261</f>
        <v>10000_1002_55000,30000_30001_1,30000_30002_1,30000_30003_1</v>
      </c>
    </row>
    <row r="258" spans="1:14">
      <c r="A258" s="1" t="str">
        <f>equip.xml!A262</f>
        <v>10553050</v>
      </c>
      <c r="B258" s="1">
        <f>equip.xml!B262</f>
        <v>1</v>
      </c>
      <c r="C258" s="1" t="str">
        <f>equip.xml!C262</f>
        <v>寒霜之怒</v>
      </c>
      <c r="D258" s="1" t="str">
        <f>equip.xml!D262</f>
        <v>主手武器</v>
      </c>
      <c r="E258" s="1">
        <f>equip.xml!E262</f>
        <v>5</v>
      </c>
      <c r="F258" s="1">
        <f>equip.xml!F262</f>
        <v>1</v>
      </c>
      <c r="G258" s="1">
        <f>equip.xml!G262</f>
        <v>55</v>
      </c>
      <c r="H258" s="1" t="str">
        <f>equip.xml!H262</f>
        <v>3,1003</v>
      </c>
      <c r="I258" s="1">
        <f>equip.xml!J262</f>
        <v>5</v>
      </c>
      <c r="J258" s="1">
        <f>equip.xml!K262</f>
        <v>0</v>
      </c>
      <c r="K258" s="1">
        <f>equip.xml!L262</f>
        <v>0</v>
      </c>
      <c r="L258" s="1" t="str">
        <f>equip.xml!M262</f>
        <v>103_1409_1409,104_2818_2818</v>
      </c>
      <c r="M258" s="7" t="str">
        <f>equip.xml!Q262</f>
        <v>equipment/1321.png</v>
      </c>
      <c r="N258" t="str">
        <f>equip.xml!P262</f>
        <v>10000_1002_55000,30000_30001_1,30000_30002_1,30000_30003_1</v>
      </c>
    </row>
    <row r="259" spans="1:14">
      <c r="A259" s="1" t="str">
        <f>equip.xml!A263</f>
        <v>10553051</v>
      </c>
      <c r="B259" s="1">
        <f>equip.xml!B263</f>
        <v>0</v>
      </c>
      <c r="C259" s="1" t="str">
        <f>equip.xml!C263</f>
        <v>学徒法杖</v>
      </c>
      <c r="D259" s="1" t="str">
        <f>equip.xml!D263</f>
        <v>主手武器</v>
      </c>
      <c r="E259" s="1">
        <f>equip.xml!E263</f>
        <v>5</v>
      </c>
      <c r="F259" s="1">
        <f>equip.xml!F263</f>
        <v>1</v>
      </c>
      <c r="G259" s="1">
        <f>equip.xml!G263</f>
        <v>55</v>
      </c>
      <c r="H259" s="1" t="str">
        <f>equip.xml!H263</f>
        <v>3,1003</v>
      </c>
      <c r="I259" s="1">
        <f>equip.xml!J263</f>
        <v>5</v>
      </c>
      <c r="J259" s="1">
        <f>equip.xml!K263</f>
        <v>0</v>
      </c>
      <c r="K259" s="1">
        <f>equip.xml!L263</f>
        <v>0</v>
      </c>
      <c r="L259" s="1" t="str">
        <f>equip.xml!M263</f>
        <v>103_1648_1648,104_3296_3296</v>
      </c>
      <c r="M259" s="7" t="str">
        <f>equip.xml!Q263</f>
        <v>equipment/1301.png</v>
      </c>
      <c r="N259" t="str">
        <f>equip.xml!P263</f>
        <v>10000_1002_55000,30000_30001_1,30000_30002_1,30000_30003_1</v>
      </c>
    </row>
    <row r="260" spans="1:14">
      <c r="A260" s="1" t="str">
        <f>equip.xml!A264</f>
        <v>10553060</v>
      </c>
      <c r="B260" s="1">
        <f>equip.xml!B264</f>
        <v>1</v>
      </c>
      <c r="C260" s="1" t="str">
        <f>equip.xml!C264</f>
        <v>遗忘魔典</v>
      </c>
      <c r="D260" s="1" t="str">
        <f>equip.xml!D264</f>
        <v>副手武器</v>
      </c>
      <c r="E260" s="1">
        <f>equip.xml!E264</f>
        <v>6</v>
      </c>
      <c r="F260" s="1">
        <f>equip.xml!F264</f>
        <v>1</v>
      </c>
      <c r="G260" s="1">
        <f>equip.xml!G264</f>
        <v>55</v>
      </c>
      <c r="H260" s="1" t="str">
        <f>equip.xml!H264</f>
        <v>3,1003</v>
      </c>
      <c r="I260" s="1">
        <f>equip.xml!J264</f>
        <v>5</v>
      </c>
      <c r="J260" s="1">
        <f>equip.xml!K264</f>
        <v>0</v>
      </c>
      <c r="K260" s="1">
        <f>equip.xml!L264</f>
        <v>0</v>
      </c>
      <c r="L260" s="1" t="str">
        <f>equip.xml!M264</f>
        <v>102_1780_1780</v>
      </c>
      <c r="M260" s="7" t="str">
        <f>equip.xml!Q264</f>
        <v>equipment/2313.png</v>
      </c>
      <c r="N260" t="str">
        <f>equip.xml!P264</f>
        <v>10000_1002_55000,30000_30001_1,30000_30002_1,30000_30003_1</v>
      </c>
    </row>
    <row r="261" spans="1:14">
      <c r="A261" s="1" t="str">
        <f>equip.xml!A265</f>
        <v>10553061</v>
      </c>
      <c r="B261" s="1">
        <f>equip.xml!B265</f>
        <v>1</v>
      </c>
      <c r="C261" s="1" t="str">
        <f>equip.xml!C265</f>
        <v>龙语入门</v>
      </c>
      <c r="D261" s="1" t="str">
        <f>equip.xml!D265</f>
        <v>副手武器</v>
      </c>
      <c r="E261" s="1">
        <f>equip.xml!E265</f>
        <v>6</v>
      </c>
      <c r="F261" s="1">
        <f>equip.xml!F265</f>
        <v>1</v>
      </c>
      <c r="G261" s="1">
        <f>equip.xml!G265</f>
        <v>55</v>
      </c>
      <c r="H261" s="1" t="str">
        <f>equip.xml!H265</f>
        <v>3,1003</v>
      </c>
      <c r="I261" s="1">
        <f>equip.xml!J265</f>
        <v>5</v>
      </c>
      <c r="J261" s="1">
        <f>equip.xml!K265</f>
        <v>0</v>
      </c>
      <c r="K261" s="1">
        <f>equip.xml!L265</f>
        <v>0</v>
      </c>
      <c r="L261" s="1" t="str">
        <f>equip.xml!M265</f>
        <v>102_1972_1972</v>
      </c>
      <c r="M261" s="7" t="str">
        <f>equip.xml!Q265</f>
        <v>equipment/2316.png</v>
      </c>
      <c r="N261" t="str">
        <f>equip.xml!P265</f>
        <v>10000_1002_55000,30000_30001_1,30000_30002_1,30000_30003_1</v>
      </c>
    </row>
    <row r="262" spans="1:14">
      <c r="A262" s="1" t="str">
        <f>equip.xml!A266</f>
        <v>10550040</v>
      </c>
      <c r="B262" s="1">
        <f>equip.xml!B266</f>
        <v>1</v>
      </c>
      <c r="C262" s="1" t="str">
        <f>equip.xml!C266</f>
        <v>血卫胸甲</v>
      </c>
      <c r="D262" s="1" t="str">
        <f>equip.xml!D266</f>
        <v>胸甲</v>
      </c>
      <c r="E262" s="1">
        <f>equip.xml!E266</f>
        <v>4</v>
      </c>
      <c r="F262" s="1">
        <f>equip.xml!F266</f>
        <v>1</v>
      </c>
      <c r="G262" s="1">
        <f>equip.xml!G266</f>
        <v>55</v>
      </c>
      <c r="H262" s="1">
        <f>equip.xml!H266</f>
        <v>0</v>
      </c>
      <c r="I262" s="1">
        <f>equip.xml!J266</f>
        <v>5</v>
      </c>
      <c r="J262" s="1">
        <f>equip.xml!K266</f>
        <v>0</v>
      </c>
      <c r="K262" s="1">
        <f>equip.xml!L266</f>
        <v>0</v>
      </c>
      <c r="L262" s="1" t="str">
        <f>equip.xml!M266</f>
        <v>105_1153_1153</v>
      </c>
      <c r="M262" s="7" t="str">
        <f>equip.xml!Q266</f>
        <v>equipment/5015.png</v>
      </c>
      <c r="N262" t="str">
        <f>equip.xml!P266</f>
        <v>10000_1002_55000,30000_30001_1,30000_30002_1,30000_30003_1</v>
      </c>
    </row>
    <row r="263" spans="1:14">
      <c r="A263" s="1" t="str">
        <f>equip.xml!A267</f>
        <v>10550041</v>
      </c>
      <c r="B263" s="1">
        <f>equip.xml!B267</f>
        <v>0</v>
      </c>
      <c r="C263" s="1" t="str">
        <f>equip.xml!C267</f>
        <v>新兵外套</v>
      </c>
      <c r="D263" s="1" t="str">
        <f>equip.xml!D267</f>
        <v>胸甲</v>
      </c>
      <c r="E263" s="1">
        <f>equip.xml!E267</f>
        <v>4</v>
      </c>
      <c r="F263" s="1">
        <f>equip.xml!F267</f>
        <v>1</v>
      </c>
      <c r="G263" s="1">
        <f>equip.xml!G267</f>
        <v>55</v>
      </c>
      <c r="H263" s="1">
        <f>equip.xml!H267</f>
        <v>0</v>
      </c>
      <c r="I263" s="1">
        <f>equip.xml!J267</f>
        <v>5</v>
      </c>
      <c r="J263" s="1">
        <f>equip.xml!K267</f>
        <v>0</v>
      </c>
      <c r="K263" s="1">
        <f>equip.xml!L267</f>
        <v>0</v>
      </c>
      <c r="L263" s="1" t="str">
        <f>equip.xml!M267</f>
        <v>105_1243_1243</v>
      </c>
      <c r="M263" s="7" t="str">
        <f>equip.xml!Q267</f>
        <v>equipment/5001.png</v>
      </c>
      <c r="N263" t="str">
        <f>equip.xml!P267</f>
        <v>10000_1002_55000,30000_30001_1,30000_30002_1,30000_30003_1</v>
      </c>
    </row>
    <row r="264" spans="1:14">
      <c r="A264" s="1" t="str">
        <f>equip.xml!A268</f>
        <v>10550070</v>
      </c>
      <c r="B264" s="1">
        <f>equip.xml!B268</f>
        <v>1</v>
      </c>
      <c r="C264" s="1" t="str">
        <f>equip.xml!C268</f>
        <v>征服者护腿</v>
      </c>
      <c r="D264" s="1" t="str">
        <f>equip.xml!D268</f>
        <v>护腿</v>
      </c>
      <c r="E264" s="1">
        <f>equip.xml!E268</f>
        <v>7</v>
      </c>
      <c r="F264" s="1">
        <f>equip.xml!F268</f>
        <v>1</v>
      </c>
      <c r="G264" s="1">
        <f>equip.xml!G268</f>
        <v>55</v>
      </c>
      <c r="H264" s="1">
        <f>equip.xml!H268</f>
        <v>0</v>
      </c>
      <c r="I264" s="1">
        <f>equip.xml!J268</f>
        <v>5</v>
      </c>
      <c r="J264" s="1">
        <f>equip.xml!K268</f>
        <v>0</v>
      </c>
      <c r="K264" s="1">
        <f>equip.xml!L268</f>
        <v>0</v>
      </c>
      <c r="L264" s="1" t="str">
        <f>equip.xml!M268</f>
        <v>105_780_780</v>
      </c>
      <c r="M264" s="7" t="str">
        <f>equip.xml!Q268</f>
        <v>equipment/7013.png</v>
      </c>
      <c r="N264" t="str">
        <f>equip.xml!P268</f>
        <v>10000_1002_55000,30000_30001_1,30000_30002_1,30000_30003_1</v>
      </c>
    </row>
    <row r="265" spans="1:14">
      <c r="A265" s="1" t="str">
        <f>equip.xml!A269</f>
        <v>10550071</v>
      </c>
      <c r="B265" s="1">
        <f>equip.xml!B269</f>
        <v>0</v>
      </c>
      <c r="C265" s="1" t="str">
        <f>equip.xml!C269</f>
        <v>学徒短裤</v>
      </c>
      <c r="D265" s="1" t="str">
        <f>equip.xml!D269</f>
        <v>护腿</v>
      </c>
      <c r="E265" s="1">
        <f>equip.xml!E269</f>
        <v>7</v>
      </c>
      <c r="F265" s="1">
        <f>equip.xml!F269</f>
        <v>1</v>
      </c>
      <c r="G265" s="1">
        <f>equip.xml!G269</f>
        <v>55</v>
      </c>
      <c r="H265" s="1">
        <f>equip.xml!H269</f>
        <v>0</v>
      </c>
      <c r="I265" s="1">
        <f>equip.xml!J269</f>
        <v>5</v>
      </c>
      <c r="J265" s="1">
        <f>equip.xml!K269</f>
        <v>0</v>
      </c>
      <c r="K265" s="1">
        <f>equip.xml!L269</f>
        <v>0</v>
      </c>
      <c r="L265" s="1" t="str">
        <f>equip.xml!M269</f>
        <v>105_929_929</v>
      </c>
      <c r="M265" s="7" t="str">
        <f>equip.xml!Q269</f>
        <v>equipment/7001.png</v>
      </c>
      <c r="N265" t="str">
        <f>equip.xml!P269</f>
        <v>10000_1002_55000,30000_30001_1,30000_30002_1,30000_30003_1</v>
      </c>
    </row>
    <row r="266" spans="1:14">
      <c r="A266" s="1" t="str">
        <f>equip.xml!A270</f>
        <v>10600010</v>
      </c>
      <c r="B266" s="1">
        <f>equip.xml!B270</f>
        <v>1</v>
      </c>
      <c r="C266" s="1" t="str">
        <f>equip.xml!C270</f>
        <v>英勇战盔</v>
      </c>
      <c r="D266" s="1" t="str">
        <f>equip.xml!D270</f>
        <v>头盔</v>
      </c>
      <c r="E266" s="1">
        <f>equip.xml!E270</f>
        <v>1</v>
      </c>
      <c r="F266" s="1">
        <f>equip.xml!F270</f>
        <v>1</v>
      </c>
      <c r="G266" s="1">
        <f>equip.xml!G270</f>
        <v>60</v>
      </c>
      <c r="H266" s="1">
        <f>equip.xml!H270</f>
        <v>0</v>
      </c>
      <c r="I266" s="1">
        <f>equip.xml!J270</f>
        <v>5</v>
      </c>
      <c r="J266" s="1">
        <f>equip.xml!K270</f>
        <v>0</v>
      </c>
      <c r="K266" s="1">
        <f>equip.xml!L270</f>
        <v>0</v>
      </c>
      <c r="L266" s="1" t="str">
        <f>equip.xml!M270</f>
        <v>106_1628_1628</v>
      </c>
      <c r="M266" s="7" t="str">
        <f>equip.xml!Q270</f>
        <v>equipment/3010.png</v>
      </c>
      <c r="N266" t="str">
        <f>equip.xml!P270</f>
        <v>10000_1002_60000,30000_30001_1,30000_30002_1,30000_30003_1</v>
      </c>
    </row>
    <row r="267" spans="1:14">
      <c r="A267" s="1" t="str">
        <f>equip.xml!A271</f>
        <v>10600020</v>
      </c>
      <c r="B267" s="1">
        <f>equip.xml!B271</f>
        <v>1</v>
      </c>
      <c r="C267" s="1" t="str">
        <f>equip.xml!C271</f>
        <v>星宇指环</v>
      </c>
      <c r="D267" s="1" t="str">
        <f>equip.xml!D271</f>
        <v>戒指</v>
      </c>
      <c r="E267" s="1">
        <f>equip.xml!E271</f>
        <v>2</v>
      </c>
      <c r="F267" s="1">
        <f>equip.xml!F271</f>
        <v>1</v>
      </c>
      <c r="G267" s="1">
        <f>equip.xml!G271</f>
        <v>60</v>
      </c>
      <c r="H267" s="1">
        <f>equip.xml!H271</f>
        <v>0</v>
      </c>
      <c r="I267" s="1">
        <f>equip.xml!J271</f>
        <v>5</v>
      </c>
      <c r="J267" s="1">
        <f>equip.xml!K271</f>
        <v>0</v>
      </c>
      <c r="K267" s="1">
        <f>equip.xml!L271</f>
        <v>0</v>
      </c>
      <c r="L267" s="1" t="str">
        <f>equip.xml!M271</f>
        <v>102_1260_1260</v>
      </c>
      <c r="M267" s="7" t="str">
        <f>equip.xml!Q271</f>
        <v>equipment/14010.png</v>
      </c>
      <c r="N267" t="str">
        <f>equip.xml!P271</f>
        <v>10000_1002_60000,30000_30001_1,30000_30002_1,30000_30003_1</v>
      </c>
    </row>
    <row r="268" spans="1:14">
      <c r="A268" s="1" t="str">
        <f>equip.xml!A272</f>
        <v>10600030</v>
      </c>
      <c r="B268" s="1">
        <f>equip.xml!B272</f>
        <v>1</v>
      </c>
      <c r="C268" s="1" t="str">
        <f>equip.xml!C272</f>
        <v>远征腰带</v>
      </c>
      <c r="D268" s="1" t="str">
        <f>equip.xml!D272</f>
        <v>腰带</v>
      </c>
      <c r="E268" s="1">
        <f>equip.xml!E272</f>
        <v>3</v>
      </c>
      <c r="F268" s="1">
        <f>equip.xml!F272</f>
        <v>1</v>
      </c>
      <c r="G268" s="1">
        <f>equip.xml!G272</f>
        <v>60</v>
      </c>
      <c r="H268" s="1">
        <f>equip.xml!H272</f>
        <v>0</v>
      </c>
      <c r="I268" s="1">
        <f>equip.xml!J272</f>
        <v>5</v>
      </c>
      <c r="J268" s="1">
        <f>equip.xml!K272</f>
        <v>0</v>
      </c>
      <c r="K268" s="1">
        <f>equip.xml!L272</f>
        <v>0</v>
      </c>
      <c r="L268" s="1" t="str">
        <f>equip.xml!M272</f>
        <v>101_13920_13920</v>
      </c>
      <c r="M268" s="7" t="str">
        <f>equip.xml!Q272</f>
        <v>equipment/6010.png</v>
      </c>
      <c r="N268" t="str">
        <f>equip.xml!P272</f>
        <v>10000_1002_60000,30000_30001_1,30000_30002_1,30000_30003_1</v>
      </c>
    </row>
    <row r="269" spans="1:14">
      <c r="A269" s="1" t="str">
        <f>equip.xml!A273</f>
        <v>10600080</v>
      </c>
      <c r="B269" s="1">
        <f>equip.xml!B273</f>
        <v>1</v>
      </c>
      <c r="C269" s="1" t="str">
        <f>equip.xml!C273</f>
        <v>风暴长靴</v>
      </c>
      <c r="D269" s="1" t="str">
        <f>equip.xml!D273</f>
        <v>鞋子</v>
      </c>
      <c r="E269" s="1">
        <f>equip.xml!E273</f>
        <v>8</v>
      </c>
      <c r="F269" s="1">
        <f>equip.xml!F273</f>
        <v>1</v>
      </c>
      <c r="G269" s="1">
        <f>equip.xml!G273</f>
        <v>60</v>
      </c>
      <c r="H269" s="1">
        <f>equip.xml!H273</f>
        <v>0</v>
      </c>
      <c r="I269" s="1">
        <f>equip.xml!J273</f>
        <v>5</v>
      </c>
      <c r="J269" s="1">
        <f>equip.xml!K273</f>
        <v>0</v>
      </c>
      <c r="K269" s="1">
        <f>equip.xml!L273</f>
        <v>0</v>
      </c>
      <c r="L269" s="1" t="str">
        <f>equip.xml!M273</f>
        <v>110_271_271</v>
      </c>
      <c r="M269" s="7" t="str">
        <f>equip.xml!Q273</f>
        <v>equipment/8010.png</v>
      </c>
      <c r="N269" t="str">
        <f>equip.xml!P273</f>
        <v>10000_1002_60000,30000_30001_1,30000_30002_1,30000_30003_1</v>
      </c>
    </row>
    <row r="270" spans="1:14">
      <c r="A270" s="1" t="str">
        <f>equip.xml!A274</f>
        <v>10600090</v>
      </c>
      <c r="B270" s="1">
        <f>equip.xml!B274</f>
        <v>1</v>
      </c>
      <c r="C270" s="1" t="str">
        <f>equip.xml!C274</f>
        <v>远征军护手</v>
      </c>
      <c r="D270" s="1" t="str">
        <f>equip.xml!D274</f>
        <v>手套</v>
      </c>
      <c r="E270" s="1">
        <f>equip.xml!E274</f>
        <v>9</v>
      </c>
      <c r="F270" s="1">
        <f>equip.xml!F274</f>
        <v>1</v>
      </c>
      <c r="G270" s="1">
        <f>equip.xml!G274</f>
        <v>60</v>
      </c>
      <c r="H270" s="1">
        <f>equip.xml!H274</f>
        <v>0</v>
      </c>
      <c r="I270" s="1">
        <f>equip.xml!J274</f>
        <v>5</v>
      </c>
      <c r="J270" s="1">
        <f>equip.xml!K274</f>
        <v>0</v>
      </c>
      <c r="K270" s="1">
        <f>equip.xml!L274</f>
        <v>0</v>
      </c>
      <c r="L270" s="1" t="str">
        <f>equip.xml!M274</f>
        <v>108_2300_2300</v>
      </c>
      <c r="M270" s="7" t="str">
        <f>equip.xml!Q274</f>
        <v>equipment/10010.png</v>
      </c>
      <c r="N270" t="str">
        <f>equip.xml!P274</f>
        <v>10000_1002_60000,30000_30001_1,30000_30002_1,30000_30003_1</v>
      </c>
    </row>
    <row r="271" spans="1:14">
      <c r="A271" s="1" t="str">
        <f>equip.xml!A275</f>
        <v>10600100</v>
      </c>
      <c r="B271" s="1">
        <f>equip.xml!B275</f>
        <v>1</v>
      </c>
      <c r="C271" s="1" t="str">
        <f>equip.xml!C275</f>
        <v>悔恨之链</v>
      </c>
      <c r="D271" s="1" t="str">
        <f>equip.xml!D275</f>
        <v>项链</v>
      </c>
      <c r="E271" s="1">
        <f>equip.xml!E275</f>
        <v>10</v>
      </c>
      <c r="F271" s="1">
        <f>equip.xml!F275</f>
        <v>1</v>
      </c>
      <c r="G271" s="1">
        <f>equip.xml!G275</f>
        <v>60</v>
      </c>
      <c r="H271" s="1">
        <f>equip.xml!H275</f>
        <v>0</v>
      </c>
      <c r="I271" s="1">
        <f>equip.xml!J275</f>
        <v>5</v>
      </c>
      <c r="J271" s="1">
        <f>equip.xml!K275</f>
        <v>0</v>
      </c>
      <c r="K271" s="1">
        <f>equip.xml!L275</f>
        <v>0</v>
      </c>
      <c r="L271" s="1" t="str">
        <f>equip.xml!M275</f>
        <v>107_1628_1628</v>
      </c>
      <c r="M271" s="7" t="str">
        <f>equip.xml!Q275</f>
        <v>equipment/12010.png</v>
      </c>
      <c r="N271" t="str">
        <f>equip.xml!P275</f>
        <v>10000_1002_60000,30000_30001_1,30000_30002_1,30000_30003_1</v>
      </c>
    </row>
    <row r="272" spans="1:14">
      <c r="A272" s="1" t="str">
        <f>equip.xml!A276</f>
        <v>10601050</v>
      </c>
      <c r="B272" s="1">
        <f>equip.xml!B276</f>
        <v>1</v>
      </c>
      <c r="C272" s="1" t="str">
        <f>equip.xml!C276</f>
        <v>毁灭之刃</v>
      </c>
      <c r="D272" s="1" t="str">
        <f>equip.xml!D276</f>
        <v>主手武器</v>
      </c>
      <c r="E272" s="1">
        <f>equip.xml!E276</f>
        <v>5</v>
      </c>
      <c r="F272" s="1">
        <f>equip.xml!F276</f>
        <v>1</v>
      </c>
      <c r="G272" s="1">
        <f>equip.xml!G276</f>
        <v>60</v>
      </c>
      <c r="H272" s="1" t="str">
        <f>equip.xml!H276</f>
        <v>1,1001</v>
      </c>
      <c r="I272" s="1">
        <f>equip.xml!J276</f>
        <v>5</v>
      </c>
      <c r="J272" s="1">
        <f>equip.xml!K276</f>
        <v>0</v>
      </c>
      <c r="K272" s="1">
        <f>equip.xml!L276</f>
        <v>0</v>
      </c>
      <c r="L272" s="1" t="str">
        <f>equip.xml!M276</f>
        <v>103_2007_2007,104_4014_4014</v>
      </c>
      <c r="M272" s="7" t="str">
        <f>equip.xml!Q276</f>
        <v>equipment/1118.png</v>
      </c>
      <c r="N272" t="str">
        <f>equip.xml!P276</f>
        <v>10000_1002_60000,30000_30001_1,30000_30002_1,30000_30003_1</v>
      </c>
    </row>
    <row r="273" spans="1:14">
      <c r="A273" s="1" t="str">
        <f>equip.xml!A277</f>
        <v>10601051</v>
      </c>
      <c r="B273" s="1">
        <f>equip.xml!B277</f>
        <v>1</v>
      </c>
      <c r="C273" s="1" t="str">
        <f>equip.xml!C277</f>
        <v>逐光巨剑</v>
      </c>
      <c r="D273" s="1" t="str">
        <f>equip.xml!D277</f>
        <v>主手武器</v>
      </c>
      <c r="E273" s="1">
        <f>equip.xml!E277</f>
        <v>5</v>
      </c>
      <c r="F273" s="1">
        <f>equip.xml!F277</f>
        <v>1</v>
      </c>
      <c r="G273" s="1">
        <f>equip.xml!G277</f>
        <v>60</v>
      </c>
      <c r="H273" s="1" t="str">
        <f>equip.xml!H277</f>
        <v>1,1001</v>
      </c>
      <c r="I273" s="1">
        <f>equip.xml!J277</f>
        <v>5</v>
      </c>
      <c r="J273" s="1">
        <f>equip.xml!K277</f>
        <v>0</v>
      </c>
      <c r="K273" s="1">
        <f>equip.xml!L277</f>
        <v>0</v>
      </c>
      <c r="L273" s="1" t="str">
        <f>equip.xml!M277</f>
        <v>103_2252_2252,104_4504_4504</v>
      </c>
      <c r="M273" s="7" t="str">
        <f>equip.xml!Q277</f>
        <v>equipment/1122.png</v>
      </c>
      <c r="N273" t="str">
        <f>equip.xml!P277</f>
        <v>10000_1002_60000,30000_30001_1,30000_30002_1,30000_30003_1</v>
      </c>
    </row>
    <row r="274" spans="1:14">
      <c r="A274" s="1" t="str">
        <f>equip.xml!A278</f>
        <v>10601060</v>
      </c>
      <c r="B274" s="1">
        <f>equip.xml!B278</f>
        <v>1</v>
      </c>
      <c r="C274" s="1" t="str">
        <f>equip.xml!C278</f>
        <v>灵魂壁垒</v>
      </c>
      <c r="D274" s="1" t="str">
        <f>equip.xml!D278</f>
        <v>副手武器</v>
      </c>
      <c r="E274" s="1">
        <f>equip.xml!E278</f>
        <v>6</v>
      </c>
      <c r="F274" s="1">
        <f>equip.xml!F278</f>
        <v>1</v>
      </c>
      <c r="G274" s="1">
        <f>equip.xml!G278</f>
        <v>60</v>
      </c>
      <c r="H274" s="1" t="str">
        <f>equip.xml!H278</f>
        <v>1,1001</v>
      </c>
      <c r="I274" s="1">
        <f>equip.xml!J278</f>
        <v>5</v>
      </c>
      <c r="J274" s="1">
        <f>equip.xml!K278</f>
        <v>0</v>
      </c>
      <c r="K274" s="1">
        <f>equip.xml!L278</f>
        <v>0</v>
      </c>
      <c r="L274" s="1" t="str">
        <f>equip.xml!M278</f>
        <v>105_2515_2515</v>
      </c>
      <c r="M274" s="7" t="str">
        <f>equip.xml!Q278</f>
        <v>equipment/2115.png</v>
      </c>
      <c r="N274" t="str">
        <f>equip.xml!P278</f>
        <v>10000_1002_60000,30000_30001_1,30000_30002_1,30000_30003_1</v>
      </c>
    </row>
    <row r="275" spans="1:14">
      <c r="A275" s="1" t="str">
        <f>equip.xml!A279</f>
        <v>10601061</v>
      </c>
      <c r="B275" s="1">
        <f>equip.xml!B279</f>
        <v>0</v>
      </c>
      <c r="C275" s="1" t="str">
        <f>equip.xml!C279</f>
        <v>尖头盾</v>
      </c>
      <c r="D275" s="1" t="str">
        <f>equip.xml!D279</f>
        <v>副手武器</v>
      </c>
      <c r="E275" s="1">
        <f>equip.xml!E279</f>
        <v>6</v>
      </c>
      <c r="F275" s="1">
        <f>equip.xml!F279</f>
        <v>1</v>
      </c>
      <c r="G275" s="1">
        <f>equip.xml!G279</f>
        <v>60</v>
      </c>
      <c r="H275" s="1" t="str">
        <f>equip.xml!H279</f>
        <v>1,1001</v>
      </c>
      <c r="I275" s="1">
        <f>equip.xml!J279</f>
        <v>5</v>
      </c>
      <c r="J275" s="1">
        <f>equip.xml!K279</f>
        <v>0</v>
      </c>
      <c r="K275" s="1">
        <f>equip.xml!L279</f>
        <v>0</v>
      </c>
      <c r="L275" s="1" t="str">
        <f>equip.xml!M279</f>
        <v>105_2704_2704</v>
      </c>
      <c r="M275" s="7" t="str">
        <f>equip.xml!Q279</f>
        <v>equipment/2101.png</v>
      </c>
      <c r="N275" t="str">
        <f>equip.xml!P279</f>
        <v>10000_1002_60000,30000_30001_1,30000_30002_1,30000_30003_1</v>
      </c>
    </row>
    <row r="276" spans="1:14">
      <c r="A276" s="1" t="str">
        <f>equip.xml!A280</f>
        <v>10602050</v>
      </c>
      <c r="B276" s="1">
        <f>equip.xml!B280</f>
        <v>1</v>
      </c>
      <c r="C276" s="1" t="str">
        <f>equip.xml!C280</f>
        <v>暗之追猎者</v>
      </c>
      <c r="D276" s="1" t="str">
        <f>equip.xml!D280</f>
        <v>主手武器</v>
      </c>
      <c r="E276" s="1">
        <f>equip.xml!E280</f>
        <v>5</v>
      </c>
      <c r="F276" s="1">
        <f>equip.xml!F280</f>
        <v>1</v>
      </c>
      <c r="G276" s="1">
        <f>equip.xml!G280</f>
        <v>60</v>
      </c>
      <c r="H276" s="1" t="str">
        <f>equip.xml!H280</f>
        <v>2,1002</v>
      </c>
      <c r="I276" s="1">
        <f>equip.xml!J280</f>
        <v>5</v>
      </c>
      <c r="J276" s="1">
        <f>equip.xml!K280</f>
        <v>0</v>
      </c>
      <c r="K276" s="1">
        <f>equip.xml!L280</f>
        <v>0</v>
      </c>
      <c r="L276" s="1" t="str">
        <f>equip.xml!M280</f>
        <v>103_2007_2007,104_4014_4014</v>
      </c>
      <c r="M276" s="7" t="str">
        <f>equip.xml!Q280</f>
        <v>equipment/1220.png</v>
      </c>
      <c r="N276" t="str">
        <f>equip.xml!P280</f>
        <v>10000_1002_60000,30000_30001_1,30000_30002_1,30000_30003_1</v>
      </c>
    </row>
    <row r="277" spans="1:14">
      <c r="A277" s="1" t="str">
        <f>equip.xml!A281</f>
        <v>10602051</v>
      </c>
      <c r="B277" s="1">
        <f>equip.xml!B281</f>
        <v>0</v>
      </c>
      <c r="C277" s="1" t="str">
        <f>equip.xml!C281</f>
        <v>棘木弓</v>
      </c>
      <c r="D277" s="1" t="str">
        <f>equip.xml!D281</f>
        <v>主手武器</v>
      </c>
      <c r="E277" s="1">
        <f>equip.xml!E281</f>
        <v>5</v>
      </c>
      <c r="F277" s="1">
        <f>equip.xml!F281</f>
        <v>1</v>
      </c>
      <c r="G277" s="1">
        <f>equip.xml!G281</f>
        <v>60</v>
      </c>
      <c r="H277" s="1" t="str">
        <f>equip.xml!H281</f>
        <v>2,1002</v>
      </c>
      <c r="I277" s="1">
        <f>equip.xml!J281</f>
        <v>5</v>
      </c>
      <c r="J277" s="1">
        <f>equip.xml!K281</f>
        <v>0</v>
      </c>
      <c r="K277" s="1">
        <f>equip.xml!L281</f>
        <v>0</v>
      </c>
      <c r="L277" s="1" t="str">
        <f>equip.xml!M281</f>
        <v>103_2252_2252,104_4504_4504</v>
      </c>
      <c r="M277" s="7" t="str">
        <f>equip.xml!Q281</f>
        <v>equipment/1201.png</v>
      </c>
      <c r="N277" t="str">
        <f>equip.xml!P281</f>
        <v>10000_1002_60000,30000_30001_1,30000_30002_1,30000_30003_1</v>
      </c>
    </row>
    <row r="278" spans="1:14">
      <c r="A278" s="1" t="str">
        <f>equip.xml!A282</f>
        <v>10602060</v>
      </c>
      <c r="B278" s="1">
        <f>equip.xml!B282</f>
        <v>1</v>
      </c>
      <c r="C278" s="1" t="str">
        <f>equip.xml!C282</f>
        <v>猎星箭袋</v>
      </c>
      <c r="D278" s="1" t="str">
        <f>equip.xml!D282</f>
        <v>副手武器</v>
      </c>
      <c r="E278" s="1">
        <f>equip.xml!E282</f>
        <v>6</v>
      </c>
      <c r="F278" s="1">
        <f>equip.xml!F282</f>
        <v>1</v>
      </c>
      <c r="G278" s="1">
        <f>equip.xml!G282</f>
        <v>60</v>
      </c>
      <c r="H278" s="1" t="str">
        <f>equip.xml!H282</f>
        <v>2,1002</v>
      </c>
      <c r="I278" s="1">
        <f>equip.xml!J282</f>
        <v>5</v>
      </c>
      <c r="J278" s="1">
        <f>equip.xml!K282</f>
        <v>0</v>
      </c>
      <c r="K278" s="1">
        <f>equip.xml!L282</f>
        <v>0</v>
      </c>
      <c r="L278" s="1" t="str">
        <f>equip.xml!M282</f>
        <v>108_2515_2515</v>
      </c>
      <c r="M278" s="7" t="str">
        <f>equip.xml!Q282</f>
        <v>equipment/2215.png</v>
      </c>
      <c r="N278" t="str">
        <f>equip.xml!P282</f>
        <v>10000_1002_60000,30000_30001_1,30000_30002_1,30000_30003_1</v>
      </c>
    </row>
    <row r="279" spans="1:14">
      <c r="A279" s="1" t="str">
        <f>equip.xml!A283</f>
        <v>10602061</v>
      </c>
      <c r="B279" s="1">
        <f>equip.xml!B283</f>
        <v>0</v>
      </c>
      <c r="C279" s="1" t="str">
        <f>equip.xml!C283</f>
        <v>箭筒</v>
      </c>
      <c r="D279" s="1" t="str">
        <f>equip.xml!D283</f>
        <v>副手武器</v>
      </c>
      <c r="E279" s="1">
        <f>equip.xml!E283</f>
        <v>6</v>
      </c>
      <c r="F279" s="1">
        <f>equip.xml!F283</f>
        <v>1</v>
      </c>
      <c r="G279" s="1">
        <f>equip.xml!G283</f>
        <v>60</v>
      </c>
      <c r="H279" s="1" t="str">
        <f>equip.xml!H283</f>
        <v>2,1002</v>
      </c>
      <c r="I279" s="1">
        <f>equip.xml!J283</f>
        <v>5</v>
      </c>
      <c r="J279" s="1">
        <f>equip.xml!K283</f>
        <v>0</v>
      </c>
      <c r="K279" s="1">
        <f>equip.xml!L283</f>
        <v>0</v>
      </c>
      <c r="L279" s="1" t="str">
        <f>equip.xml!M283</f>
        <v>108_2704_2704</v>
      </c>
      <c r="M279" s="7" t="str">
        <f>equip.xml!Q283</f>
        <v>equipment/2201.png</v>
      </c>
      <c r="N279" t="str">
        <f>equip.xml!P283</f>
        <v>10000_1002_60000,30000_30001_1,30000_30002_1,30000_30003_1</v>
      </c>
    </row>
    <row r="280" spans="1:14">
      <c r="A280" s="1" t="str">
        <f>equip.xml!A284</f>
        <v>10603050</v>
      </c>
      <c r="B280" s="1">
        <f>equip.xml!B284</f>
        <v>1</v>
      </c>
      <c r="C280" s="1" t="str">
        <f>equip.xml!C284</f>
        <v>无尽回响之杖</v>
      </c>
      <c r="D280" s="1" t="str">
        <f>equip.xml!D284</f>
        <v>主手武器</v>
      </c>
      <c r="E280" s="1">
        <f>equip.xml!E284</f>
        <v>5</v>
      </c>
      <c r="F280" s="1">
        <f>equip.xml!F284</f>
        <v>1</v>
      </c>
      <c r="G280" s="1">
        <f>equip.xml!G284</f>
        <v>60</v>
      </c>
      <c r="H280" s="1" t="str">
        <f>equip.xml!H284</f>
        <v>3,1003</v>
      </c>
      <c r="I280" s="1">
        <f>equip.xml!J284</f>
        <v>5</v>
      </c>
      <c r="J280" s="1">
        <f>equip.xml!K284</f>
        <v>0</v>
      </c>
      <c r="K280" s="1">
        <f>equip.xml!L284</f>
        <v>0</v>
      </c>
      <c r="L280" s="1" t="str">
        <f>equip.xml!M284</f>
        <v>103_2007_2007,104_4014_4014</v>
      </c>
      <c r="M280" s="7" t="str">
        <f>equip.xml!Q284</f>
        <v>equipment/1322.png</v>
      </c>
      <c r="N280" t="str">
        <f>equip.xml!P284</f>
        <v>10000_1002_60000,30000_30001_1,30000_30002_1,30000_30003_1</v>
      </c>
    </row>
    <row r="281" spans="1:14">
      <c r="A281" s="1" t="str">
        <f>equip.xml!A285</f>
        <v>10603051</v>
      </c>
      <c r="B281" s="1">
        <f>equip.xml!B285</f>
        <v>0</v>
      </c>
      <c r="C281" s="1" t="str">
        <f>equip.xml!C285</f>
        <v>日辉法杖</v>
      </c>
      <c r="D281" s="1" t="str">
        <f>equip.xml!D285</f>
        <v>主手武器</v>
      </c>
      <c r="E281" s="1">
        <f>equip.xml!E285</f>
        <v>5</v>
      </c>
      <c r="F281" s="1">
        <f>equip.xml!F285</f>
        <v>1</v>
      </c>
      <c r="G281" s="1">
        <f>equip.xml!G285</f>
        <v>60</v>
      </c>
      <c r="H281" s="1" t="str">
        <f>equip.xml!H285</f>
        <v>3,1003</v>
      </c>
      <c r="I281" s="1">
        <f>equip.xml!J285</f>
        <v>5</v>
      </c>
      <c r="J281" s="1">
        <f>equip.xml!K285</f>
        <v>0</v>
      </c>
      <c r="K281" s="1">
        <f>equip.xml!L285</f>
        <v>0</v>
      </c>
      <c r="L281" s="1" t="str">
        <f>equip.xml!M285</f>
        <v>103_2252_2252,104_4504_4504</v>
      </c>
      <c r="M281" s="7" t="str">
        <f>equip.xml!Q285</f>
        <v>equipment/1301.png</v>
      </c>
      <c r="N281" t="str">
        <f>equip.xml!P285</f>
        <v>10000_1002_60000,30000_30001_1,30000_30002_1,30000_30003_1</v>
      </c>
    </row>
    <row r="282" spans="1:14">
      <c r="A282" s="1" t="str">
        <f>equip.xml!A286</f>
        <v>10603060</v>
      </c>
      <c r="B282" s="1">
        <f>equip.xml!B286</f>
        <v>1</v>
      </c>
      <c r="C282" s="1" t="str">
        <f>equip.xml!C286</f>
        <v>星图指南</v>
      </c>
      <c r="D282" s="1" t="str">
        <f>equip.xml!D286</f>
        <v>副手武器</v>
      </c>
      <c r="E282" s="1">
        <f>equip.xml!E286</f>
        <v>6</v>
      </c>
      <c r="F282" s="1">
        <f>equip.xml!F286</f>
        <v>1</v>
      </c>
      <c r="G282" s="1">
        <f>equip.xml!G286</f>
        <v>60</v>
      </c>
      <c r="H282" s="1" t="str">
        <f>equip.xml!H286</f>
        <v>3,1003</v>
      </c>
      <c r="I282" s="1">
        <f>equip.xml!J286</f>
        <v>5</v>
      </c>
      <c r="J282" s="1">
        <f>equip.xml!K286</f>
        <v>0</v>
      </c>
      <c r="K282" s="1">
        <f>equip.xml!L286</f>
        <v>0</v>
      </c>
      <c r="L282" s="1" t="str">
        <f>equip.xml!M286</f>
        <v>102_2260_2260</v>
      </c>
      <c r="M282" s="7" t="str">
        <f>equip.xml!Q286</f>
        <v>equipment/2315.png</v>
      </c>
      <c r="N282" t="str">
        <f>equip.xml!P286</f>
        <v>10000_1002_60000,30000_30001_1,30000_30002_1,30000_30003_1</v>
      </c>
    </row>
    <row r="283" spans="1:14">
      <c r="A283" s="1" t="str">
        <f>equip.xml!A287</f>
        <v>10603061</v>
      </c>
      <c r="B283" s="1">
        <f>equip.xml!B287</f>
        <v>0</v>
      </c>
      <c r="C283" s="1" t="str">
        <f>equip.xml!C287</f>
        <v>法术指南</v>
      </c>
      <c r="D283" s="1" t="str">
        <f>equip.xml!D287</f>
        <v>副手武器</v>
      </c>
      <c r="E283" s="1">
        <f>equip.xml!E287</f>
        <v>6</v>
      </c>
      <c r="F283" s="1">
        <f>equip.xml!F287</f>
        <v>1</v>
      </c>
      <c r="G283" s="1">
        <f>equip.xml!G287</f>
        <v>60</v>
      </c>
      <c r="H283" s="1" t="str">
        <f>equip.xml!H287</f>
        <v>3,1003</v>
      </c>
      <c r="I283" s="1">
        <f>equip.xml!J287</f>
        <v>5</v>
      </c>
      <c r="J283" s="1">
        <f>equip.xml!K287</f>
        <v>0</v>
      </c>
      <c r="K283" s="1">
        <f>equip.xml!L287</f>
        <v>0</v>
      </c>
      <c r="L283" s="1" t="str">
        <f>equip.xml!M287</f>
        <v>102_2704_2704</v>
      </c>
      <c r="M283" s="7" t="str">
        <f>equip.xml!Q287</f>
        <v>equipment/2301.png</v>
      </c>
      <c r="N283" t="str">
        <f>equip.xml!P287</f>
        <v>10000_1002_60000,30000_30001_1,30000_30002_1,30000_30003_1</v>
      </c>
    </row>
    <row r="284" spans="1:14">
      <c r="A284" s="1" t="str">
        <f>equip.xml!A288</f>
        <v>10600040</v>
      </c>
      <c r="B284" s="1">
        <f>equip.xml!B288</f>
        <v>1</v>
      </c>
      <c r="C284" s="1" t="str">
        <f>equip.xml!C288</f>
        <v>明光战甲</v>
      </c>
      <c r="D284" s="1" t="str">
        <f>equip.xml!D288</f>
        <v>胸甲</v>
      </c>
      <c r="E284" s="1">
        <f>equip.xml!E288</f>
        <v>4</v>
      </c>
      <c r="F284" s="1">
        <f>equip.xml!F288</f>
        <v>1</v>
      </c>
      <c r="G284" s="1">
        <f>equip.xml!G288</f>
        <v>60</v>
      </c>
      <c r="H284" s="1">
        <f>equip.xml!H288</f>
        <v>0</v>
      </c>
      <c r="I284" s="1">
        <f>equip.xml!J288</f>
        <v>5</v>
      </c>
      <c r="J284" s="1">
        <f>equip.xml!K288</f>
        <v>0</v>
      </c>
      <c r="K284" s="1">
        <f>equip.xml!L288</f>
        <v>0</v>
      </c>
      <c r="L284" s="1" t="str">
        <f>equip.xml!M288</f>
        <v>105_1377_1377</v>
      </c>
      <c r="M284" s="7" t="str">
        <f>equip.xml!Q288</f>
        <v>equipment/5016.png</v>
      </c>
      <c r="N284" t="str">
        <f>equip.xml!P288</f>
        <v>10000_1002_60000,30000_30001_1,30000_30002_1,30000_30003_1</v>
      </c>
    </row>
    <row r="285" spans="1:14">
      <c r="A285" s="1" t="str">
        <f>equip.xml!A289</f>
        <v>10600041</v>
      </c>
      <c r="B285" s="1">
        <f>equip.xml!B289</f>
        <v>0</v>
      </c>
      <c r="C285" s="1" t="str">
        <f>equip.xml!C289</f>
        <v>龙骑战甲</v>
      </c>
      <c r="D285" s="1" t="str">
        <f>equip.xml!D289</f>
        <v>胸甲</v>
      </c>
      <c r="E285" s="1">
        <f>equip.xml!E289</f>
        <v>4</v>
      </c>
      <c r="F285" s="1">
        <f>equip.xml!F289</f>
        <v>1</v>
      </c>
      <c r="G285" s="1">
        <f>equip.xml!G289</f>
        <v>60</v>
      </c>
      <c r="H285" s="1">
        <f>equip.xml!H289</f>
        <v>0</v>
      </c>
      <c r="I285" s="1">
        <f>equip.xml!J289</f>
        <v>5</v>
      </c>
      <c r="J285" s="1">
        <f>equip.xml!K289</f>
        <v>0</v>
      </c>
      <c r="K285" s="1">
        <f>equip.xml!L289</f>
        <v>0</v>
      </c>
      <c r="L285" s="1" t="str">
        <f>equip.xml!M289</f>
        <v>105_1477_1477</v>
      </c>
      <c r="M285" s="7" t="str">
        <f>equip.xml!Q289</f>
        <v>equipment/5001.png</v>
      </c>
      <c r="N285" t="str">
        <f>equip.xml!P289</f>
        <v>10000_1002_60000,30000_30001_1,30000_30002_1,30000_30003_1</v>
      </c>
    </row>
    <row r="286" spans="1:14">
      <c r="A286" s="1" t="str">
        <f>equip.xml!A290</f>
        <v>10600070</v>
      </c>
      <c r="B286" s="1">
        <f>equip.xml!B290</f>
        <v>1</v>
      </c>
      <c r="C286" s="1" t="str">
        <f>equip.xml!C290</f>
        <v>深渊护腿</v>
      </c>
      <c r="D286" s="1" t="str">
        <f>equip.xml!D290</f>
        <v>护腿</v>
      </c>
      <c r="E286" s="1">
        <f>equip.xml!E290</f>
        <v>7</v>
      </c>
      <c r="F286" s="1">
        <f>equip.xml!F290</f>
        <v>1</v>
      </c>
      <c r="G286" s="1">
        <f>equip.xml!G290</f>
        <v>60</v>
      </c>
      <c r="H286" s="1">
        <f>equip.xml!H290</f>
        <v>0</v>
      </c>
      <c r="I286" s="1">
        <f>equip.xml!J290</f>
        <v>5</v>
      </c>
      <c r="J286" s="1">
        <f>equip.xml!K290</f>
        <v>0</v>
      </c>
      <c r="K286" s="1">
        <f>equip.xml!L290</f>
        <v>0</v>
      </c>
      <c r="L286" s="1" t="str">
        <f>equip.xml!M290</f>
        <v>105_1152_1152</v>
      </c>
      <c r="M286" s="7" t="str">
        <f>equip.xml!Q290</f>
        <v>equipment/7014.png</v>
      </c>
      <c r="N286" t="str">
        <f>equip.xml!P290</f>
        <v>10000_1002_60000,30000_30001_1,30000_30002_1,30000_30003_1</v>
      </c>
    </row>
    <row r="287" spans="1:14">
      <c r="A287" s="1" t="str">
        <f>equip.xml!A291</f>
        <v>10600071</v>
      </c>
      <c r="B287" s="1">
        <f>equip.xml!B291</f>
        <v>1</v>
      </c>
      <c r="C287" s="1" t="str">
        <f>equip.xml!C291</f>
        <v>光耀腿甲</v>
      </c>
      <c r="D287" s="1" t="str">
        <f>equip.xml!D291</f>
        <v>护腿</v>
      </c>
      <c r="E287" s="1">
        <f>equip.xml!E291</f>
        <v>7</v>
      </c>
      <c r="F287" s="1">
        <f>equip.xml!F291</f>
        <v>1</v>
      </c>
      <c r="G287" s="1">
        <f>equip.xml!G291</f>
        <v>60</v>
      </c>
      <c r="H287" s="1">
        <f>equip.xml!H291</f>
        <v>0</v>
      </c>
      <c r="I287" s="1">
        <f>equip.xml!J291</f>
        <v>5</v>
      </c>
      <c r="J287" s="1">
        <f>equip.xml!K291</f>
        <v>0</v>
      </c>
      <c r="K287" s="1">
        <f>equip.xml!L291</f>
        <v>0</v>
      </c>
      <c r="L287" s="1" t="str">
        <f>equip.xml!M291</f>
        <v>105_1342_1342</v>
      </c>
      <c r="M287" s="7" t="str">
        <f>equip.xml!Q291</f>
        <v>equipment/7015.png</v>
      </c>
      <c r="N287" t="str">
        <f>equip.xml!P291</f>
        <v>10000_1002_60000,30000_30001_1,30000_30002_1,30000_30003_1</v>
      </c>
    </row>
    <row r="288" spans="1:14">
      <c r="A288" s="1" t="str">
        <f>equip.xml!A292</f>
        <v>10650010</v>
      </c>
      <c r="B288" s="1">
        <f>equip.xml!B292</f>
        <v>1</v>
      </c>
      <c r="C288" s="1" t="str">
        <f>equip.xml!C292</f>
        <v>虚空之冠</v>
      </c>
      <c r="D288" s="1" t="str">
        <f>equip.xml!D292</f>
        <v>头盔</v>
      </c>
      <c r="E288" s="1">
        <f>equip.xml!E292</f>
        <v>1</v>
      </c>
      <c r="F288" s="1">
        <f>equip.xml!F292</f>
        <v>1</v>
      </c>
      <c r="G288" s="1">
        <f>equip.xml!G292</f>
        <v>65</v>
      </c>
      <c r="H288" s="1">
        <f>equip.xml!H292</f>
        <v>0</v>
      </c>
      <c r="I288" s="1">
        <f>equip.xml!J292</f>
        <v>5</v>
      </c>
      <c r="J288" s="1">
        <f>equip.xml!K292</f>
        <v>0</v>
      </c>
      <c r="K288" s="1">
        <f>equip.xml!L292</f>
        <v>0</v>
      </c>
      <c r="L288" s="1" t="str">
        <f>equip.xml!M292</f>
        <v>106_2015_2015</v>
      </c>
      <c r="M288" s="7" t="str">
        <f>equip.xml!Q292</f>
        <v>equipment/3011.png</v>
      </c>
      <c r="N288" t="str">
        <f>equip.xml!P292</f>
        <v>10000_1002_65000,30000_30001_1,30000_30002_1,30000_30003_1</v>
      </c>
    </row>
    <row r="289" spans="1:14">
      <c r="A289" s="1" t="str">
        <f>equip.xml!A293</f>
        <v>10650020</v>
      </c>
      <c r="B289" s="1">
        <f>equip.xml!B293</f>
        <v>1</v>
      </c>
      <c r="C289" s="1" t="str">
        <f>equip.xml!C293</f>
        <v>圣火指环</v>
      </c>
      <c r="D289" s="1" t="str">
        <f>equip.xml!D293</f>
        <v>戒指</v>
      </c>
      <c r="E289" s="1">
        <f>equip.xml!E293</f>
        <v>2</v>
      </c>
      <c r="F289" s="1">
        <f>equip.xml!F293</f>
        <v>1</v>
      </c>
      <c r="G289" s="1">
        <f>equip.xml!G293</f>
        <v>65</v>
      </c>
      <c r="H289" s="1">
        <f>equip.xml!H293</f>
        <v>0</v>
      </c>
      <c r="I289" s="1">
        <f>equip.xml!J293</f>
        <v>5</v>
      </c>
      <c r="J289" s="1">
        <f>equip.xml!K293</f>
        <v>0</v>
      </c>
      <c r="K289" s="1">
        <f>equip.xml!L293</f>
        <v>0</v>
      </c>
      <c r="L289" s="1" t="str">
        <f>equip.xml!M293</f>
        <v>102_1470_1470</v>
      </c>
      <c r="M289" s="7" t="str">
        <f>equip.xml!Q293</f>
        <v>equipment/14011.png</v>
      </c>
      <c r="N289" t="str">
        <f>equip.xml!P293</f>
        <v>10000_1002_65000,30000_30001_1,30000_30002_1,30000_30003_1</v>
      </c>
    </row>
    <row r="290" spans="1:14">
      <c r="A290" s="1" t="str">
        <f>equip.xml!A294</f>
        <v>10650030</v>
      </c>
      <c r="B290" s="1">
        <f>equip.xml!B294</f>
        <v>1</v>
      </c>
      <c r="C290" s="1" t="str">
        <f>equip.xml!C294</f>
        <v>统御腰带</v>
      </c>
      <c r="D290" s="1" t="str">
        <f>equip.xml!D294</f>
        <v>腰带</v>
      </c>
      <c r="E290" s="1">
        <f>equip.xml!E294</f>
        <v>3</v>
      </c>
      <c r="F290" s="1">
        <f>equip.xml!F294</f>
        <v>1</v>
      </c>
      <c r="G290" s="1">
        <f>equip.xml!G294</f>
        <v>65</v>
      </c>
      <c r="H290" s="1">
        <f>equip.xml!H294</f>
        <v>0</v>
      </c>
      <c r="I290" s="1">
        <f>equip.xml!J294</f>
        <v>5</v>
      </c>
      <c r="J290" s="1">
        <f>equip.xml!K294</f>
        <v>0</v>
      </c>
      <c r="K290" s="1">
        <f>equip.xml!L294</f>
        <v>0</v>
      </c>
      <c r="L290" s="1" t="str">
        <f>equip.xml!M294</f>
        <v>101_16900_16900</v>
      </c>
      <c r="M290" s="7" t="str">
        <f>equip.xml!Q294</f>
        <v>equipment/6011.png</v>
      </c>
      <c r="N290" t="str">
        <f>equip.xml!P294</f>
        <v>10000_1002_65000,30000_30001_1,30000_30002_1,30000_30003_1</v>
      </c>
    </row>
    <row r="291" spans="1:14">
      <c r="A291" s="1" t="str">
        <f>equip.xml!A295</f>
        <v>10650080</v>
      </c>
      <c r="B291" s="1">
        <f>equip.xml!B295</f>
        <v>1</v>
      </c>
      <c r="C291" s="1" t="str">
        <f>equip.xml!C295</f>
        <v>狱火战靴</v>
      </c>
      <c r="D291" s="1" t="str">
        <f>equip.xml!D295</f>
        <v>鞋子</v>
      </c>
      <c r="E291" s="1">
        <f>equip.xml!E295</f>
        <v>8</v>
      </c>
      <c r="F291" s="1">
        <f>equip.xml!F295</f>
        <v>1</v>
      </c>
      <c r="G291" s="1">
        <f>equip.xml!G295</f>
        <v>65</v>
      </c>
      <c r="H291" s="1">
        <f>equip.xml!H295</f>
        <v>0</v>
      </c>
      <c r="I291" s="1">
        <f>equip.xml!J295</f>
        <v>5</v>
      </c>
      <c r="J291" s="1">
        <f>equip.xml!K295</f>
        <v>0</v>
      </c>
      <c r="K291" s="1">
        <f>equip.xml!L295</f>
        <v>0</v>
      </c>
      <c r="L291" s="1" t="str">
        <f>equip.xml!M295</f>
        <v>110_352_352</v>
      </c>
      <c r="M291" s="7" t="str">
        <f>equip.xml!Q295</f>
        <v>equipment/8011.png</v>
      </c>
      <c r="N291" t="str">
        <f>equip.xml!P295</f>
        <v>10000_1002_65000,30000_30001_1,30000_30002_1,30000_30003_1</v>
      </c>
    </row>
    <row r="292" spans="1:14">
      <c r="A292" s="1" t="str">
        <f>equip.xml!A296</f>
        <v>10650090</v>
      </c>
      <c r="B292" s="1">
        <f>equip.xml!B296</f>
        <v>1</v>
      </c>
      <c r="C292" s="1" t="str">
        <f>equip.xml!C296</f>
        <v>荣耀先驱护手</v>
      </c>
      <c r="D292" s="1" t="str">
        <f>equip.xml!D296</f>
        <v>手套</v>
      </c>
      <c r="E292" s="1">
        <f>equip.xml!E296</f>
        <v>9</v>
      </c>
      <c r="F292" s="1">
        <f>equip.xml!F296</f>
        <v>1</v>
      </c>
      <c r="G292" s="1">
        <f>equip.xml!G296</f>
        <v>65</v>
      </c>
      <c r="H292" s="1">
        <f>equip.xml!H296</f>
        <v>0</v>
      </c>
      <c r="I292" s="1">
        <f>equip.xml!J296</f>
        <v>5</v>
      </c>
      <c r="J292" s="1">
        <f>equip.xml!K296</f>
        <v>0</v>
      </c>
      <c r="K292" s="1">
        <f>equip.xml!L296</f>
        <v>0</v>
      </c>
      <c r="L292" s="1" t="str">
        <f>equip.xml!M296</f>
        <v>108_3884_3884</v>
      </c>
      <c r="M292" s="7" t="str">
        <f>equip.xml!Q296</f>
        <v>equipment/10011.png</v>
      </c>
      <c r="N292" t="str">
        <f>equip.xml!P296</f>
        <v>10000_1002_65000,30000_30001_1,30000_30002_1,30000_30003_1</v>
      </c>
    </row>
    <row r="293" spans="1:14">
      <c r="A293" s="1" t="str">
        <f>equip.xml!A297</f>
        <v>10650100</v>
      </c>
      <c r="B293" s="1">
        <f>equip.xml!B297</f>
        <v>1</v>
      </c>
      <c r="C293" s="1" t="str">
        <f>equip.xml!C297</f>
        <v>救赎坠饰</v>
      </c>
      <c r="D293" s="1" t="str">
        <f>equip.xml!D297</f>
        <v>项链</v>
      </c>
      <c r="E293" s="1">
        <f>equip.xml!E297</f>
        <v>10</v>
      </c>
      <c r="F293" s="1">
        <f>equip.xml!F297</f>
        <v>1</v>
      </c>
      <c r="G293" s="1">
        <f>equip.xml!G297</f>
        <v>65</v>
      </c>
      <c r="H293" s="1">
        <f>equip.xml!H297</f>
        <v>0</v>
      </c>
      <c r="I293" s="1">
        <f>equip.xml!J297</f>
        <v>5</v>
      </c>
      <c r="J293" s="1">
        <f>equip.xml!K297</f>
        <v>0</v>
      </c>
      <c r="K293" s="1">
        <f>equip.xml!L297</f>
        <v>0</v>
      </c>
      <c r="L293" s="1" t="str">
        <f>equip.xml!M297</f>
        <v>107_2015_2015</v>
      </c>
      <c r="M293" s="7" t="str">
        <f>equip.xml!Q297</f>
        <v>equipment/12011.png</v>
      </c>
      <c r="N293" t="str">
        <f>equip.xml!P297</f>
        <v>10000_1002_65000,30000_30001_1,30000_30002_1,30000_30003_1</v>
      </c>
    </row>
    <row r="294" spans="1:14">
      <c r="A294" s="1" t="str">
        <f>equip.xml!A298</f>
        <v>10651050</v>
      </c>
      <c r="B294" s="1">
        <f>equip.xml!B298</f>
        <v>1</v>
      </c>
      <c r="C294" s="1" t="str">
        <f>equip.xml!C298</f>
        <v>魂歌之刃</v>
      </c>
      <c r="D294" s="1" t="str">
        <f>equip.xml!D298</f>
        <v>主手武器</v>
      </c>
      <c r="E294" s="1">
        <f>equip.xml!E298</f>
        <v>5</v>
      </c>
      <c r="F294" s="1">
        <f>equip.xml!F298</f>
        <v>1</v>
      </c>
      <c r="G294" s="1">
        <f>equip.xml!G298</f>
        <v>65</v>
      </c>
      <c r="H294" s="1" t="str">
        <f>equip.xml!H298</f>
        <v>1,1001</v>
      </c>
      <c r="I294" s="1">
        <f>equip.xml!J298</f>
        <v>5</v>
      </c>
      <c r="J294" s="1">
        <f>equip.xml!K298</f>
        <v>0</v>
      </c>
      <c r="K294" s="1">
        <f>equip.xml!L298</f>
        <v>0</v>
      </c>
      <c r="L294" s="1" t="str">
        <f>equip.xml!M298</f>
        <v>103_2619_2619,104_5238_5238</v>
      </c>
      <c r="M294" s="7" t="str">
        <f>equip.xml!Q298</f>
        <v>equipment/1123.png</v>
      </c>
      <c r="N294" t="str">
        <f>equip.xml!P298</f>
        <v>10000_1002_65000,30000_30001_1,30000_30002_1,30000_30003_1</v>
      </c>
    </row>
    <row r="295" spans="1:14">
      <c r="A295" s="1" t="str">
        <f>equip.xml!A299</f>
        <v>10651051</v>
      </c>
      <c r="B295" s="1">
        <f>equip.xml!B299</f>
        <v>0</v>
      </c>
      <c r="C295" s="1" t="str">
        <f>equip.xml!C299</f>
        <v>命运</v>
      </c>
      <c r="D295" s="1" t="str">
        <f>equip.xml!D299</f>
        <v>主手武器</v>
      </c>
      <c r="E295" s="1">
        <f>equip.xml!E299</f>
        <v>5</v>
      </c>
      <c r="F295" s="1">
        <f>equip.xml!F299</f>
        <v>1</v>
      </c>
      <c r="G295" s="1">
        <f>equip.xml!G299</f>
        <v>65</v>
      </c>
      <c r="H295" s="1" t="str">
        <f>equip.xml!H299</f>
        <v>1,1001</v>
      </c>
      <c r="I295" s="1">
        <f>equip.xml!J299</f>
        <v>5</v>
      </c>
      <c r="J295" s="1">
        <f>equip.xml!K299</f>
        <v>0</v>
      </c>
      <c r="K295" s="1">
        <f>equip.xml!L299</f>
        <v>0</v>
      </c>
      <c r="L295" s="1" t="str">
        <f>equip.xml!M299</f>
        <v>103_2854_2854,104_5708_5708</v>
      </c>
      <c r="M295" s="7" t="str">
        <f>equip.xml!Q299</f>
        <v>equipment/1101.png</v>
      </c>
      <c r="N295" t="str">
        <f>equip.xml!P299</f>
        <v>10000_1002_65000,30000_30001_1,30000_30002_1,30000_30003_1</v>
      </c>
    </row>
    <row r="296" spans="1:14">
      <c r="A296" s="1" t="str">
        <f>equip.xml!A300</f>
        <v>10651060</v>
      </c>
      <c r="B296" s="1">
        <f>equip.xml!B300</f>
        <v>1</v>
      </c>
      <c r="C296" s="1" t="str">
        <f>equip.xml!C300</f>
        <v>日怒之盾</v>
      </c>
      <c r="D296" s="1" t="str">
        <f>equip.xml!D300</f>
        <v>副手武器</v>
      </c>
      <c r="E296" s="1">
        <f>equip.xml!E300</f>
        <v>6</v>
      </c>
      <c r="F296" s="1">
        <f>equip.xml!F300</f>
        <v>1</v>
      </c>
      <c r="G296" s="1">
        <f>equip.xml!G300</f>
        <v>65</v>
      </c>
      <c r="H296" s="1" t="str">
        <f>equip.xml!H300</f>
        <v>1,1001</v>
      </c>
      <c r="I296" s="1">
        <f>equip.xml!J300</f>
        <v>5</v>
      </c>
      <c r="J296" s="1">
        <f>equip.xml!K300</f>
        <v>0</v>
      </c>
      <c r="K296" s="1">
        <f>equip.xml!L300</f>
        <v>0</v>
      </c>
      <c r="L296" s="1" t="str">
        <f>equip.xml!M300</f>
        <v>105_2988_2988</v>
      </c>
      <c r="M296" s="7" t="str">
        <f>equip.xml!Q300</f>
        <v>equipment/2116.png</v>
      </c>
      <c r="N296" t="str">
        <f>equip.xml!P300</f>
        <v>10000_1002_65000,30000_30001_1,30000_30002_1,30000_30003_1</v>
      </c>
    </row>
    <row r="297" spans="1:14">
      <c r="A297" s="1" t="str">
        <f>equip.xml!A301</f>
        <v>10651061</v>
      </c>
      <c r="B297" s="1">
        <f>equip.xml!B301</f>
        <v>0</v>
      </c>
      <c r="C297" s="1" t="str">
        <f>equip.xml!C301</f>
        <v>尖头盾</v>
      </c>
      <c r="D297" s="1" t="str">
        <f>equip.xml!D301</f>
        <v>副手武器</v>
      </c>
      <c r="E297" s="1">
        <f>equip.xml!E301</f>
        <v>6</v>
      </c>
      <c r="F297" s="1">
        <f>equip.xml!F301</f>
        <v>1</v>
      </c>
      <c r="G297" s="1">
        <f>equip.xml!G301</f>
        <v>65</v>
      </c>
      <c r="H297" s="1" t="str">
        <f>equip.xml!H301</f>
        <v>1,1001</v>
      </c>
      <c r="I297" s="1">
        <f>equip.xml!J301</f>
        <v>5</v>
      </c>
      <c r="J297" s="1">
        <f>equip.xml!K301</f>
        <v>0</v>
      </c>
      <c r="K297" s="1">
        <f>equip.xml!L301</f>
        <v>0</v>
      </c>
      <c r="L297" s="1" t="str">
        <f>equip.xml!M301</f>
        <v>105_2988_2988</v>
      </c>
      <c r="M297" s="7" t="str">
        <f>equip.xml!Q301</f>
        <v>equipment/2101.png</v>
      </c>
      <c r="N297" t="str">
        <f>equip.xml!P301</f>
        <v>10000_1002_65000,30000_30001_1,30000_30002_1,30000_30003_1</v>
      </c>
    </row>
    <row r="298" spans="1:14">
      <c r="A298" s="1" t="str">
        <f>equip.xml!A302</f>
        <v>10652050</v>
      </c>
      <c r="B298" s="1">
        <f>equip.xml!B302</f>
        <v>1</v>
      </c>
      <c r="C298" s="1" t="str">
        <f>equip.xml!C302</f>
        <v>憎恨之击</v>
      </c>
      <c r="D298" s="1" t="str">
        <f>equip.xml!D302</f>
        <v>主手武器</v>
      </c>
      <c r="E298" s="1">
        <f>equip.xml!E302</f>
        <v>5</v>
      </c>
      <c r="F298" s="1">
        <f>equip.xml!F302</f>
        <v>1</v>
      </c>
      <c r="G298" s="1">
        <f>equip.xml!G302</f>
        <v>65</v>
      </c>
      <c r="H298" s="1" t="str">
        <f>equip.xml!H302</f>
        <v>2,1002</v>
      </c>
      <c r="I298" s="1">
        <f>equip.xml!J302</f>
        <v>5</v>
      </c>
      <c r="J298" s="1">
        <f>equip.xml!K302</f>
        <v>0</v>
      </c>
      <c r="K298" s="1">
        <f>equip.xml!L302</f>
        <v>0</v>
      </c>
      <c r="L298" s="1" t="str">
        <f>equip.xml!M302</f>
        <v>103_2619_2619,104_5238_5238</v>
      </c>
      <c r="M298" s="7" t="str">
        <f>equip.xml!Q302</f>
        <v>equipment/1224.png</v>
      </c>
      <c r="N298" t="str">
        <f>equip.xml!P302</f>
        <v>10000_1002_65000,30000_30001_1,30000_30002_1,30000_30003_1</v>
      </c>
    </row>
    <row r="299" spans="1:14">
      <c r="A299" s="1" t="str">
        <f>equip.xml!A303</f>
        <v>10652051</v>
      </c>
      <c r="B299" s="1">
        <f>equip.xml!B303</f>
        <v>0</v>
      </c>
      <c r="C299" s="1" t="str">
        <f>equip.xml!C303</f>
        <v>日怒凰弓</v>
      </c>
      <c r="D299" s="1" t="str">
        <f>equip.xml!D303</f>
        <v>主手武器</v>
      </c>
      <c r="E299" s="1">
        <f>equip.xml!E303</f>
        <v>5</v>
      </c>
      <c r="F299" s="1">
        <f>equip.xml!F303</f>
        <v>1</v>
      </c>
      <c r="G299" s="1">
        <f>equip.xml!G303</f>
        <v>65</v>
      </c>
      <c r="H299" s="1" t="str">
        <f>equip.xml!H303</f>
        <v>2,1002</v>
      </c>
      <c r="I299" s="1">
        <f>equip.xml!J303</f>
        <v>5</v>
      </c>
      <c r="J299" s="1">
        <f>equip.xml!K303</f>
        <v>0</v>
      </c>
      <c r="K299" s="1">
        <f>equip.xml!L303</f>
        <v>0</v>
      </c>
      <c r="L299" s="1" t="str">
        <f>equip.xml!M303</f>
        <v>103_2854_2854,104_5708_5708</v>
      </c>
      <c r="M299" s="7" t="str">
        <f>equip.xml!Q303</f>
        <v>equipment/1201.png</v>
      </c>
      <c r="N299" t="str">
        <f>equip.xml!P303</f>
        <v>10000_1002_65000,30000_30001_1,30000_30002_1,30000_30003_1</v>
      </c>
    </row>
    <row r="300" spans="1:14">
      <c r="A300" s="1" t="str">
        <f>equip.xml!A304</f>
        <v>10652060</v>
      </c>
      <c r="B300" s="1">
        <f>equip.xml!B304</f>
        <v>1</v>
      </c>
      <c r="C300" s="1" t="str">
        <f>equip.xml!C304</f>
        <v>追噬之矢</v>
      </c>
      <c r="D300" s="1" t="str">
        <f>equip.xml!D304</f>
        <v>副手武器</v>
      </c>
      <c r="E300" s="1">
        <f>equip.xml!E304</f>
        <v>6</v>
      </c>
      <c r="F300" s="1">
        <f>equip.xml!F304</f>
        <v>1</v>
      </c>
      <c r="G300" s="1">
        <f>equip.xml!G304</f>
        <v>65</v>
      </c>
      <c r="H300" s="1" t="str">
        <f>equip.xml!H304</f>
        <v>2,1002</v>
      </c>
      <c r="I300" s="1">
        <f>equip.xml!J304</f>
        <v>5</v>
      </c>
      <c r="J300" s="1">
        <f>equip.xml!K304</f>
        <v>0</v>
      </c>
      <c r="K300" s="1">
        <f>equip.xml!L304</f>
        <v>0</v>
      </c>
      <c r="L300" s="1" t="str">
        <f>equip.xml!M304</f>
        <v>108_2988_2988</v>
      </c>
      <c r="M300" s="7" t="str">
        <f>equip.xml!Q304</f>
        <v>equipment/2216.png</v>
      </c>
      <c r="N300" t="str">
        <f>equip.xml!P304</f>
        <v>10000_1002_65000,30000_30001_1,30000_30002_1,30000_30003_1</v>
      </c>
    </row>
    <row r="301" spans="1:14">
      <c r="A301" s="1" t="str">
        <f>equip.xml!A305</f>
        <v>10652061</v>
      </c>
      <c r="B301" s="1">
        <f>equip.xml!B305</f>
        <v>0</v>
      </c>
      <c r="C301" s="1" t="str">
        <f>equip.xml!C305</f>
        <v>箭筒</v>
      </c>
      <c r="D301" s="1" t="str">
        <f>equip.xml!D305</f>
        <v>副手武器</v>
      </c>
      <c r="E301" s="1">
        <f>equip.xml!E305</f>
        <v>6</v>
      </c>
      <c r="F301" s="1">
        <f>equip.xml!F305</f>
        <v>1</v>
      </c>
      <c r="G301" s="1">
        <f>equip.xml!G305</f>
        <v>65</v>
      </c>
      <c r="H301" s="1" t="str">
        <f>equip.xml!H305</f>
        <v>2,1002</v>
      </c>
      <c r="I301" s="1">
        <f>equip.xml!J305</f>
        <v>5</v>
      </c>
      <c r="J301" s="1">
        <f>equip.xml!K305</f>
        <v>0</v>
      </c>
      <c r="K301" s="1">
        <f>equip.xml!L305</f>
        <v>0</v>
      </c>
      <c r="L301" s="1" t="str">
        <f>equip.xml!M305</f>
        <v>108_2988_2988</v>
      </c>
      <c r="M301" s="7" t="str">
        <f>equip.xml!Q305</f>
        <v>equipment/2201.png</v>
      </c>
      <c r="N301" t="str">
        <f>equip.xml!P305</f>
        <v>10000_1002_65000,30000_30001_1,30000_30002_1,30000_30003_1</v>
      </c>
    </row>
    <row r="302" spans="1:14">
      <c r="A302" s="1" t="str">
        <f>equip.xml!A306</f>
        <v>10653050</v>
      </c>
      <c r="B302" s="1">
        <f>equip.xml!B306</f>
        <v>1</v>
      </c>
      <c r="C302" s="1" t="str">
        <f>equip.xml!C306</f>
        <v>时轮金杖</v>
      </c>
      <c r="D302" s="1" t="str">
        <f>equip.xml!D306</f>
        <v>主手武器</v>
      </c>
      <c r="E302" s="1">
        <f>equip.xml!E306</f>
        <v>5</v>
      </c>
      <c r="F302" s="1">
        <f>equip.xml!F306</f>
        <v>1</v>
      </c>
      <c r="G302" s="1">
        <f>equip.xml!G306</f>
        <v>65</v>
      </c>
      <c r="H302" s="1" t="str">
        <f>equip.xml!H306</f>
        <v>3,1003</v>
      </c>
      <c r="I302" s="1">
        <f>equip.xml!J306</f>
        <v>5</v>
      </c>
      <c r="J302" s="1">
        <f>equip.xml!K306</f>
        <v>0</v>
      </c>
      <c r="K302" s="1">
        <f>equip.xml!L306</f>
        <v>0</v>
      </c>
      <c r="L302" s="1" t="str">
        <f>equip.xml!M306</f>
        <v>103_2619_2619,104_5238_5238</v>
      </c>
      <c r="M302" s="7" t="str">
        <f>equip.xml!Q306</f>
        <v>equipment/1323.png</v>
      </c>
      <c r="N302" t="str">
        <f>equip.xml!P306</f>
        <v>10000_1002_65000,30000_30001_1,30000_30002_1,30000_30003_1</v>
      </c>
    </row>
    <row r="303" spans="1:14">
      <c r="A303" s="1" t="str">
        <f>equip.xml!A307</f>
        <v>10653051</v>
      </c>
      <c r="B303" s="1">
        <f>equip.xml!B307</f>
        <v>0</v>
      </c>
      <c r="C303" s="1" t="str">
        <f>equip.xml!C307</f>
        <v>学徒法杖</v>
      </c>
      <c r="D303" s="1" t="str">
        <f>equip.xml!D307</f>
        <v>主手武器</v>
      </c>
      <c r="E303" s="1">
        <f>equip.xml!E307</f>
        <v>5</v>
      </c>
      <c r="F303" s="1">
        <f>equip.xml!F307</f>
        <v>1</v>
      </c>
      <c r="G303" s="1">
        <f>equip.xml!G307</f>
        <v>65</v>
      </c>
      <c r="H303" s="1" t="str">
        <f>equip.xml!H307</f>
        <v>3,1003</v>
      </c>
      <c r="I303" s="1">
        <f>equip.xml!J307</f>
        <v>5</v>
      </c>
      <c r="J303" s="1">
        <f>equip.xml!K307</f>
        <v>0</v>
      </c>
      <c r="K303" s="1">
        <f>equip.xml!L307</f>
        <v>0</v>
      </c>
      <c r="L303" s="1" t="str">
        <f>equip.xml!M307</f>
        <v>103_2854_2854,104_5708_5708</v>
      </c>
      <c r="M303" s="7" t="str">
        <f>equip.xml!Q307</f>
        <v>equipment/1301.png</v>
      </c>
      <c r="N303" t="str">
        <f>equip.xml!P307</f>
        <v>10000_1002_65000,30000_30001_1,30000_30002_1,30000_30003_1</v>
      </c>
    </row>
    <row r="304" spans="1:14">
      <c r="A304" s="1" t="str">
        <f>equip.xml!A308</f>
        <v>10653060</v>
      </c>
      <c r="B304" s="1">
        <f>equip.xml!B308</f>
        <v>1</v>
      </c>
      <c r="C304" s="1" t="str">
        <f>equip.xml!C308</f>
        <v>龙语秘典</v>
      </c>
      <c r="D304" s="1" t="str">
        <f>equip.xml!D308</f>
        <v>副手武器</v>
      </c>
      <c r="E304" s="1">
        <f>equip.xml!E308</f>
        <v>6</v>
      </c>
      <c r="F304" s="1">
        <f>equip.xml!F308</f>
        <v>1</v>
      </c>
      <c r="G304" s="1">
        <f>equip.xml!G308</f>
        <v>65</v>
      </c>
      <c r="H304" s="1" t="str">
        <f>equip.xml!H308</f>
        <v>3,1003</v>
      </c>
      <c r="I304" s="1">
        <f>equip.xml!J308</f>
        <v>5</v>
      </c>
      <c r="J304" s="1">
        <f>equip.xml!K308</f>
        <v>0</v>
      </c>
      <c r="K304" s="1">
        <f>equip.xml!L308</f>
        <v>0</v>
      </c>
      <c r="L304" s="1" t="str">
        <f>equip.xml!M308</f>
        <v>102_2620_2620</v>
      </c>
      <c r="M304" s="7" t="str">
        <f>equip.xml!Q308</f>
        <v>equipment/2317.png</v>
      </c>
      <c r="N304" t="str">
        <f>equip.xml!P308</f>
        <v>10000_1002_65000,30000_30001_1,30000_30002_1,30000_30003_1</v>
      </c>
    </row>
    <row r="305" spans="1:14">
      <c r="A305" s="1" t="str">
        <f>equip.xml!A309</f>
        <v>10653061</v>
      </c>
      <c r="B305" s="1">
        <f>equip.xml!B309</f>
        <v>0</v>
      </c>
      <c r="C305" s="1" t="str">
        <f>equip.xml!C309</f>
        <v>法术指南</v>
      </c>
      <c r="D305" s="1" t="str">
        <f>equip.xml!D309</f>
        <v>副手武器</v>
      </c>
      <c r="E305" s="1">
        <f>equip.xml!E309</f>
        <v>6</v>
      </c>
      <c r="F305" s="1">
        <f>equip.xml!F309</f>
        <v>1</v>
      </c>
      <c r="G305" s="1">
        <f>equip.xml!G309</f>
        <v>65</v>
      </c>
      <c r="H305" s="1" t="str">
        <f>equip.xml!H309</f>
        <v>3,1003</v>
      </c>
      <c r="I305" s="1">
        <f>equip.xml!J309</f>
        <v>5</v>
      </c>
      <c r="J305" s="1">
        <f>equip.xml!K309</f>
        <v>0</v>
      </c>
      <c r="K305" s="1">
        <f>equip.xml!L309</f>
        <v>0</v>
      </c>
      <c r="L305" s="1" t="str">
        <f>equip.xml!M309</f>
        <v>102_2988_2988</v>
      </c>
      <c r="M305" s="7" t="str">
        <f>equip.xml!Q309</f>
        <v>equipment/2301.png</v>
      </c>
      <c r="N305" t="str">
        <f>equip.xml!P309</f>
        <v>10000_1002_65000,30000_30001_1,30000_30002_1,30000_30003_1</v>
      </c>
    </row>
    <row r="306" spans="1:14">
      <c r="A306" s="1" t="str">
        <f>equip.xml!A310</f>
        <v>10650040</v>
      </c>
      <c r="B306" s="1">
        <f>equip.xml!B310</f>
        <v>1</v>
      </c>
      <c r="C306" s="1" t="str">
        <f>equip.xml!C310</f>
        <v>末世胸铠</v>
      </c>
      <c r="D306" s="1" t="str">
        <f>equip.xml!D310</f>
        <v>胸甲</v>
      </c>
      <c r="E306" s="1">
        <f>equip.xml!E310</f>
        <v>4</v>
      </c>
      <c r="F306" s="1">
        <f>equip.xml!F310</f>
        <v>1</v>
      </c>
      <c r="G306" s="1">
        <f>equip.xml!G310</f>
        <v>65</v>
      </c>
      <c r="H306" s="1">
        <f>equip.xml!H310</f>
        <v>0</v>
      </c>
      <c r="I306" s="1">
        <f>equip.xml!J310</f>
        <v>5</v>
      </c>
      <c r="J306" s="1">
        <f>equip.xml!K310</f>
        <v>0</v>
      </c>
      <c r="K306" s="1">
        <f>equip.xml!L310</f>
        <v>0</v>
      </c>
      <c r="L306" s="1" t="str">
        <f>equip.xml!M310</f>
        <v>105_1628_1628</v>
      </c>
      <c r="M306" s="7" t="str">
        <f>equip.xml!Q310</f>
        <v>equipment/5017.png</v>
      </c>
      <c r="N306" t="str">
        <f>equip.xml!P310</f>
        <v>10000_1002_65000,30000_30001_1,30000_30002_1,30000_30003_1</v>
      </c>
    </row>
    <row r="307" spans="1:14">
      <c r="A307" s="1" t="str">
        <f>equip.xml!A311</f>
        <v>10650041</v>
      </c>
      <c r="B307" s="1">
        <f>equip.xml!B311</f>
        <v>0</v>
      </c>
      <c r="C307" s="1" t="str">
        <f>equip.xml!C311</f>
        <v>新兵外套</v>
      </c>
      <c r="D307" s="1" t="str">
        <f>equip.xml!D311</f>
        <v>胸甲</v>
      </c>
      <c r="E307" s="1">
        <f>equip.xml!E311</f>
        <v>4</v>
      </c>
      <c r="F307" s="1">
        <f>equip.xml!F311</f>
        <v>1</v>
      </c>
      <c r="G307" s="1">
        <f>equip.xml!G311</f>
        <v>65</v>
      </c>
      <c r="H307" s="1">
        <f>equip.xml!H311</f>
        <v>0</v>
      </c>
      <c r="I307" s="1">
        <f>equip.xml!J311</f>
        <v>5</v>
      </c>
      <c r="J307" s="1">
        <f>equip.xml!K311</f>
        <v>0</v>
      </c>
      <c r="K307" s="1">
        <f>equip.xml!L311</f>
        <v>0</v>
      </c>
      <c r="L307" s="1" t="str">
        <f>equip.xml!M311</f>
        <v>105_1628_1628</v>
      </c>
      <c r="M307" s="7" t="str">
        <f>equip.xml!Q311</f>
        <v>equipment/5001.png</v>
      </c>
      <c r="N307" t="str">
        <f>equip.xml!P311</f>
        <v>10000_1002_65000,30000_30001_1,30000_30002_1,30000_30003_1</v>
      </c>
    </row>
    <row r="308" spans="1:14">
      <c r="A308" s="1" t="str">
        <f>equip.xml!A312</f>
        <v>10650070</v>
      </c>
      <c r="B308" s="1">
        <f>equip.xml!B312</f>
        <v>1</v>
      </c>
      <c r="C308" s="1" t="str">
        <f>equip.xml!C312</f>
        <v>止战腿甲</v>
      </c>
      <c r="D308" s="1" t="str">
        <f>equip.xml!D312</f>
        <v>护腿</v>
      </c>
      <c r="E308" s="1">
        <f>equip.xml!E312</f>
        <v>7</v>
      </c>
      <c r="F308" s="1">
        <f>equip.xml!F312</f>
        <v>1</v>
      </c>
      <c r="G308" s="1">
        <f>equip.xml!G312</f>
        <v>65</v>
      </c>
      <c r="H308" s="1">
        <f>equip.xml!H312</f>
        <v>0</v>
      </c>
      <c r="I308" s="1">
        <f>equip.xml!J312</f>
        <v>5</v>
      </c>
      <c r="J308" s="1">
        <f>equip.xml!K312</f>
        <v>0</v>
      </c>
      <c r="K308" s="1">
        <f>equip.xml!L312</f>
        <v>0</v>
      </c>
      <c r="L308" s="1" t="str">
        <f>equip.xml!M312</f>
        <v>105_1627_1627</v>
      </c>
      <c r="M308" s="7" t="str">
        <f>equip.xml!Q312</f>
        <v>equipment/7017.png</v>
      </c>
      <c r="N308" t="str">
        <f>equip.xml!P312</f>
        <v>10000_1002_65000,30000_30001_1,30000_30002_1,30000_30003_1</v>
      </c>
    </row>
    <row r="309" spans="1:14">
      <c r="A309" s="1" t="str">
        <f>equip.xml!A313</f>
        <v>10650071</v>
      </c>
      <c r="B309" s="1">
        <f>equip.xml!B313</f>
        <v>0</v>
      </c>
      <c r="C309" s="1" t="str">
        <f>equip.xml!C313</f>
        <v>学徒短裤</v>
      </c>
      <c r="D309" s="1" t="str">
        <f>equip.xml!D313</f>
        <v>护腿</v>
      </c>
      <c r="E309" s="1">
        <f>equip.xml!E313</f>
        <v>7</v>
      </c>
      <c r="F309" s="1">
        <f>equip.xml!F313</f>
        <v>1</v>
      </c>
      <c r="G309" s="1">
        <f>equip.xml!G313</f>
        <v>65</v>
      </c>
      <c r="H309" s="1">
        <f>equip.xml!H313</f>
        <v>0</v>
      </c>
      <c r="I309" s="1">
        <f>equip.xml!J313</f>
        <v>5</v>
      </c>
      <c r="J309" s="1">
        <f>equip.xml!K313</f>
        <v>0</v>
      </c>
      <c r="K309" s="1">
        <f>equip.xml!L313</f>
        <v>0</v>
      </c>
      <c r="L309" s="1" t="str">
        <f>equip.xml!M313</f>
        <v>105_1627_1627</v>
      </c>
      <c r="M309" s="7" t="str">
        <f>equip.xml!Q313</f>
        <v>equipment/7001.png</v>
      </c>
      <c r="N309" t="str">
        <f>equip.xml!P313</f>
        <v>10000_1002_65000,30000_30001_1,30000_30002_1,30000_30003_1</v>
      </c>
    </row>
    <row r="310" spans="1:14">
      <c r="A310" s="1" t="str">
        <f>equip.xml!A314</f>
        <v>10700010</v>
      </c>
      <c r="B310" s="1">
        <f>equip.xml!B314</f>
        <v>0</v>
      </c>
      <c r="C310" s="1" t="str">
        <f>equip.xml!C314</f>
        <v>残阳王冠</v>
      </c>
      <c r="D310" s="1" t="str">
        <f>equip.xml!D314</f>
        <v>头盔</v>
      </c>
      <c r="E310" s="1">
        <f>equip.xml!E314</f>
        <v>1</v>
      </c>
      <c r="F310" s="1">
        <f>equip.xml!F314</f>
        <v>1</v>
      </c>
      <c r="G310" s="1">
        <f>equip.xml!G314</f>
        <v>70</v>
      </c>
      <c r="H310" s="1">
        <f>equip.xml!H314</f>
        <v>0</v>
      </c>
      <c r="I310" s="1">
        <f>equip.xml!J314</f>
        <v>5</v>
      </c>
      <c r="J310" s="1">
        <f>equip.xml!K314</f>
        <v>0</v>
      </c>
      <c r="K310" s="1">
        <f>equip.xml!L314</f>
        <v>0</v>
      </c>
      <c r="L310" s="1" t="str">
        <f>equip.xml!M314</f>
        <v>106_0_0</v>
      </c>
      <c r="M310" s="7" t="str">
        <f>equip.xml!Q314</f>
        <v>equipment/3001.png</v>
      </c>
      <c r="N310" t="str">
        <f>equip.xml!P314</f>
        <v>10000_1002_70000,30000_30001_1,30000_30002_1,30000_30003_1</v>
      </c>
    </row>
    <row r="311" spans="1:14">
      <c r="A311" s="1" t="str">
        <f>equip.xml!A315</f>
        <v>10700020</v>
      </c>
      <c r="B311" s="1">
        <f>equip.xml!B315</f>
        <v>0</v>
      </c>
      <c r="C311" s="1" t="str">
        <f>equip.xml!C315</f>
        <v>至尊三戒</v>
      </c>
      <c r="D311" s="1" t="str">
        <f>equip.xml!D315</f>
        <v>戒指</v>
      </c>
      <c r="E311" s="1">
        <f>equip.xml!E315</f>
        <v>2</v>
      </c>
      <c r="F311" s="1">
        <f>equip.xml!F315</f>
        <v>1</v>
      </c>
      <c r="G311" s="1">
        <f>equip.xml!G315</f>
        <v>70</v>
      </c>
      <c r="H311" s="1">
        <f>equip.xml!H315</f>
        <v>0</v>
      </c>
      <c r="I311" s="1">
        <f>equip.xml!J315</f>
        <v>5</v>
      </c>
      <c r="J311" s="1">
        <f>equip.xml!K315</f>
        <v>0</v>
      </c>
      <c r="K311" s="1">
        <f>equip.xml!L315</f>
        <v>0</v>
      </c>
      <c r="L311" s="1" t="str">
        <f>equip.xml!M315</f>
        <v>102_0_0</v>
      </c>
      <c r="M311" s="7" t="str">
        <f>equip.xml!Q315</f>
        <v>equipment/14001.png</v>
      </c>
      <c r="N311" t="str">
        <f>equip.xml!P315</f>
        <v>10000_1002_70000,30000_30001_1,30000_30002_1,30000_30003_1</v>
      </c>
    </row>
    <row r="312" spans="1:14">
      <c r="A312" s="1" t="str">
        <f>equip.xml!A316</f>
        <v>10700030</v>
      </c>
      <c r="B312" s="1">
        <f>equip.xml!B316</f>
        <v>0</v>
      </c>
      <c r="C312" s="1" t="str">
        <f>equip.xml!C316</f>
        <v>雷神护腰</v>
      </c>
      <c r="D312" s="1" t="str">
        <f>equip.xml!D316</f>
        <v>腰带</v>
      </c>
      <c r="E312" s="1">
        <f>equip.xml!E316</f>
        <v>3</v>
      </c>
      <c r="F312" s="1">
        <f>equip.xml!F316</f>
        <v>1</v>
      </c>
      <c r="G312" s="1">
        <f>equip.xml!G316</f>
        <v>70</v>
      </c>
      <c r="H312" s="1">
        <f>equip.xml!H316</f>
        <v>0</v>
      </c>
      <c r="I312" s="1">
        <f>equip.xml!J316</f>
        <v>5</v>
      </c>
      <c r="J312" s="1">
        <f>equip.xml!K316</f>
        <v>0</v>
      </c>
      <c r="K312" s="1">
        <f>equip.xml!L316</f>
        <v>0</v>
      </c>
      <c r="L312" s="1" t="str">
        <f>equip.xml!M316</f>
        <v>101_0_0</v>
      </c>
      <c r="M312" s="7" t="str">
        <f>equip.xml!Q316</f>
        <v>equipment/6001.png</v>
      </c>
      <c r="N312" t="str">
        <f>equip.xml!P316</f>
        <v>10000_1002_70000,30000_30001_1,30000_30002_1,30000_30003_1</v>
      </c>
    </row>
    <row r="313" spans="1:14">
      <c r="A313" s="1" t="str">
        <f>equip.xml!A317</f>
        <v>10700080</v>
      </c>
      <c r="B313" s="1">
        <f>equip.xml!B317</f>
        <v>0</v>
      </c>
      <c r="C313" s="1" t="str">
        <f>equip.xml!C317</f>
        <v>星旅之靴</v>
      </c>
      <c r="D313" s="1" t="str">
        <f>equip.xml!D317</f>
        <v>鞋子</v>
      </c>
      <c r="E313" s="1">
        <f>equip.xml!E317</f>
        <v>8</v>
      </c>
      <c r="F313" s="1">
        <f>equip.xml!F317</f>
        <v>1</v>
      </c>
      <c r="G313" s="1">
        <f>equip.xml!G317</f>
        <v>70</v>
      </c>
      <c r="H313" s="1">
        <f>equip.xml!H317</f>
        <v>0</v>
      </c>
      <c r="I313" s="1">
        <f>equip.xml!J317</f>
        <v>5</v>
      </c>
      <c r="J313" s="1">
        <f>equip.xml!K317</f>
        <v>0</v>
      </c>
      <c r="K313" s="1">
        <f>equip.xml!L317</f>
        <v>0</v>
      </c>
      <c r="L313" s="1" t="str">
        <f>equip.xml!M317</f>
        <v>110_0_0</v>
      </c>
      <c r="M313" s="7" t="str">
        <f>equip.xml!Q317</f>
        <v>equipment/8001.png</v>
      </c>
      <c r="N313" t="str">
        <f>equip.xml!P317</f>
        <v>10000_1002_70000,30000_30001_1,30000_30002_1,30000_30003_1</v>
      </c>
    </row>
    <row r="314" spans="1:14">
      <c r="A314" s="1" t="str">
        <f>equip.xml!A318</f>
        <v>10700090</v>
      </c>
      <c r="B314" s="1">
        <f>equip.xml!B318</f>
        <v>0</v>
      </c>
      <c r="C314" s="1" t="str">
        <f>equip.xml!C318</f>
        <v>泰坦之拳</v>
      </c>
      <c r="D314" s="1" t="str">
        <f>equip.xml!D318</f>
        <v>手套</v>
      </c>
      <c r="E314" s="1">
        <f>equip.xml!E318</f>
        <v>9</v>
      </c>
      <c r="F314" s="1">
        <f>equip.xml!F318</f>
        <v>1</v>
      </c>
      <c r="G314" s="1">
        <f>equip.xml!G318</f>
        <v>70</v>
      </c>
      <c r="H314" s="1">
        <f>equip.xml!H318</f>
        <v>0</v>
      </c>
      <c r="I314" s="1">
        <f>equip.xml!J318</f>
        <v>5</v>
      </c>
      <c r="J314" s="1">
        <f>equip.xml!K318</f>
        <v>0</v>
      </c>
      <c r="K314" s="1">
        <f>equip.xml!L318</f>
        <v>0</v>
      </c>
      <c r="L314" s="1" t="str">
        <f>equip.xml!M318</f>
        <v>108_0_0</v>
      </c>
      <c r="M314" s="7" t="str">
        <f>equip.xml!Q318</f>
        <v>equipment/10001.png</v>
      </c>
      <c r="N314" t="str">
        <f>equip.xml!P318</f>
        <v>10000_1002_70000,30000_30001_1,30000_30002_1,30000_30003_1</v>
      </c>
    </row>
    <row r="315" spans="1:14">
      <c r="A315" s="1" t="str">
        <f>equip.xml!A319</f>
        <v>10700100</v>
      </c>
      <c r="B315" s="1">
        <f>equip.xml!B319</f>
        <v>0</v>
      </c>
      <c r="C315" s="1" t="str">
        <f>equip.xml!C319</f>
        <v>岁月永恒护符</v>
      </c>
      <c r="D315" s="1" t="str">
        <f>equip.xml!D319</f>
        <v>项链</v>
      </c>
      <c r="E315" s="1">
        <f>equip.xml!E319</f>
        <v>10</v>
      </c>
      <c r="F315" s="1">
        <f>equip.xml!F319</f>
        <v>1</v>
      </c>
      <c r="G315" s="1">
        <f>equip.xml!G319</f>
        <v>70</v>
      </c>
      <c r="H315" s="1">
        <f>equip.xml!H319</f>
        <v>0</v>
      </c>
      <c r="I315" s="1">
        <f>equip.xml!J319</f>
        <v>5</v>
      </c>
      <c r="J315" s="1">
        <f>equip.xml!K319</f>
        <v>0</v>
      </c>
      <c r="K315" s="1">
        <f>equip.xml!L319</f>
        <v>0</v>
      </c>
      <c r="L315" s="1" t="str">
        <f>equip.xml!M319</f>
        <v>107_0_0</v>
      </c>
      <c r="M315" s="7" t="str">
        <f>equip.xml!Q319</f>
        <v>equipment/12001.png</v>
      </c>
      <c r="N315" t="str">
        <f>equip.xml!P319</f>
        <v>10000_1002_70000,30000_30001_1,30000_30002_1,30000_30003_1</v>
      </c>
    </row>
    <row r="316" spans="1:14">
      <c r="A316" s="1" t="str">
        <f>equip.xml!A320</f>
        <v>10701050</v>
      </c>
      <c r="B316" s="1">
        <f>equip.xml!B320</f>
        <v>1</v>
      </c>
      <c r="C316" s="1" t="str">
        <f>equip.xml!C320</f>
        <v>命运</v>
      </c>
      <c r="D316" s="1" t="str">
        <f>equip.xml!D320</f>
        <v>主手武器</v>
      </c>
      <c r="E316" s="1">
        <f>equip.xml!E320</f>
        <v>5</v>
      </c>
      <c r="F316" s="1">
        <f>equip.xml!F320</f>
        <v>1</v>
      </c>
      <c r="G316" s="1">
        <f>equip.xml!G320</f>
        <v>70</v>
      </c>
      <c r="H316" s="1" t="str">
        <f>equip.xml!H320</f>
        <v>1,1001</v>
      </c>
      <c r="I316" s="1">
        <f>equip.xml!J320</f>
        <v>5</v>
      </c>
      <c r="J316" s="1">
        <f>equip.xml!K320</f>
        <v>0</v>
      </c>
      <c r="K316" s="1">
        <f>equip.xml!L320</f>
        <v>0</v>
      </c>
      <c r="L316" s="1" t="str">
        <f>equip.xml!M320</f>
        <v>103_3269_3269,104_6538_6538</v>
      </c>
      <c r="M316" s="7" t="str">
        <f>equip.xml!Q320</f>
        <v>equipment/1124.png</v>
      </c>
      <c r="N316" t="str">
        <f>equip.xml!P320</f>
        <v>10000_1002_70000,30000_30001_1,30000_30002_1,30000_30003_1</v>
      </c>
    </row>
    <row r="317" spans="1:14">
      <c r="A317" s="1" t="str">
        <f>equip.xml!A321</f>
        <v>10701051</v>
      </c>
      <c r="B317" s="1">
        <f>equip.xml!B321</f>
        <v>0</v>
      </c>
      <c r="C317" s="1" t="str">
        <f>equip.xml!C321</f>
        <v>灰烬使者</v>
      </c>
      <c r="D317" s="1" t="str">
        <f>equip.xml!D321</f>
        <v>主手武器</v>
      </c>
      <c r="E317" s="1">
        <f>equip.xml!E321</f>
        <v>5</v>
      </c>
      <c r="F317" s="1">
        <f>equip.xml!F321</f>
        <v>1</v>
      </c>
      <c r="G317" s="1">
        <f>equip.xml!G321</f>
        <v>70</v>
      </c>
      <c r="H317" s="1" t="str">
        <f>equip.xml!H321</f>
        <v>1,1001</v>
      </c>
      <c r="I317" s="1">
        <f>equip.xml!J321</f>
        <v>5</v>
      </c>
      <c r="J317" s="1">
        <f>equip.xml!K321</f>
        <v>0</v>
      </c>
      <c r="K317" s="1">
        <f>equip.xml!L321</f>
        <v>0</v>
      </c>
      <c r="L317" s="1" t="str">
        <f>equip.xml!M321</f>
        <v>103_3269_3269,104_6538_6538</v>
      </c>
      <c r="M317" s="7" t="str">
        <f>equip.xml!Q321</f>
        <v>equipment/1101.png</v>
      </c>
      <c r="N317" t="str">
        <f>equip.xml!P321</f>
        <v>10000_1002_70000,30000_30001_1,30000_30002_1,30000_30003_1</v>
      </c>
    </row>
    <row r="318" spans="1:14">
      <c r="A318" s="1" t="str">
        <f>equip.xml!A322</f>
        <v>10701060</v>
      </c>
      <c r="B318" s="1">
        <f>equip.xml!B322</f>
        <v>1</v>
      </c>
      <c r="C318" s="1" t="str">
        <f>equip.xml!C322</f>
        <v>永恒之盾</v>
      </c>
      <c r="D318" s="1" t="str">
        <f>equip.xml!D322</f>
        <v>副手武器</v>
      </c>
      <c r="E318" s="1">
        <f>equip.xml!E322</f>
        <v>6</v>
      </c>
      <c r="F318" s="1">
        <f>equip.xml!F322</f>
        <v>1</v>
      </c>
      <c r="G318" s="1">
        <f>equip.xml!G322</f>
        <v>70</v>
      </c>
      <c r="H318" s="1" t="str">
        <f>equip.xml!H322</f>
        <v>1,1001</v>
      </c>
      <c r="I318" s="1">
        <f>equip.xml!J322</f>
        <v>5</v>
      </c>
      <c r="J318" s="1">
        <f>equip.xml!K322</f>
        <v>0</v>
      </c>
      <c r="K318" s="1">
        <f>equip.xml!L322</f>
        <v>0</v>
      </c>
      <c r="L318" s="1" t="str">
        <f>equip.xml!M322</f>
        <v>105_3522_3522</v>
      </c>
      <c r="M318" s="7" t="str">
        <f>equip.xml!Q322</f>
        <v>equipment/2118.png</v>
      </c>
      <c r="N318" t="str">
        <f>equip.xml!P322</f>
        <v>10000_1002_70000,30000_30001_1,30000_30002_1,30000_30003_1</v>
      </c>
    </row>
    <row r="319" spans="1:14">
      <c r="A319" s="1" t="str">
        <f>equip.xml!A323</f>
        <v>10701061</v>
      </c>
      <c r="B319" s="1">
        <f>equip.xml!B323</f>
        <v>0</v>
      </c>
      <c r="C319" s="1" t="str">
        <f>equip.xml!C323</f>
        <v>相位壁垒</v>
      </c>
      <c r="D319" s="1" t="str">
        <f>equip.xml!D323</f>
        <v>副手武器</v>
      </c>
      <c r="E319" s="1">
        <f>equip.xml!E323</f>
        <v>6</v>
      </c>
      <c r="F319" s="1">
        <f>equip.xml!F323</f>
        <v>1</v>
      </c>
      <c r="G319" s="1">
        <f>equip.xml!G323</f>
        <v>70</v>
      </c>
      <c r="H319" s="1" t="str">
        <f>equip.xml!H323</f>
        <v>1,1001</v>
      </c>
      <c r="I319" s="1">
        <f>equip.xml!J323</f>
        <v>5</v>
      </c>
      <c r="J319" s="1">
        <f>equip.xml!K323</f>
        <v>0</v>
      </c>
      <c r="K319" s="1">
        <f>equip.xml!L323</f>
        <v>0</v>
      </c>
      <c r="L319" s="1" t="str">
        <f>equip.xml!M323</f>
        <v>105_3522_3522</v>
      </c>
      <c r="M319" s="7" t="str">
        <f>equip.xml!Q323</f>
        <v>equipment/2101.png</v>
      </c>
      <c r="N319" t="str">
        <f>equip.xml!P323</f>
        <v>10000_1002_70000,30000_30001_1,30000_30002_1,30000_30003_1</v>
      </c>
    </row>
    <row r="320" spans="1:14">
      <c r="A320" s="1" t="str">
        <f>equip.xml!A324</f>
        <v>10702050</v>
      </c>
      <c r="B320" s="1">
        <f>equip.xml!B324</f>
        <v>1</v>
      </c>
      <c r="C320" s="1" t="str">
        <f>equip.xml!C324</f>
        <v>日怒凰弓</v>
      </c>
      <c r="D320" s="1" t="str">
        <f>equip.xml!D324</f>
        <v>主手武器</v>
      </c>
      <c r="E320" s="1">
        <f>equip.xml!E324</f>
        <v>5</v>
      </c>
      <c r="F320" s="1">
        <f>equip.xml!F324</f>
        <v>1</v>
      </c>
      <c r="G320" s="1">
        <f>equip.xml!G324</f>
        <v>70</v>
      </c>
      <c r="H320" s="1" t="str">
        <f>equip.xml!H324</f>
        <v>2,1002</v>
      </c>
      <c r="I320" s="1">
        <f>equip.xml!J324</f>
        <v>5</v>
      </c>
      <c r="J320" s="1">
        <f>equip.xml!K324</f>
        <v>0</v>
      </c>
      <c r="K320" s="1">
        <f>equip.xml!L324</f>
        <v>0</v>
      </c>
      <c r="L320" s="1" t="str">
        <f>equip.xml!M324</f>
        <v>103_3269_3269,104_6538_6538</v>
      </c>
      <c r="M320" s="7" t="str">
        <f>equip.xml!Q324</f>
        <v>equipment/1222.png</v>
      </c>
      <c r="N320" t="str">
        <f>equip.xml!P324</f>
        <v>10000_1002_70000,30000_30001_1,30000_30002_1,30000_30003_1</v>
      </c>
    </row>
    <row r="321" spans="1:14">
      <c r="A321" s="1" t="str">
        <f>equip.xml!A325</f>
        <v>10702051</v>
      </c>
      <c r="B321" s="1">
        <f>equip.xml!B325</f>
        <v>0</v>
      </c>
      <c r="C321" s="1" t="str">
        <f>equip.xml!C325</f>
        <v>群星之怒</v>
      </c>
      <c r="D321" s="1" t="str">
        <f>equip.xml!D325</f>
        <v>主手武器</v>
      </c>
      <c r="E321" s="1">
        <f>equip.xml!E325</f>
        <v>5</v>
      </c>
      <c r="F321" s="1">
        <f>equip.xml!F325</f>
        <v>1</v>
      </c>
      <c r="G321" s="1">
        <f>equip.xml!G325</f>
        <v>70</v>
      </c>
      <c r="H321" s="1" t="str">
        <f>equip.xml!H325</f>
        <v>2,1002</v>
      </c>
      <c r="I321" s="1">
        <f>equip.xml!J325</f>
        <v>5</v>
      </c>
      <c r="J321" s="1">
        <f>equip.xml!K325</f>
        <v>0</v>
      </c>
      <c r="K321" s="1">
        <f>equip.xml!L325</f>
        <v>0</v>
      </c>
      <c r="L321" s="1" t="str">
        <f>equip.xml!M325</f>
        <v>103_3269_3269,104_6538_6538</v>
      </c>
      <c r="M321" s="7" t="str">
        <f>equip.xml!Q325</f>
        <v>equipment/1201.png</v>
      </c>
      <c r="N321" t="str">
        <f>equip.xml!P325</f>
        <v>10000_1002_70000,30000_30001_1,30000_30002_1,30000_30003_1</v>
      </c>
    </row>
    <row r="322" spans="1:14">
      <c r="A322" s="1" t="str">
        <f>equip.xml!A326</f>
        <v>10702060</v>
      </c>
      <c r="B322" s="1">
        <f>equip.xml!B326</f>
        <v>1</v>
      </c>
      <c r="C322" s="1" t="str">
        <f>equip.xml!C326</f>
        <v>逐日之矢</v>
      </c>
      <c r="D322" s="1" t="str">
        <f>equip.xml!D326</f>
        <v>副手武器</v>
      </c>
      <c r="E322" s="1">
        <f>equip.xml!E326</f>
        <v>6</v>
      </c>
      <c r="F322" s="1">
        <f>equip.xml!F326</f>
        <v>1</v>
      </c>
      <c r="G322" s="1">
        <f>equip.xml!G326</f>
        <v>70</v>
      </c>
      <c r="H322" s="1" t="str">
        <f>equip.xml!H326</f>
        <v>2,1002</v>
      </c>
      <c r="I322" s="1">
        <f>equip.xml!J326</f>
        <v>5</v>
      </c>
      <c r="J322" s="1">
        <f>equip.xml!K326</f>
        <v>0</v>
      </c>
      <c r="K322" s="1">
        <f>equip.xml!L326</f>
        <v>0</v>
      </c>
      <c r="L322" s="1" t="str">
        <f>equip.xml!M326</f>
        <v>108_3522_3522</v>
      </c>
      <c r="M322" s="7" t="str">
        <f>equip.xml!Q326</f>
        <v>equipment/2218.png</v>
      </c>
      <c r="N322" t="str">
        <f>equip.xml!P326</f>
        <v>10000_1002_70000,30000_30001_1,30000_30002_1,30000_30003_1</v>
      </c>
    </row>
    <row r="323" spans="1:14">
      <c r="A323" s="1" t="str">
        <f>equip.xml!A327</f>
        <v>10702061</v>
      </c>
      <c r="B323" s="1">
        <f>equip.xml!B327</f>
        <v>0</v>
      </c>
      <c r="C323" s="1" t="str">
        <f>equip.xml!C327</f>
        <v>箭筒</v>
      </c>
      <c r="D323" s="1" t="str">
        <f>equip.xml!D327</f>
        <v>副手武器</v>
      </c>
      <c r="E323" s="1">
        <f>equip.xml!E327</f>
        <v>6</v>
      </c>
      <c r="F323" s="1">
        <f>equip.xml!F327</f>
        <v>1</v>
      </c>
      <c r="G323" s="1">
        <f>equip.xml!G327</f>
        <v>70</v>
      </c>
      <c r="H323" s="1" t="str">
        <f>equip.xml!H327</f>
        <v>2,1002</v>
      </c>
      <c r="I323" s="1">
        <f>equip.xml!J327</f>
        <v>5</v>
      </c>
      <c r="J323" s="1">
        <f>equip.xml!K327</f>
        <v>0</v>
      </c>
      <c r="K323" s="1">
        <f>equip.xml!L327</f>
        <v>0</v>
      </c>
      <c r="L323" s="1" t="str">
        <f>equip.xml!M327</f>
        <v>108_3522_3522</v>
      </c>
      <c r="M323" s="7" t="str">
        <f>equip.xml!Q327</f>
        <v>equipment/2201.png</v>
      </c>
      <c r="N323" t="str">
        <f>equip.xml!P327</f>
        <v>10000_1002_70000,30000_30001_1,30000_30002_1,30000_30003_1</v>
      </c>
    </row>
    <row r="324" spans="1:14">
      <c r="A324" s="1" t="str">
        <f>equip.xml!A328</f>
        <v>10703050</v>
      </c>
      <c r="B324" s="1">
        <f>equip.xml!B328</f>
        <v>1</v>
      </c>
      <c r="C324" s="1" t="str">
        <f>equip.xml!C328</f>
        <v>瓦解法杖</v>
      </c>
      <c r="D324" s="1" t="str">
        <f>equip.xml!D328</f>
        <v>主手武器</v>
      </c>
      <c r="E324" s="1">
        <f>equip.xml!E328</f>
        <v>5</v>
      </c>
      <c r="F324" s="1">
        <f>equip.xml!F328</f>
        <v>1</v>
      </c>
      <c r="G324" s="1">
        <f>equip.xml!G328</f>
        <v>70</v>
      </c>
      <c r="H324" s="1" t="str">
        <f>equip.xml!H328</f>
        <v>3,1003</v>
      </c>
      <c r="I324" s="1">
        <f>equip.xml!J328</f>
        <v>5</v>
      </c>
      <c r="J324" s="1">
        <f>equip.xml!K328</f>
        <v>0</v>
      </c>
      <c r="K324" s="1">
        <f>equip.xml!L328</f>
        <v>0</v>
      </c>
      <c r="L324" s="1" t="str">
        <f>equip.xml!M328</f>
        <v>103_3269_3269,104_6538_6538</v>
      </c>
      <c r="M324" s="7" t="str">
        <f>equip.xml!Q328</f>
        <v>equipment/1324.png</v>
      </c>
      <c r="N324" t="str">
        <f>equip.xml!P328</f>
        <v>10000_1002_70000,30000_30001_1,30000_30002_1,30000_30003_1</v>
      </c>
    </row>
    <row r="325" spans="1:14">
      <c r="A325" s="1" t="str">
        <f>equip.xml!A329</f>
        <v>10703051</v>
      </c>
      <c r="B325" s="1">
        <f>equip.xml!B329</f>
        <v>0</v>
      </c>
      <c r="C325" s="1" t="str">
        <f>equip.xml!C329</f>
        <v>守护者之杖</v>
      </c>
      <c r="D325" s="1" t="str">
        <f>equip.xml!D329</f>
        <v>主手武器</v>
      </c>
      <c r="E325" s="1">
        <f>equip.xml!E329</f>
        <v>5</v>
      </c>
      <c r="F325" s="1">
        <f>equip.xml!F329</f>
        <v>1</v>
      </c>
      <c r="G325" s="1">
        <f>equip.xml!G329</f>
        <v>70</v>
      </c>
      <c r="H325" s="1" t="str">
        <f>equip.xml!H329</f>
        <v>3,1003</v>
      </c>
      <c r="I325" s="1">
        <f>equip.xml!J329</f>
        <v>5</v>
      </c>
      <c r="J325" s="1">
        <f>equip.xml!K329</f>
        <v>0</v>
      </c>
      <c r="K325" s="1">
        <f>equip.xml!L329</f>
        <v>0</v>
      </c>
      <c r="L325" s="1" t="str">
        <f>equip.xml!M329</f>
        <v>103_3269_3269,104_6538_6538</v>
      </c>
      <c r="M325" s="7" t="str">
        <f>equip.xml!Q329</f>
        <v>equipment/1301.png</v>
      </c>
      <c r="N325" t="str">
        <f>equip.xml!P329</f>
        <v>10000_1002_70000,30000_30001_1,30000_30002_1,30000_30003_1</v>
      </c>
    </row>
    <row r="326" spans="1:14">
      <c r="A326" s="1" t="str">
        <f>equip.xml!A330</f>
        <v>10703060</v>
      </c>
      <c r="B326" s="1">
        <f>equip.xml!B330</f>
        <v>1</v>
      </c>
      <c r="C326" s="1" t="str">
        <f>equip.xml!C330</f>
        <v>虚空魔典</v>
      </c>
      <c r="D326" s="1" t="str">
        <f>equip.xml!D330</f>
        <v>副手武器</v>
      </c>
      <c r="E326" s="1">
        <f>equip.xml!E330</f>
        <v>6</v>
      </c>
      <c r="F326" s="1">
        <f>equip.xml!F330</f>
        <v>1</v>
      </c>
      <c r="G326" s="1">
        <f>equip.xml!G330</f>
        <v>70</v>
      </c>
      <c r="H326" s="1" t="str">
        <f>equip.xml!H330</f>
        <v>3,1003</v>
      </c>
      <c r="I326" s="1">
        <f>equip.xml!J330</f>
        <v>5</v>
      </c>
      <c r="J326" s="1">
        <f>equip.xml!K330</f>
        <v>0</v>
      </c>
      <c r="K326" s="1">
        <f>equip.xml!L330</f>
        <v>0</v>
      </c>
      <c r="L326" s="1" t="str">
        <f>equip.xml!M330</f>
        <v>102_3522_3522</v>
      </c>
      <c r="M326" s="7" t="str">
        <f>equip.xml!Q330</f>
        <v>equipment/2318.png</v>
      </c>
      <c r="N326" t="str">
        <f>equip.xml!P330</f>
        <v>10000_1002_70000,30000_30001_1,30000_30002_1,30000_30003_1</v>
      </c>
    </row>
    <row r="327" spans="1:14">
      <c r="A327" s="1" t="str">
        <f>equip.xml!A331</f>
        <v>10703061</v>
      </c>
      <c r="B327" s="1">
        <f>equip.xml!B331</f>
        <v>0</v>
      </c>
      <c r="C327" s="1" t="str">
        <f>equip.xml!C331</f>
        <v>星界之书</v>
      </c>
      <c r="D327" s="1" t="str">
        <f>equip.xml!D331</f>
        <v>副手武器</v>
      </c>
      <c r="E327" s="1">
        <f>equip.xml!E331</f>
        <v>6</v>
      </c>
      <c r="F327" s="1">
        <f>equip.xml!F331</f>
        <v>1</v>
      </c>
      <c r="G327" s="1">
        <f>equip.xml!G331</f>
        <v>70</v>
      </c>
      <c r="H327" s="1" t="str">
        <f>equip.xml!H331</f>
        <v>3,1003</v>
      </c>
      <c r="I327" s="1">
        <f>equip.xml!J331</f>
        <v>5</v>
      </c>
      <c r="J327" s="1">
        <f>equip.xml!K331</f>
        <v>0</v>
      </c>
      <c r="K327" s="1">
        <f>equip.xml!L331</f>
        <v>0</v>
      </c>
      <c r="L327" s="1" t="str">
        <f>equip.xml!M331</f>
        <v>102_3080_3080</v>
      </c>
      <c r="M327" s="7" t="str">
        <f>equip.xml!Q331</f>
        <v>equipment/2301.png</v>
      </c>
      <c r="N327" t="str">
        <f>equip.xml!P331</f>
        <v>10000_1002_70000,30000_30001_1,30000_30002_1,30000_30003_1</v>
      </c>
    </row>
    <row r="328" spans="1:14">
      <c r="A328" s="1" t="str">
        <f>equip.xml!A332</f>
        <v>10700040</v>
      </c>
      <c r="B328" s="1">
        <f>equip.xml!B332</f>
        <v>0</v>
      </c>
      <c r="C328" s="1" t="str">
        <f>equip.xml!C332</f>
        <v>湮没胸甲</v>
      </c>
      <c r="D328" s="1" t="str">
        <f>equip.xml!D332</f>
        <v>胸甲</v>
      </c>
      <c r="E328" s="1">
        <f>equip.xml!E332</f>
        <v>4</v>
      </c>
      <c r="F328" s="1">
        <f>equip.xml!F332</f>
        <v>1</v>
      </c>
      <c r="G328" s="1">
        <f>equip.xml!G332</f>
        <v>70</v>
      </c>
      <c r="H328" s="1">
        <f>equip.xml!H332</f>
        <v>0</v>
      </c>
      <c r="I328" s="1">
        <f>equip.xml!J332</f>
        <v>5</v>
      </c>
      <c r="J328" s="1">
        <f>equip.xml!K332</f>
        <v>0</v>
      </c>
      <c r="K328" s="1">
        <f>equip.xml!L332</f>
        <v>0</v>
      </c>
      <c r="L328" s="1" t="str">
        <f>equip.xml!M332</f>
        <v>105_0_0</v>
      </c>
      <c r="M328" s="7" t="str">
        <f>equip.xml!Q332</f>
        <v>equipment/5001.png</v>
      </c>
      <c r="N328" t="str">
        <f>equip.xml!P332</f>
        <v>10000_1002_70000,30000_30001_1,30000_30002_1,30000_30003_1</v>
      </c>
    </row>
    <row r="329" spans="1:14">
      <c r="A329" s="1" t="str">
        <f>equip.xml!A333</f>
        <v>10700041</v>
      </c>
      <c r="B329" s="1">
        <f>equip.xml!B333</f>
        <v>0</v>
      </c>
      <c r="C329" s="1" t="str">
        <f>equip.xml!C333</f>
        <v>碎界之铠</v>
      </c>
      <c r="D329" s="1" t="str">
        <f>equip.xml!D333</f>
        <v>胸甲</v>
      </c>
      <c r="E329" s="1">
        <f>equip.xml!E333</f>
        <v>4</v>
      </c>
      <c r="F329" s="1">
        <f>equip.xml!F333</f>
        <v>1</v>
      </c>
      <c r="G329" s="1">
        <f>equip.xml!G333</f>
        <v>70</v>
      </c>
      <c r="H329" s="1">
        <f>equip.xml!H333</f>
        <v>0</v>
      </c>
      <c r="I329" s="1">
        <f>equip.xml!J333</f>
        <v>5</v>
      </c>
      <c r="J329" s="1">
        <f>equip.xml!K333</f>
        <v>0</v>
      </c>
      <c r="K329" s="1">
        <f>equip.xml!L333</f>
        <v>0</v>
      </c>
      <c r="L329" s="1" t="str">
        <f>equip.xml!M333</f>
        <v>105_0_0</v>
      </c>
      <c r="M329" s="7" t="str">
        <f>equip.xml!Q333</f>
        <v>equipment/5001.png</v>
      </c>
      <c r="N329" t="str">
        <f>equip.xml!P333</f>
        <v>10000_1002_70000,30000_30001_1,30000_30002_1,30000_30003_1</v>
      </c>
    </row>
    <row r="330" spans="1:14">
      <c r="A330" s="1" t="str">
        <f>equip.xml!A334</f>
        <v>10700070</v>
      </c>
      <c r="B330" s="1">
        <f>equip.xml!B334</f>
        <v>0</v>
      </c>
      <c r="C330" s="1" t="str">
        <f>equip.xml!C334</f>
        <v>魂卫护腿</v>
      </c>
      <c r="D330" s="1" t="str">
        <f>equip.xml!D334</f>
        <v>护腿</v>
      </c>
      <c r="E330" s="1">
        <f>equip.xml!E334</f>
        <v>7</v>
      </c>
      <c r="F330" s="1">
        <f>equip.xml!F334</f>
        <v>1</v>
      </c>
      <c r="G330" s="1">
        <f>equip.xml!G334</f>
        <v>70</v>
      </c>
      <c r="H330" s="1">
        <f>equip.xml!H334</f>
        <v>0</v>
      </c>
      <c r="I330" s="1">
        <f>equip.xml!J334</f>
        <v>5</v>
      </c>
      <c r="J330" s="1">
        <f>equip.xml!K334</f>
        <v>0</v>
      </c>
      <c r="K330" s="1">
        <f>equip.xml!L334</f>
        <v>0</v>
      </c>
      <c r="L330" s="1" t="str">
        <f>equip.xml!M334</f>
        <v>105_0_0</v>
      </c>
      <c r="M330" s="7" t="str">
        <f>equip.xml!Q334</f>
        <v>equipment/7001.png</v>
      </c>
      <c r="N330" t="str">
        <f>equip.xml!P334</f>
        <v>10000_1002_70000,30000_30001_1,30000_30002_1,30000_30003_1</v>
      </c>
    </row>
    <row r="331" spans="1:14">
      <c r="A331" s="1" t="str">
        <f>equip.xml!A335</f>
        <v>10700071</v>
      </c>
      <c r="B331" s="1">
        <f>equip.xml!B335</f>
        <v>0</v>
      </c>
      <c r="C331" s="1" t="str">
        <f>equip.xml!C335</f>
        <v>不朽护腿</v>
      </c>
      <c r="D331" s="1" t="str">
        <f>equip.xml!D335</f>
        <v>护腿</v>
      </c>
      <c r="E331" s="1">
        <f>equip.xml!E335</f>
        <v>7</v>
      </c>
      <c r="F331" s="1">
        <f>equip.xml!F335</f>
        <v>1</v>
      </c>
      <c r="G331" s="1">
        <f>equip.xml!G335</f>
        <v>70</v>
      </c>
      <c r="H331" s="1">
        <f>equip.xml!H335</f>
        <v>0</v>
      </c>
      <c r="I331" s="1">
        <f>equip.xml!J335</f>
        <v>5</v>
      </c>
      <c r="J331" s="1">
        <f>equip.xml!K335</f>
        <v>0</v>
      </c>
      <c r="K331" s="1">
        <f>equip.xml!L335</f>
        <v>0</v>
      </c>
      <c r="L331" s="1" t="str">
        <f>equip.xml!M335</f>
        <v>105_0_0</v>
      </c>
      <c r="M331" s="7" t="str">
        <f>equip.xml!Q335</f>
        <v>equipment/7001.png</v>
      </c>
      <c r="N331" t="str">
        <f>equip.xml!P335</f>
        <v>10000_1002_70000,30000_30001_1,30000_30002_1,30000_30003_1</v>
      </c>
    </row>
    <row r="332" spans="1:14">
      <c r="A332" s="1" t="str">
        <f>equip.xml!A336</f>
        <v>20010010</v>
      </c>
      <c r="B332" s="1">
        <f>equip.xml!B336</f>
        <v>0</v>
      </c>
      <c r="C332" s="1" t="str">
        <f>equip.xml!C336</f>
        <v>纹饰帽</v>
      </c>
      <c r="D332" s="1" t="str">
        <f>equip.xml!D336</f>
        <v>头盔</v>
      </c>
      <c r="E332" s="1">
        <f>equip.xml!E336</f>
        <v>1</v>
      </c>
      <c r="F332" s="1">
        <f>equip.xml!F336</f>
        <v>2</v>
      </c>
      <c r="G332" s="1">
        <f>equip.xml!G336</f>
        <v>1</v>
      </c>
      <c r="H332" s="1">
        <f>equip.xml!H336</f>
        <v>0</v>
      </c>
      <c r="I332" s="1">
        <f>equip.xml!J336</f>
        <v>10</v>
      </c>
      <c r="J332" s="1">
        <f>equip.xml!K336</f>
        <v>0</v>
      </c>
      <c r="K332" s="1">
        <f>equip.xml!L336</f>
        <v>0</v>
      </c>
      <c r="L332" s="1" t="str">
        <f>equip.xml!M336</f>
        <v>106_0_0</v>
      </c>
      <c r="M332" s="7" t="str">
        <f>equip.xml!Q336</f>
        <v>equipment/3001.png</v>
      </c>
      <c r="N332" t="str">
        <f>equip.xml!P336</f>
        <v>10000_1002_1000,30000_30001_1,30000_30002_1,30000_30003_1</v>
      </c>
    </row>
    <row r="333" spans="1:14">
      <c r="A333" s="1" t="str">
        <f>equip.xml!A337</f>
        <v>20010020</v>
      </c>
      <c r="B333" s="1">
        <f>equip.xml!B337</f>
        <v>0</v>
      </c>
      <c r="C333" s="1" t="str">
        <f>equip.xml!C337</f>
        <v>金戒指</v>
      </c>
      <c r="D333" s="1" t="str">
        <f>equip.xml!D337</f>
        <v>戒指</v>
      </c>
      <c r="E333" s="1">
        <f>equip.xml!E337</f>
        <v>2</v>
      </c>
      <c r="F333" s="1">
        <f>equip.xml!F337</f>
        <v>2</v>
      </c>
      <c r="G333" s="1">
        <f>equip.xml!G337</f>
        <v>1</v>
      </c>
      <c r="H333" s="1">
        <f>equip.xml!H337</f>
        <v>0</v>
      </c>
      <c r="I333" s="1">
        <f>equip.xml!J337</f>
        <v>10</v>
      </c>
      <c r="J333" s="1">
        <f>equip.xml!K337</f>
        <v>0</v>
      </c>
      <c r="K333" s="1">
        <f>equip.xml!L337</f>
        <v>0</v>
      </c>
      <c r="L333" s="1" t="str">
        <f>equip.xml!M337</f>
        <v>102_20_20</v>
      </c>
      <c r="M333" s="7" t="str">
        <f>equip.xml!Q337</f>
        <v>equipment/14001.png</v>
      </c>
      <c r="N333" t="str">
        <f>equip.xml!P337</f>
        <v>10000_1002_1000,30000_30001_1,30000_30002_1,30000_30003_1</v>
      </c>
    </row>
    <row r="334" spans="1:14">
      <c r="A334" s="1" t="str">
        <f>equip.xml!A338</f>
        <v>20010030</v>
      </c>
      <c r="B334" s="1">
        <f>equip.xml!B338</f>
        <v>0</v>
      </c>
      <c r="C334" s="1" t="str">
        <f>equip.xml!C338</f>
        <v>兽皮腰带</v>
      </c>
      <c r="D334" s="1" t="str">
        <f>equip.xml!D338</f>
        <v>腰带</v>
      </c>
      <c r="E334" s="1">
        <f>equip.xml!E338</f>
        <v>3</v>
      </c>
      <c r="F334" s="1">
        <f>equip.xml!F338</f>
        <v>2</v>
      </c>
      <c r="G334" s="1">
        <f>equip.xml!G338</f>
        <v>1</v>
      </c>
      <c r="H334" s="1">
        <f>equip.xml!H338</f>
        <v>0</v>
      </c>
      <c r="I334" s="1">
        <f>equip.xml!J338</f>
        <v>10</v>
      </c>
      <c r="J334" s="1">
        <f>equip.xml!K338</f>
        <v>0</v>
      </c>
      <c r="K334" s="1">
        <f>equip.xml!L338</f>
        <v>0</v>
      </c>
      <c r="L334" s="1" t="str">
        <f>equip.xml!M338</f>
        <v>101_100_100</v>
      </c>
      <c r="M334" s="7" t="str">
        <f>equip.xml!Q338</f>
        <v>equipment/6001.png</v>
      </c>
      <c r="N334" t="str">
        <f>equip.xml!P338</f>
        <v>10000_1002_1000,30000_30001_1,30000_30002_1,30000_30003_1</v>
      </c>
    </row>
    <row r="335" spans="1:14">
      <c r="A335" s="1" t="str">
        <f>equip.xml!A339</f>
        <v>20010080</v>
      </c>
      <c r="B335" s="1">
        <f>equip.xml!B339</f>
        <v>1</v>
      </c>
      <c r="C335" s="1" t="str">
        <f>equip.xml!C339</f>
        <v>皮靴</v>
      </c>
      <c r="D335" s="1" t="str">
        <f>equip.xml!D339</f>
        <v>鞋子</v>
      </c>
      <c r="E335" s="1">
        <f>equip.xml!E339</f>
        <v>8</v>
      </c>
      <c r="F335" s="1">
        <f>equip.xml!F339</f>
        <v>2</v>
      </c>
      <c r="G335" s="1">
        <f>equip.xml!G339</f>
        <v>1</v>
      </c>
      <c r="H335" s="1">
        <f>equip.xml!H339</f>
        <v>0</v>
      </c>
      <c r="I335" s="1">
        <f>equip.xml!J339</f>
        <v>10</v>
      </c>
      <c r="J335" s="1">
        <f>equip.xml!K339</f>
        <v>0</v>
      </c>
      <c r="K335" s="1">
        <f>equip.xml!L339</f>
        <v>0</v>
      </c>
      <c r="L335" s="1" t="str">
        <f>equip.xml!M339</f>
        <v>110_4_4</v>
      </c>
      <c r="M335" s="7" t="str">
        <f>equip.xml!Q339</f>
        <v>equipment/8001.png</v>
      </c>
      <c r="N335" t="str">
        <f>equip.xml!P339</f>
        <v>10000_1002_1000,30000_30001_1,30000_30002_1,30000_30003_1</v>
      </c>
    </row>
    <row r="336" spans="1:14">
      <c r="A336" s="1" t="str">
        <f>equip.xml!A340</f>
        <v>20010090</v>
      </c>
      <c r="B336" s="1">
        <f>equip.xml!B340</f>
        <v>1</v>
      </c>
      <c r="C336" s="1" t="str">
        <f>equip.xml!C340</f>
        <v>轻布手套</v>
      </c>
      <c r="D336" s="1" t="str">
        <f>equip.xml!D340</f>
        <v>手套</v>
      </c>
      <c r="E336" s="1">
        <f>equip.xml!E340</f>
        <v>9</v>
      </c>
      <c r="F336" s="1">
        <f>equip.xml!F340</f>
        <v>2</v>
      </c>
      <c r="G336" s="1">
        <f>equip.xml!G340</f>
        <v>1</v>
      </c>
      <c r="H336" s="1">
        <f>equip.xml!H340</f>
        <v>0</v>
      </c>
      <c r="I336" s="1">
        <f>equip.xml!J340</f>
        <v>10</v>
      </c>
      <c r="J336" s="1">
        <f>equip.xml!K340</f>
        <v>0</v>
      </c>
      <c r="K336" s="1">
        <f>equip.xml!L340</f>
        <v>0</v>
      </c>
      <c r="L336" s="1" t="str">
        <f>equip.xml!M340</f>
        <v>108_9_9</v>
      </c>
      <c r="M336" s="7" t="str">
        <f>equip.xml!Q340</f>
        <v>equipment/10001.png</v>
      </c>
      <c r="N336" t="str">
        <f>equip.xml!P340</f>
        <v>10000_1002_1000,30000_30001_1,30000_30002_1,30000_30003_1</v>
      </c>
    </row>
    <row r="337" spans="1:14">
      <c r="A337" s="1" t="str">
        <f>equip.xml!A341</f>
        <v>20010100</v>
      </c>
      <c r="B337" s="1">
        <f>equip.xml!B341</f>
        <v>0</v>
      </c>
      <c r="C337" s="1" t="str">
        <f>equip.xml!C341</f>
        <v>贝壳项链</v>
      </c>
      <c r="D337" s="1" t="str">
        <f>equip.xml!D341</f>
        <v>项链</v>
      </c>
      <c r="E337" s="1">
        <f>equip.xml!E341</f>
        <v>10</v>
      </c>
      <c r="F337" s="1">
        <f>equip.xml!F341</f>
        <v>2</v>
      </c>
      <c r="G337" s="1">
        <f>equip.xml!G341</f>
        <v>1</v>
      </c>
      <c r="H337" s="1">
        <f>equip.xml!H341</f>
        <v>0</v>
      </c>
      <c r="I337" s="1">
        <f>equip.xml!J341</f>
        <v>10</v>
      </c>
      <c r="J337" s="1">
        <f>equip.xml!K341</f>
        <v>0</v>
      </c>
      <c r="K337" s="1">
        <f>equip.xml!L341</f>
        <v>0</v>
      </c>
      <c r="L337" s="1" t="str">
        <f>equip.xml!M341</f>
        <v>107_0_0</v>
      </c>
      <c r="M337" s="7" t="str">
        <f>equip.xml!Q341</f>
        <v>equipment/12001.png</v>
      </c>
      <c r="N337" t="str">
        <f>equip.xml!P341</f>
        <v>10000_1002_1000,30000_30001_1,30000_30002_1,30000_30003_1</v>
      </c>
    </row>
    <row r="338" spans="1:14">
      <c r="A338" s="1" t="str">
        <f>equip.xml!A342</f>
        <v>20011050</v>
      </c>
      <c r="B338" s="1">
        <f>equip.xml!B342</f>
        <v>1</v>
      </c>
      <c r="C338" s="1" t="str">
        <f>equip.xml!C342</f>
        <v>短剑</v>
      </c>
      <c r="D338" s="1" t="str">
        <f>equip.xml!D342</f>
        <v>主手武器</v>
      </c>
      <c r="E338" s="1">
        <f>equip.xml!E342</f>
        <v>5</v>
      </c>
      <c r="F338" s="1">
        <f>equip.xml!F342</f>
        <v>2</v>
      </c>
      <c r="G338" s="1">
        <f>equip.xml!G342</f>
        <v>1</v>
      </c>
      <c r="H338" s="1" t="str">
        <f>equip.xml!H342</f>
        <v>1,1001</v>
      </c>
      <c r="I338" s="1">
        <f>equip.xml!J342</f>
        <v>10</v>
      </c>
      <c r="J338" s="1">
        <f>equip.xml!K342</f>
        <v>0</v>
      </c>
      <c r="K338" s="1">
        <f>equip.xml!L342</f>
        <v>0</v>
      </c>
      <c r="L338" s="1" t="str">
        <f>equip.xml!M342</f>
        <v>103_2_2,104_6_6</v>
      </c>
      <c r="M338" s="7" t="str">
        <f>equip.xml!Q342</f>
        <v>equipment/1101.png</v>
      </c>
      <c r="N338" t="str">
        <f>equip.xml!P342</f>
        <v>10000_1002_1000,30000_30001_1,30000_30002_1,30000_30003_1</v>
      </c>
    </row>
    <row r="339" spans="1:14">
      <c r="A339" s="1" t="str">
        <f>equip.xml!A343</f>
        <v>20011051</v>
      </c>
      <c r="B339" s="1">
        <f>equip.xml!B343</f>
        <v>1</v>
      </c>
      <c r="C339" s="1" t="str">
        <f>equip.xml!C343</f>
        <v>军刀</v>
      </c>
      <c r="D339" s="1" t="str">
        <f>equip.xml!D343</f>
        <v>主手武器</v>
      </c>
      <c r="E339" s="1">
        <f>equip.xml!E343</f>
        <v>5</v>
      </c>
      <c r="F339" s="1">
        <f>equip.xml!F343</f>
        <v>2</v>
      </c>
      <c r="G339" s="1">
        <f>equip.xml!G343</f>
        <v>1</v>
      </c>
      <c r="H339" s="1" t="str">
        <f>equip.xml!H343</f>
        <v>1,1001</v>
      </c>
      <c r="I339" s="1">
        <f>equip.xml!J343</f>
        <v>10</v>
      </c>
      <c r="J339" s="1">
        <f>equip.xml!K343</f>
        <v>0</v>
      </c>
      <c r="K339" s="1">
        <f>equip.xml!L343</f>
        <v>0</v>
      </c>
      <c r="L339" s="1" t="str">
        <f>equip.xml!M343</f>
        <v>103_5_5,104_12_12</v>
      </c>
      <c r="M339" s="7" t="str">
        <f>equip.xml!Q343</f>
        <v>equipment/1102.png</v>
      </c>
      <c r="N339" t="str">
        <f>equip.xml!P343</f>
        <v>10000_1002_1000,30000_30001_1,30000_30002_1,30000_30003_1</v>
      </c>
    </row>
    <row r="340" spans="1:14">
      <c r="A340" s="1" t="str">
        <f>equip.xml!A344</f>
        <v>20011060</v>
      </c>
      <c r="B340" s="1">
        <f>equip.xml!B344</f>
        <v>1</v>
      </c>
      <c r="C340" s="1" t="str">
        <f>equip.xml!C344</f>
        <v>小圆盾</v>
      </c>
      <c r="D340" s="1" t="str">
        <f>equip.xml!D344</f>
        <v>副手武器</v>
      </c>
      <c r="E340" s="1">
        <f>equip.xml!E344</f>
        <v>6</v>
      </c>
      <c r="F340" s="1">
        <f>equip.xml!F344</f>
        <v>2</v>
      </c>
      <c r="G340" s="1">
        <f>equip.xml!G344</f>
        <v>1</v>
      </c>
      <c r="H340" s="1" t="str">
        <f>equip.xml!H344</f>
        <v>1,1001</v>
      </c>
      <c r="I340" s="1">
        <f>equip.xml!J344</f>
        <v>10</v>
      </c>
      <c r="J340" s="1">
        <f>equip.xml!K344</f>
        <v>0</v>
      </c>
      <c r="K340" s="1">
        <f>equip.xml!L344</f>
        <v>0</v>
      </c>
      <c r="L340" s="1" t="str">
        <f>equip.xml!M344</f>
        <v>105_4_4</v>
      </c>
      <c r="M340" s="7" t="str">
        <f>equip.xml!Q344</f>
        <v>equipment/2101.png</v>
      </c>
      <c r="N340" t="str">
        <f>equip.xml!P344</f>
        <v>10000_1002_1000,30000_30001_1,30000_30002_1,30000_30003_1</v>
      </c>
    </row>
    <row r="341" spans="1:14">
      <c r="A341" s="1" t="str">
        <f>equip.xml!A345</f>
        <v>20011061</v>
      </c>
      <c r="B341" s="1">
        <f>equip.xml!B345</f>
        <v>0</v>
      </c>
      <c r="C341" s="1" t="str">
        <f>equip.xml!C345</f>
        <v>尖头盾</v>
      </c>
      <c r="D341" s="1" t="str">
        <f>equip.xml!D345</f>
        <v>副手武器</v>
      </c>
      <c r="E341" s="1">
        <f>equip.xml!E345</f>
        <v>6</v>
      </c>
      <c r="F341" s="1">
        <f>equip.xml!F345</f>
        <v>2</v>
      </c>
      <c r="G341" s="1">
        <f>equip.xml!G345</f>
        <v>1</v>
      </c>
      <c r="H341" s="1" t="str">
        <f>equip.xml!H345</f>
        <v>1,1001</v>
      </c>
      <c r="I341" s="1">
        <f>equip.xml!J345</f>
        <v>10</v>
      </c>
      <c r="J341" s="1">
        <f>equip.xml!K345</f>
        <v>0</v>
      </c>
      <c r="K341" s="1">
        <f>equip.xml!L345</f>
        <v>0</v>
      </c>
      <c r="L341" s="1" t="str">
        <f>equip.xml!M345</f>
        <v>105_7_7</v>
      </c>
      <c r="M341" s="7" t="str">
        <f>equip.xml!Q345</f>
        <v>equipment/2101.png</v>
      </c>
      <c r="N341" t="str">
        <f>equip.xml!P345</f>
        <v>10000_1002_1000,30000_30001_1,30000_30002_1,30000_30003_1</v>
      </c>
    </row>
    <row r="342" spans="1:14">
      <c r="A342" s="1" t="str">
        <f>equip.xml!A346</f>
        <v>20012050</v>
      </c>
      <c r="B342" s="1">
        <f>equip.xml!B346</f>
        <v>1</v>
      </c>
      <c r="C342" s="1" t="str">
        <f>equip.xml!C346</f>
        <v>短弓</v>
      </c>
      <c r="D342" s="1" t="str">
        <f>equip.xml!D346</f>
        <v>主手武器</v>
      </c>
      <c r="E342" s="1">
        <f>equip.xml!E346</f>
        <v>5</v>
      </c>
      <c r="F342" s="1">
        <f>equip.xml!F346</f>
        <v>2</v>
      </c>
      <c r="G342" s="1">
        <f>equip.xml!G346</f>
        <v>1</v>
      </c>
      <c r="H342" s="1" t="str">
        <f>equip.xml!H346</f>
        <v>2,1002</v>
      </c>
      <c r="I342" s="1">
        <f>equip.xml!J346</f>
        <v>10</v>
      </c>
      <c r="J342" s="1">
        <f>equip.xml!K346</f>
        <v>0</v>
      </c>
      <c r="K342" s="1">
        <f>equip.xml!L346</f>
        <v>0</v>
      </c>
      <c r="L342" s="1" t="str">
        <f>equip.xml!M346</f>
        <v>103_2_2,104_6_6</v>
      </c>
      <c r="M342" s="7" t="str">
        <f>equip.xml!Q346</f>
        <v>equipment/1201.png</v>
      </c>
      <c r="N342" t="str">
        <f>equip.xml!P346</f>
        <v>10000_1002_1000,30000_30001_1,30000_30002_1,30000_30003_1</v>
      </c>
    </row>
    <row r="343" spans="1:14">
      <c r="A343" s="1" t="str">
        <f>equip.xml!A347</f>
        <v>20012051</v>
      </c>
      <c r="B343" s="1">
        <f>equip.xml!B347</f>
        <v>1</v>
      </c>
      <c r="C343" s="1" t="str">
        <f>equip.xml!C347</f>
        <v>棘木弓</v>
      </c>
      <c r="D343" s="1" t="str">
        <f>equip.xml!D347</f>
        <v>主手武器</v>
      </c>
      <c r="E343" s="1">
        <f>equip.xml!E347</f>
        <v>5</v>
      </c>
      <c r="F343" s="1">
        <f>equip.xml!F347</f>
        <v>2</v>
      </c>
      <c r="G343" s="1">
        <f>equip.xml!G347</f>
        <v>1</v>
      </c>
      <c r="H343" s="1" t="str">
        <f>equip.xml!H347</f>
        <v>2,1002</v>
      </c>
      <c r="I343" s="1">
        <f>equip.xml!J347</f>
        <v>10</v>
      </c>
      <c r="J343" s="1">
        <f>equip.xml!K347</f>
        <v>0</v>
      </c>
      <c r="K343" s="1">
        <f>equip.xml!L347</f>
        <v>0</v>
      </c>
      <c r="L343" s="1" t="str">
        <f>equip.xml!M347</f>
        <v>103_5_5,104_12_12</v>
      </c>
      <c r="M343" s="7" t="str">
        <f>equip.xml!Q347</f>
        <v>equipment/1202.png</v>
      </c>
      <c r="N343" t="str">
        <f>equip.xml!P347</f>
        <v>10000_1002_1000,30000_30001_1,30000_30002_1,30000_30003_1</v>
      </c>
    </row>
    <row r="344" spans="1:14">
      <c r="A344" s="1" t="str">
        <f>equip.xml!A348</f>
        <v>20012060</v>
      </c>
      <c r="B344" s="1">
        <f>equip.xml!B348</f>
        <v>1</v>
      </c>
      <c r="C344" s="1" t="str">
        <f>equip.xml!C348</f>
        <v>小箭筒</v>
      </c>
      <c r="D344" s="1" t="str">
        <f>equip.xml!D348</f>
        <v>副手武器</v>
      </c>
      <c r="E344" s="1">
        <f>equip.xml!E348</f>
        <v>6</v>
      </c>
      <c r="F344" s="1">
        <f>equip.xml!F348</f>
        <v>2</v>
      </c>
      <c r="G344" s="1">
        <f>equip.xml!G348</f>
        <v>1</v>
      </c>
      <c r="H344" s="1" t="str">
        <f>equip.xml!H348</f>
        <v>2,1002</v>
      </c>
      <c r="I344" s="1">
        <f>equip.xml!J348</f>
        <v>10</v>
      </c>
      <c r="J344" s="1">
        <f>equip.xml!K348</f>
        <v>0</v>
      </c>
      <c r="K344" s="1">
        <f>equip.xml!L348</f>
        <v>0</v>
      </c>
      <c r="L344" s="1" t="str">
        <f>equip.xml!M348</f>
        <v>108_4_4</v>
      </c>
      <c r="M344" s="7" t="str">
        <f>equip.xml!Q348</f>
        <v>equipment/2201.png</v>
      </c>
      <c r="N344" t="str">
        <f>equip.xml!P348</f>
        <v>10000_1002_1000,30000_30001_1,30000_30002_1,30000_30003_1</v>
      </c>
    </row>
    <row r="345" spans="1:14">
      <c r="A345" s="1" t="str">
        <f>equip.xml!A349</f>
        <v>20012061</v>
      </c>
      <c r="B345" s="1">
        <f>equip.xml!B349</f>
        <v>0</v>
      </c>
      <c r="C345" s="1" t="str">
        <f>equip.xml!C349</f>
        <v>箭筒</v>
      </c>
      <c r="D345" s="1" t="str">
        <f>equip.xml!D349</f>
        <v>副手武器</v>
      </c>
      <c r="E345" s="1">
        <f>equip.xml!E349</f>
        <v>6</v>
      </c>
      <c r="F345" s="1">
        <f>equip.xml!F349</f>
        <v>2</v>
      </c>
      <c r="G345" s="1">
        <f>equip.xml!G349</f>
        <v>1</v>
      </c>
      <c r="H345" s="1" t="str">
        <f>equip.xml!H349</f>
        <v>2,1002</v>
      </c>
      <c r="I345" s="1">
        <f>equip.xml!J349</f>
        <v>10</v>
      </c>
      <c r="J345" s="1">
        <f>equip.xml!K349</f>
        <v>0</v>
      </c>
      <c r="K345" s="1">
        <f>equip.xml!L349</f>
        <v>0</v>
      </c>
      <c r="L345" s="1" t="str">
        <f>equip.xml!M349</f>
        <v>108_7_7</v>
      </c>
      <c r="M345" s="7" t="str">
        <f>equip.xml!Q349</f>
        <v>equipment/2201.png</v>
      </c>
      <c r="N345" t="str">
        <f>equip.xml!P349</f>
        <v>10000_1002_1000,30000_30001_1,30000_30002_1,30000_30003_1</v>
      </c>
    </row>
    <row r="346" spans="1:14">
      <c r="A346" s="1" t="str">
        <f>equip.xml!A350</f>
        <v>20013050</v>
      </c>
      <c r="B346" s="1">
        <f>equip.xml!B350</f>
        <v>1</v>
      </c>
      <c r="C346" s="1" t="str">
        <f>equip.xml!C350</f>
        <v>训练用杖</v>
      </c>
      <c r="D346" s="1" t="str">
        <f>equip.xml!D350</f>
        <v>主手武器</v>
      </c>
      <c r="E346" s="1">
        <f>equip.xml!E350</f>
        <v>5</v>
      </c>
      <c r="F346" s="1">
        <f>equip.xml!F350</f>
        <v>2</v>
      </c>
      <c r="G346" s="1">
        <f>equip.xml!G350</f>
        <v>1</v>
      </c>
      <c r="H346" s="1" t="str">
        <f>equip.xml!H350</f>
        <v>3,1003</v>
      </c>
      <c r="I346" s="1">
        <f>equip.xml!J350</f>
        <v>10</v>
      </c>
      <c r="J346" s="1">
        <f>equip.xml!K350</f>
        <v>0</v>
      </c>
      <c r="K346" s="1">
        <f>equip.xml!L350</f>
        <v>0</v>
      </c>
      <c r="L346" s="1" t="str">
        <f>equip.xml!M350</f>
        <v>103_2_2,104_6_6</v>
      </c>
      <c r="M346" s="7" t="str">
        <f>equip.xml!Q350</f>
        <v>equipment/1301.png</v>
      </c>
      <c r="N346" t="str">
        <f>equip.xml!P350</f>
        <v>10000_1002_1000,30000_30001_1,30000_30002_1,30000_30003_1</v>
      </c>
    </row>
    <row r="347" spans="1:14">
      <c r="A347" s="1" t="str">
        <f>equip.xml!A351</f>
        <v>20013051</v>
      </c>
      <c r="B347" s="1">
        <f>equip.xml!B351</f>
        <v>1</v>
      </c>
      <c r="C347" s="1" t="str">
        <f>equip.xml!C351</f>
        <v>学徒法杖</v>
      </c>
      <c r="D347" s="1" t="str">
        <f>equip.xml!D351</f>
        <v>主手武器</v>
      </c>
      <c r="E347" s="1">
        <f>equip.xml!E351</f>
        <v>5</v>
      </c>
      <c r="F347" s="1">
        <f>equip.xml!F351</f>
        <v>2</v>
      </c>
      <c r="G347" s="1">
        <f>equip.xml!G351</f>
        <v>1</v>
      </c>
      <c r="H347" s="1" t="str">
        <f>equip.xml!H351</f>
        <v>3,1003</v>
      </c>
      <c r="I347" s="1">
        <f>equip.xml!J351</f>
        <v>10</v>
      </c>
      <c r="J347" s="1">
        <f>equip.xml!K351</f>
        <v>0</v>
      </c>
      <c r="K347" s="1">
        <f>equip.xml!L351</f>
        <v>0</v>
      </c>
      <c r="L347" s="1" t="str">
        <f>equip.xml!M351</f>
        <v>103_5_5,104_12_12</v>
      </c>
      <c r="M347" s="7" t="str">
        <f>equip.xml!Q351</f>
        <v>equipment/1302.png</v>
      </c>
      <c r="N347" t="str">
        <f>equip.xml!P351</f>
        <v>10000_1002_1000,30000_30001_1,30000_30002_1,30000_30003_1</v>
      </c>
    </row>
    <row r="348" spans="1:14">
      <c r="A348" s="1" t="str">
        <f>equip.xml!A352</f>
        <v>20013060</v>
      </c>
      <c r="B348" s="1">
        <f>equip.xml!B352</f>
        <v>1</v>
      </c>
      <c r="C348" s="1" t="str">
        <f>equip.xml!C352</f>
        <v>学徒手册</v>
      </c>
      <c r="D348" s="1" t="str">
        <f>equip.xml!D352</f>
        <v>副手武器</v>
      </c>
      <c r="E348" s="1">
        <f>equip.xml!E352</f>
        <v>6</v>
      </c>
      <c r="F348" s="1">
        <f>equip.xml!F352</f>
        <v>2</v>
      </c>
      <c r="G348" s="1">
        <f>equip.xml!G352</f>
        <v>1</v>
      </c>
      <c r="H348" s="1" t="str">
        <f>equip.xml!H352</f>
        <v>3,1003</v>
      </c>
      <c r="I348" s="1">
        <f>equip.xml!J352</f>
        <v>10</v>
      </c>
      <c r="J348" s="1">
        <f>equip.xml!K352</f>
        <v>0</v>
      </c>
      <c r="K348" s="1">
        <f>equip.xml!L352</f>
        <v>0</v>
      </c>
      <c r="L348" s="1" t="str">
        <f>equip.xml!M352</f>
        <v>102_30_30</v>
      </c>
      <c r="M348" s="7" t="str">
        <f>equip.xml!Q352</f>
        <v>equipment/2301.png</v>
      </c>
      <c r="N348" t="str">
        <f>equip.xml!P352</f>
        <v>10000_1002_1000,30000_30001_1,30000_30002_1,30000_30003_1</v>
      </c>
    </row>
    <row r="349" spans="1:14">
      <c r="A349" s="1" t="str">
        <f>equip.xml!A353</f>
        <v>20013061</v>
      </c>
      <c r="B349" s="1">
        <f>equip.xml!B353</f>
        <v>0</v>
      </c>
      <c r="C349" s="1" t="str">
        <f>equip.xml!C353</f>
        <v>法术指南</v>
      </c>
      <c r="D349" s="1" t="str">
        <f>equip.xml!D353</f>
        <v>副手武器</v>
      </c>
      <c r="E349" s="1">
        <f>equip.xml!E353</f>
        <v>6</v>
      </c>
      <c r="F349" s="1">
        <f>equip.xml!F353</f>
        <v>2</v>
      </c>
      <c r="G349" s="1">
        <f>equip.xml!G353</f>
        <v>1</v>
      </c>
      <c r="H349" s="1" t="str">
        <f>equip.xml!H353</f>
        <v>3,1003</v>
      </c>
      <c r="I349" s="1">
        <f>equip.xml!J353</f>
        <v>10</v>
      </c>
      <c r="J349" s="1">
        <f>equip.xml!K353</f>
        <v>0</v>
      </c>
      <c r="K349" s="1">
        <f>equip.xml!L353</f>
        <v>0</v>
      </c>
      <c r="L349" s="1" t="str">
        <f>equip.xml!M353</f>
        <v>102_7_7</v>
      </c>
      <c r="M349" s="7" t="str">
        <f>equip.xml!Q353</f>
        <v>equipment/2301.png</v>
      </c>
      <c r="N349" t="str">
        <f>equip.xml!P353</f>
        <v>10000_1002_1000,30000_30001_1,30000_30002_1,30000_30003_1</v>
      </c>
    </row>
    <row r="350" spans="1:14">
      <c r="A350" s="1" t="str">
        <f>equip.xml!A354</f>
        <v>20010040</v>
      </c>
      <c r="B350" s="1">
        <f>equip.xml!B354</f>
        <v>1</v>
      </c>
      <c r="C350" s="1" t="str">
        <f>equip.xml!C354</f>
        <v>新兵外套</v>
      </c>
      <c r="D350" s="1" t="str">
        <f>equip.xml!D354</f>
        <v>胸甲</v>
      </c>
      <c r="E350" s="1">
        <f>equip.xml!E354</f>
        <v>4</v>
      </c>
      <c r="F350" s="1">
        <f>equip.xml!F354</f>
        <v>2</v>
      </c>
      <c r="G350" s="1">
        <f>equip.xml!G354</f>
        <v>1</v>
      </c>
      <c r="H350" s="1">
        <f>equip.xml!H354</f>
        <v>0</v>
      </c>
      <c r="I350" s="1">
        <f>equip.xml!J354</f>
        <v>10</v>
      </c>
      <c r="J350" s="1">
        <f>equip.xml!K354</f>
        <v>0</v>
      </c>
      <c r="K350" s="1">
        <f>equip.xml!L354</f>
        <v>0</v>
      </c>
      <c r="L350" s="1" t="str">
        <f>equip.xml!M354</f>
        <v>105_3_3</v>
      </c>
      <c r="M350" s="7" t="str">
        <f>equip.xml!Q354</f>
        <v>equipment/5001.png</v>
      </c>
      <c r="N350" t="str">
        <f>equip.xml!P354</f>
        <v>10000_1002_1000,30000_30001_1,30000_30002_1,30000_30003_1</v>
      </c>
    </row>
    <row r="351" spans="1:14">
      <c r="A351" s="1" t="str">
        <f>equip.xml!A355</f>
        <v>20010041</v>
      </c>
      <c r="B351" s="1">
        <f>equip.xml!B355</f>
        <v>0</v>
      </c>
      <c r="C351" s="1" t="str">
        <f>equip.xml!C355</f>
        <v>新兵外套</v>
      </c>
      <c r="D351" s="1" t="str">
        <f>equip.xml!D355</f>
        <v>胸甲</v>
      </c>
      <c r="E351" s="1">
        <f>equip.xml!E355</f>
        <v>4</v>
      </c>
      <c r="F351" s="1">
        <f>equip.xml!F355</f>
        <v>2</v>
      </c>
      <c r="G351" s="1">
        <f>equip.xml!G355</f>
        <v>1</v>
      </c>
      <c r="H351" s="1">
        <f>equip.xml!H355</f>
        <v>0</v>
      </c>
      <c r="I351" s="1">
        <f>equip.xml!J355</f>
        <v>10</v>
      </c>
      <c r="J351" s="1">
        <f>equip.xml!K355</f>
        <v>0</v>
      </c>
      <c r="K351" s="1">
        <f>equip.xml!L355</f>
        <v>0</v>
      </c>
      <c r="L351" s="1" t="str">
        <f>equip.xml!M355</f>
        <v>105_5_5</v>
      </c>
      <c r="M351" s="7" t="str">
        <f>equip.xml!Q355</f>
        <v>equipment/5001.png</v>
      </c>
      <c r="N351" t="str">
        <f>equip.xml!P355</f>
        <v>10000_1002_1000,30000_30001_1,30000_30002_1,30000_30003_1</v>
      </c>
    </row>
    <row r="352" spans="1:14">
      <c r="A352" s="1" t="str">
        <f>equip.xml!A356</f>
        <v>20010070</v>
      </c>
      <c r="B352" s="1">
        <f>equip.xml!B356</f>
        <v>0</v>
      </c>
      <c r="C352" s="1" t="str">
        <f>equip.xml!C356</f>
        <v>皮甲短裤</v>
      </c>
      <c r="D352" s="1" t="str">
        <f>equip.xml!D356</f>
        <v>护腿</v>
      </c>
      <c r="E352" s="1">
        <f>equip.xml!E356</f>
        <v>7</v>
      </c>
      <c r="F352" s="1">
        <f>equip.xml!F356</f>
        <v>2</v>
      </c>
      <c r="G352" s="1">
        <f>equip.xml!G356</f>
        <v>1</v>
      </c>
      <c r="H352" s="1">
        <f>equip.xml!H356</f>
        <v>0</v>
      </c>
      <c r="I352" s="1">
        <f>equip.xml!J356</f>
        <v>10</v>
      </c>
      <c r="J352" s="1">
        <f>equip.xml!K356</f>
        <v>0</v>
      </c>
      <c r="K352" s="1">
        <f>equip.xml!L356</f>
        <v>0</v>
      </c>
      <c r="L352" s="1" t="str">
        <f>equip.xml!M356</f>
        <v>105_0_0</v>
      </c>
      <c r="M352" s="7" t="str">
        <f>equip.xml!Q356</f>
        <v>equipment/7001.png</v>
      </c>
      <c r="N352" t="str">
        <f>equip.xml!P356</f>
        <v>10000_1002_1000,30000_30001_1,30000_30002_1,30000_30003_1</v>
      </c>
    </row>
    <row r="353" spans="1:14">
      <c r="A353" s="1" t="str">
        <f>equip.xml!A357</f>
        <v>20010071</v>
      </c>
      <c r="B353" s="1">
        <f>equip.xml!B357</f>
        <v>0</v>
      </c>
      <c r="C353" s="1" t="str">
        <f>equip.xml!C357</f>
        <v>学徒短裤</v>
      </c>
      <c r="D353" s="1" t="str">
        <f>equip.xml!D357</f>
        <v>护腿</v>
      </c>
      <c r="E353" s="1">
        <f>equip.xml!E357</f>
        <v>7</v>
      </c>
      <c r="F353" s="1">
        <f>equip.xml!F357</f>
        <v>2</v>
      </c>
      <c r="G353" s="1">
        <f>equip.xml!G357</f>
        <v>1</v>
      </c>
      <c r="H353" s="1">
        <f>equip.xml!H357</f>
        <v>0</v>
      </c>
      <c r="I353" s="1">
        <f>equip.xml!J357</f>
        <v>10</v>
      </c>
      <c r="J353" s="1">
        <f>equip.xml!K357</f>
        <v>0</v>
      </c>
      <c r="K353" s="1">
        <f>equip.xml!L357</f>
        <v>0</v>
      </c>
      <c r="L353" s="1" t="str">
        <f>equip.xml!M357</f>
        <v>105_1_1</v>
      </c>
      <c r="M353" s="7" t="str">
        <f>equip.xml!Q357</f>
        <v>equipment/7001.png</v>
      </c>
      <c r="N353" t="str">
        <f>equip.xml!P357</f>
        <v>10000_1002_1000,30000_30001_1,30000_30002_1,30000_30003_1</v>
      </c>
    </row>
    <row r="354" spans="1:14">
      <c r="A354" s="1" t="str">
        <f>equip.xml!A358</f>
        <v>20050010</v>
      </c>
      <c r="B354" s="1">
        <f>equip.xml!B358</f>
        <v>1</v>
      </c>
      <c r="C354" s="1" t="str">
        <f>equip.xml!C358</f>
        <v>纹饰帽</v>
      </c>
      <c r="D354" s="1" t="str">
        <f>equip.xml!D358</f>
        <v>头盔</v>
      </c>
      <c r="E354" s="1">
        <f>equip.xml!E358</f>
        <v>1</v>
      </c>
      <c r="F354" s="1">
        <f>equip.xml!F358</f>
        <v>2</v>
      </c>
      <c r="G354" s="1">
        <f>equip.xml!G358</f>
        <v>5</v>
      </c>
      <c r="H354" s="1">
        <f>equip.xml!H358</f>
        <v>0</v>
      </c>
      <c r="I354" s="1">
        <f>equip.xml!J358</f>
        <v>10</v>
      </c>
      <c r="J354" s="1">
        <f>equip.xml!K358</f>
        <v>0</v>
      </c>
      <c r="K354" s="1">
        <f>equip.xml!L358</f>
        <v>0</v>
      </c>
      <c r="L354" s="1" t="str">
        <f>equip.xml!M358</f>
        <v>106_20_20</v>
      </c>
      <c r="M354" s="7" t="str">
        <f>equip.xml!Q358</f>
        <v>equipment/3001.png</v>
      </c>
      <c r="N354" t="str">
        <f>equip.xml!P358</f>
        <v>10000_1002_5000,30000_30001_1,30000_30002_1,30000_30003_1</v>
      </c>
    </row>
    <row r="355" spans="1:14">
      <c r="A355" s="1" t="str">
        <f>equip.xml!A359</f>
        <v>20050020</v>
      </c>
      <c r="B355" s="1">
        <f>equip.xml!B359</f>
        <v>1</v>
      </c>
      <c r="C355" s="1" t="str">
        <f>equip.xml!C359</f>
        <v>金戒指</v>
      </c>
      <c r="D355" s="1" t="str">
        <f>equip.xml!D359</f>
        <v>戒指</v>
      </c>
      <c r="E355" s="1">
        <f>equip.xml!E359</f>
        <v>2</v>
      </c>
      <c r="F355" s="1">
        <f>equip.xml!F359</f>
        <v>2</v>
      </c>
      <c r="G355" s="1">
        <f>equip.xml!G359</f>
        <v>5</v>
      </c>
      <c r="H355" s="1">
        <f>equip.xml!H359</f>
        <v>0</v>
      </c>
      <c r="I355" s="1">
        <f>equip.xml!J359</f>
        <v>10</v>
      </c>
      <c r="J355" s="1">
        <f>equip.xml!K359</f>
        <v>0</v>
      </c>
      <c r="K355" s="1">
        <f>equip.xml!L359</f>
        <v>0</v>
      </c>
      <c r="L355" s="1" t="str">
        <f>equip.xml!M359</f>
        <v>102_80_80</v>
      </c>
      <c r="M355" s="7" t="str">
        <f>equip.xml!Q359</f>
        <v>equipment/14001.png</v>
      </c>
      <c r="N355" t="str">
        <f>equip.xml!P359</f>
        <v>10000_1002_5000,30000_30001_1,30000_30002_1,30000_30003_1</v>
      </c>
    </row>
    <row r="356" spans="1:14">
      <c r="A356" s="1" t="str">
        <f>equip.xml!A360</f>
        <v>20050030</v>
      </c>
      <c r="B356" s="1">
        <f>equip.xml!B360</f>
        <v>1</v>
      </c>
      <c r="C356" s="1" t="str">
        <f>equip.xml!C360</f>
        <v>兽皮腰带</v>
      </c>
      <c r="D356" s="1" t="str">
        <f>equip.xml!D360</f>
        <v>腰带</v>
      </c>
      <c r="E356" s="1">
        <f>equip.xml!E360</f>
        <v>3</v>
      </c>
      <c r="F356" s="1">
        <f>equip.xml!F360</f>
        <v>2</v>
      </c>
      <c r="G356" s="1">
        <f>equip.xml!G360</f>
        <v>5</v>
      </c>
      <c r="H356" s="1">
        <f>equip.xml!H360</f>
        <v>0</v>
      </c>
      <c r="I356" s="1">
        <f>equip.xml!J360</f>
        <v>10</v>
      </c>
      <c r="J356" s="1">
        <f>equip.xml!K360</f>
        <v>0</v>
      </c>
      <c r="K356" s="1">
        <f>equip.xml!L360</f>
        <v>0</v>
      </c>
      <c r="L356" s="1" t="str">
        <f>equip.xml!M360</f>
        <v>101_100_100</v>
      </c>
      <c r="M356" s="7" t="str">
        <f>equip.xml!Q360</f>
        <v>equipment/6001.png</v>
      </c>
      <c r="N356" t="str">
        <f>equip.xml!P360</f>
        <v>10000_1002_5000,30000_30001_1,30000_30002_1,30000_30003_1</v>
      </c>
    </row>
    <row r="357" spans="1:14">
      <c r="A357" s="1" t="str">
        <f>equip.xml!A361</f>
        <v>20050080</v>
      </c>
      <c r="B357" s="1">
        <f>equip.xml!B361</f>
        <v>0</v>
      </c>
      <c r="C357" s="1" t="str">
        <f>equip.xml!C361</f>
        <v>皮靴</v>
      </c>
      <c r="D357" s="1" t="str">
        <f>equip.xml!D361</f>
        <v>鞋子</v>
      </c>
      <c r="E357" s="1">
        <f>equip.xml!E361</f>
        <v>8</v>
      </c>
      <c r="F357" s="1">
        <f>equip.xml!F361</f>
        <v>2</v>
      </c>
      <c r="G357" s="1">
        <f>equip.xml!G361</f>
        <v>5</v>
      </c>
      <c r="H357" s="1">
        <f>equip.xml!H361</f>
        <v>0</v>
      </c>
      <c r="I357" s="1">
        <f>equip.xml!J361</f>
        <v>10</v>
      </c>
      <c r="J357" s="1">
        <f>equip.xml!K361</f>
        <v>0</v>
      </c>
      <c r="K357" s="1">
        <f>equip.xml!L361</f>
        <v>0</v>
      </c>
      <c r="L357" s="1" t="str">
        <f>equip.xml!M361</f>
        <v>110_7_7</v>
      </c>
      <c r="M357" s="7" t="str">
        <f>equip.xml!Q361</f>
        <v>equipment/8001.png</v>
      </c>
      <c r="N357" t="str">
        <f>equip.xml!P361</f>
        <v>10000_1002_5000,30000_30001_1,30000_30002_1,30000_30003_1</v>
      </c>
    </row>
    <row r="358" spans="1:14">
      <c r="A358" s="1" t="str">
        <f>equip.xml!A362</f>
        <v>20050090</v>
      </c>
      <c r="B358" s="1">
        <f>equip.xml!B362</f>
        <v>0</v>
      </c>
      <c r="C358" s="1" t="str">
        <f>equip.xml!C362</f>
        <v>轻布手套</v>
      </c>
      <c r="D358" s="1" t="str">
        <f>equip.xml!D362</f>
        <v>手套</v>
      </c>
      <c r="E358" s="1">
        <f>equip.xml!E362</f>
        <v>9</v>
      </c>
      <c r="F358" s="1">
        <f>equip.xml!F362</f>
        <v>2</v>
      </c>
      <c r="G358" s="1">
        <f>equip.xml!G362</f>
        <v>5</v>
      </c>
      <c r="H358" s="1">
        <f>equip.xml!H362</f>
        <v>0</v>
      </c>
      <c r="I358" s="1">
        <f>equip.xml!J362</f>
        <v>10</v>
      </c>
      <c r="J358" s="1">
        <f>equip.xml!K362</f>
        <v>0</v>
      </c>
      <c r="K358" s="1">
        <f>equip.xml!L362</f>
        <v>0</v>
      </c>
      <c r="L358" s="1" t="str">
        <f>equip.xml!M362</f>
        <v>108_23_23</v>
      </c>
      <c r="M358" s="7" t="str">
        <f>equip.xml!Q362</f>
        <v>equipment/10001.png</v>
      </c>
      <c r="N358" t="str">
        <f>equip.xml!P362</f>
        <v>10000_1002_5000,30000_30001_1,30000_30002_1,30000_30003_1</v>
      </c>
    </row>
    <row r="359" spans="1:14">
      <c r="A359" s="1" t="str">
        <f>equip.xml!A363</f>
        <v>20050100</v>
      </c>
      <c r="B359" s="1">
        <f>equip.xml!B363</f>
        <v>1</v>
      </c>
      <c r="C359" s="1" t="str">
        <f>equip.xml!C363</f>
        <v>贝壳项链</v>
      </c>
      <c r="D359" s="1" t="str">
        <f>equip.xml!D363</f>
        <v>项链</v>
      </c>
      <c r="E359" s="1">
        <f>equip.xml!E363</f>
        <v>10</v>
      </c>
      <c r="F359" s="1">
        <f>equip.xml!F363</f>
        <v>2</v>
      </c>
      <c r="G359" s="1">
        <f>equip.xml!G363</f>
        <v>5</v>
      </c>
      <c r="H359" s="1">
        <f>equip.xml!H363</f>
        <v>0</v>
      </c>
      <c r="I359" s="1">
        <f>equip.xml!J363</f>
        <v>10</v>
      </c>
      <c r="J359" s="1">
        <f>equip.xml!K363</f>
        <v>0</v>
      </c>
      <c r="K359" s="1">
        <f>equip.xml!L363</f>
        <v>0</v>
      </c>
      <c r="L359" s="1" t="str">
        <f>equip.xml!M363</f>
        <v>107_20_20</v>
      </c>
      <c r="M359" s="7" t="str">
        <f>equip.xml!Q363</f>
        <v>equipment/12001.png</v>
      </c>
      <c r="N359" t="str">
        <f>equip.xml!P363</f>
        <v>10000_1002_5000,30000_30001_1,30000_30002_1,30000_30003_1</v>
      </c>
    </row>
    <row r="360" spans="1:14">
      <c r="A360" s="1" t="str">
        <f>equip.xml!A364</f>
        <v>20051050</v>
      </c>
      <c r="B360" s="1">
        <f>equip.xml!B364</f>
        <v>1</v>
      </c>
      <c r="C360" s="1" t="str">
        <f>equip.xml!C364</f>
        <v>长剑</v>
      </c>
      <c r="D360" s="1" t="str">
        <f>equip.xml!D364</f>
        <v>主手武器</v>
      </c>
      <c r="E360" s="1">
        <f>equip.xml!E364</f>
        <v>5</v>
      </c>
      <c r="F360" s="1">
        <f>equip.xml!F364</f>
        <v>2</v>
      </c>
      <c r="G360" s="1">
        <f>equip.xml!G364</f>
        <v>5</v>
      </c>
      <c r="H360" s="1" t="str">
        <f>equip.xml!H364</f>
        <v>1,1001</v>
      </c>
      <c r="I360" s="1">
        <f>equip.xml!J364</f>
        <v>10</v>
      </c>
      <c r="J360" s="1">
        <f>equip.xml!K364</f>
        <v>0</v>
      </c>
      <c r="K360" s="1">
        <f>equip.xml!L364</f>
        <v>0</v>
      </c>
      <c r="L360" s="1" t="str">
        <f>equip.xml!M364</f>
        <v>103_10_10,104_20_20</v>
      </c>
      <c r="M360" s="7" t="str">
        <f>equip.xml!Q364</f>
        <v>equipment/1103.png</v>
      </c>
      <c r="N360" t="str">
        <f>equip.xml!P364</f>
        <v>10000_1002_5000,30000_30001_1,30000_30002_1,30000_30003_1</v>
      </c>
    </row>
    <row r="361" spans="1:14">
      <c r="A361" s="1" t="str">
        <f>equip.xml!A365</f>
        <v>20051051</v>
      </c>
      <c r="B361" s="1">
        <f>equip.xml!B365</f>
        <v>1</v>
      </c>
      <c r="C361" s="1" t="str">
        <f>equip.xml!C365</f>
        <v>双刃剑</v>
      </c>
      <c r="D361" s="1" t="str">
        <f>equip.xml!D365</f>
        <v>主手武器</v>
      </c>
      <c r="E361" s="1">
        <f>equip.xml!E365</f>
        <v>5</v>
      </c>
      <c r="F361" s="1">
        <f>equip.xml!F365</f>
        <v>2</v>
      </c>
      <c r="G361" s="1">
        <f>equip.xml!G365</f>
        <v>5</v>
      </c>
      <c r="H361" s="1" t="str">
        <f>equip.xml!H365</f>
        <v>1,1001</v>
      </c>
      <c r="I361" s="1">
        <f>equip.xml!J365</f>
        <v>10</v>
      </c>
      <c r="J361" s="1">
        <f>equip.xml!K365</f>
        <v>0</v>
      </c>
      <c r="K361" s="1">
        <f>equip.xml!L365</f>
        <v>0</v>
      </c>
      <c r="L361" s="1" t="str">
        <f>equip.xml!M365</f>
        <v>103_18_18,104_38_38</v>
      </c>
      <c r="M361" s="7" t="str">
        <f>equip.xml!Q365</f>
        <v>equipment/1104.png</v>
      </c>
      <c r="N361" t="str">
        <f>equip.xml!P365</f>
        <v>10000_1002_5000,30000_30001_1,30000_30002_1,30000_30003_1</v>
      </c>
    </row>
    <row r="362" spans="1:14">
      <c r="A362" s="1" t="str">
        <f>equip.xml!A366</f>
        <v>20051060</v>
      </c>
      <c r="B362" s="1">
        <f>equip.xml!B366</f>
        <v>1</v>
      </c>
      <c r="C362" s="1" t="str">
        <f>equip.xml!C366</f>
        <v>尖头盾</v>
      </c>
      <c r="D362" s="1" t="str">
        <f>equip.xml!D366</f>
        <v>副手武器</v>
      </c>
      <c r="E362" s="1">
        <f>equip.xml!E366</f>
        <v>6</v>
      </c>
      <c r="F362" s="1">
        <f>equip.xml!F366</f>
        <v>2</v>
      </c>
      <c r="G362" s="1">
        <f>equip.xml!G366</f>
        <v>5</v>
      </c>
      <c r="H362" s="1" t="str">
        <f>equip.xml!H366</f>
        <v>1,1001</v>
      </c>
      <c r="I362" s="1">
        <f>equip.xml!J366</f>
        <v>10</v>
      </c>
      <c r="J362" s="1">
        <f>equip.xml!K366</f>
        <v>0</v>
      </c>
      <c r="K362" s="1">
        <f>equip.xml!L366</f>
        <v>0</v>
      </c>
      <c r="L362" s="1" t="str">
        <f>equip.xml!M366</f>
        <v>105_12_12</v>
      </c>
      <c r="M362" s="7" t="str">
        <f>equip.xml!Q366</f>
        <v>equipment/2102.png</v>
      </c>
      <c r="N362" t="str">
        <f>equip.xml!P366</f>
        <v>10000_1002_5000,30000_30001_1,30000_30002_1,30000_30003_1</v>
      </c>
    </row>
    <row r="363" spans="1:14">
      <c r="A363" s="1" t="str">
        <f>equip.xml!A367</f>
        <v>20051061</v>
      </c>
      <c r="B363" s="1">
        <f>equip.xml!B367</f>
        <v>0</v>
      </c>
      <c r="C363" s="1" t="str">
        <f>equip.xml!C367</f>
        <v>尖头盾</v>
      </c>
      <c r="D363" s="1" t="str">
        <f>equip.xml!D367</f>
        <v>副手武器</v>
      </c>
      <c r="E363" s="1">
        <f>equip.xml!E367</f>
        <v>6</v>
      </c>
      <c r="F363" s="1">
        <f>equip.xml!F367</f>
        <v>2</v>
      </c>
      <c r="G363" s="1">
        <f>equip.xml!G367</f>
        <v>5</v>
      </c>
      <c r="H363" s="1" t="str">
        <f>equip.xml!H367</f>
        <v>1,1001</v>
      </c>
      <c r="I363" s="1">
        <f>equip.xml!J367</f>
        <v>10</v>
      </c>
      <c r="J363" s="1">
        <f>equip.xml!K367</f>
        <v>0</v>
      </c>
      <c r="K363" s="1">
        <f>equip.xml!L367</f>
        <v>0</v>
      </c>
      <c r="L363" s="1" t="str">
        <f>equip.xml!M367</f>
        <v>105_19_19</v>
      </c>
      <c r="M363" s="7" t="str">
        <f>equip.xml!Q367</f>
        <v>equipment/2101.png</v>
      </c>
      <c r="N363" t="str">
        <f>equip.xml!P367</f>
        <v>10000_1002_5000,30000_30001_1,30000_30002_1,30000_30003_1</v>
      </c>
    </row>
    <row r="364" spans="1:14">
      <c r="A364" s="1" t="str">
        <f>equip.xml!A368</f>
        <v>20052050</v>
      </c>
      <c r="B364" s="1">
        <f>equip.xml!B368</f>
        <v>1</v>
      </c>
      <c r="C364" s="1" t="str">
        <f>equip.xml!C368</f>
        <v>硬弓</v>
      </c>
      <c r="D364" s="1" t="str">
        <f>equip.xml!D368</f>
        <v>主手武器</v>
      </c>
      <c r="E364" s="1">
        <f>equip.xml!E368</f>
        <v>5</v>
      </c>
      <c r="F364" s="1">
        <f>equip.xml!F368</f>
        <v>2</v>
      </c>
      <c r="G364" s="1">
        <f>equip.xml!G368</f>
        <v>5</v>
      </c>
      <c r="H364" s="1" t="str">
        <f>equip.xml!H368</f>
        <v>2,1002</v>
      </c>
      <c r="I364" s="1">
        <f>equip.xml!J368</f>
        <v>10</v>
      </c>
      <c r="J364" s="1">
        <f>equip.xml!K368</f>
        <v>0</v>
      </c>
      <c r="K364" s="1">
        <f>equip.xml!L368</f>
        <v>0</v>
      </c>
      <c r="L364" s="1" t="str">
        <f>equip.xml!M368</f>
        <v>103_10_10,104_20_20</v>
      </c>
      <c r="M364" s="7" t="str">
        <f>equip.xml!Q368</f>
        <v>equipment/1204.png</v>
      </c>
      <c r="N364" t="str">
        <f>equip.xml!P368</f>
        <v>10000_1002_5000,30000_30001_1,30000_30002_1,30000_30003_1</v>
      </c>
    </row>
    <row r="365" spans="1:14">
      <c r="A365" s="1" t="str">
        <f>equip.xml!A369</f>
        <v>20052051</v>
      </c>
      <c r="B365" s="1">
        <f>equip.xml!B369</f>
        <v>1</v>
      </c>
      <c r="C365" s="1" t="str">
        <f>equip.xml!C369</f>
        <v>反曲弓</v>
      </c>
      <c r="D365" s="1" t="str">
        <f>equip.xml!D369</f>
        <v>主手武器</v>
      </c>
      <c r="E365" s="1">
        <f>equip.xml!E369</f>
        <v>5</v>
      </c>
      <c r="F365" s="1">
        <f>equip.xml!F369</f>
        <v>2</v>
      </c>
      <c r="G365" s="1">
        <f>equip.xml!G369</f>
        <v>5</v>
      </c>
      <c r="H365" s="1" t="str">
        <f>equip.xml!H369</f>
        <v>2,1002</v>
      </c>
      <c r="I365" s="1">
        <f>equip.xml!J369</f>
        <v>10</v>
      </c>
      <c r="J365" s="1">
        <f>equip.xml!K369</f>
        <v>0</v>
      </c>
      <c r="K365" s="1">
        <f>equip.xml!L369</f>
        <v>0</v>
      </c>
      <c r="L365" s="1" t="str">
        <f>equip.xml!M369</f>
        <v>103_18_18,104_38_38</v>
      </c>
      <c r="M365" s="7" t="str">
        <f>equip.xml!Q369</f>
        <v>equipment/1203.png</v>
      </c>
      <c r="N365" t="str">
        <f>equip.xml!P369</f>
        <v>10000_1002_5000,30000_30001_1,30000_30002_1,30000_30003_1</v>
      </c>
    </row>
    <row r="366" spans="1:14">
      <c r="A366" s="1" t="str">
        <f>equip.xml!A370</f>
        <v>20052060</v>
      </c>
      <c r="B366" s="1">
        <f>equip.xml!B370</f>
        <v>1</v>
      </c>
      <c r="C366" s="1" t="str">
        <f>equip.xml!C370</f>
        <v>箭筒</v>
      </c>
      <c r="D366" s="1" t="str">
        <f>equip.xml!D370</f>
        <v>副手武器</v>
      </c>
      <c r="E366" s="1">
        <f>equip.xml!E370</f>
        <v>6</v>
      </c>
      <c r="F366" s="1">
        <f>equip.xml!F370</f>
        <v>2</v>
      </c>
      <c r="G366" s="1">
        <f>equip.xml!G370</f>
        <v>5</v>
      </c>
      <c r="H366" s="1" t="str">
        <f>equip.xml!H370</f>
        <v>2,1002</v>
      </c>
      <c r="I366" s="1">
        <f>equip.xml!J370</f>
        <v>10</v>
      </c>
      <c r="J366" s="1">
        <f>equip.xml!K370</f>
        <v>0</v>
      </c>
      <c r="K366" s="1">
        <f>equip.xml!L370</f>
        <v>0</v>
      </c>
      <c r="L366" s="1" t="str">
        <f>equip.xml!M370</f>
        <v>108_12_12</v>
      </c>
      <c r="M366" s="7" t="str">
        <f>equip.xml!Q370</f>
        <v>equipment/2202.png</v>
      </c>
      <c r="N366" t="str">
        <f>equip.xml!P370</f>
        <v>10000_1002_5000,30000_30001_1,30000_30002_1,30000_30003_1</v>
      </c>
    </row>
    <row r="367" spans="1:14">
      <c r="A367" s="1" t="str">
        <f>equip.xml!A371</f>
        <v>20052061</v>
      </c>
      <c r="B367" s="1">
        <f>equip.xml!B371</f>
        <v>0</v>
      </c>
      <c r="C367" s="1" t="str">
        <f>equip.xml!C371</f>
        <v>箭筒</v>
      </c>
      <c r="D367" s="1" t="str">
        <f>equip.xml!D371</f>
        <v>副手武器</v>
      </c>
      <c r="E367" s="1">
        <f>equip.xml!E371</f>
        <v>6</v>
      </c>
      <c r="F367" s="1">
        <f>equip.xml!F371</f>
        <v>2</v>
      </c>
      <c r="G367" s="1">
        <f>equip.xml!G371</f>
        <v>5</v>
      </c>
      <c r="H367" s="1" t="str">
        <f>equip.xml!H371</f>
        <v>2,1002</v>
      </c>
      <c r="I367" s="1">
        <f>equip.xml!J371</f>
        <v>10</v>
      </c>
      <c r="J367" s="1">
        <f>equip.xml!K371</f>
        <v>0</v>
      </c>
      <c r="K367" s="1">
        <f>equip.xml!L371</f>
        <v>0</v>
      </c>
      <c r="L367" s="1" t="str">
        <f>equip.xml!M371</f>
        <v>108_19_19</v>
      </c>
      <c r="M367" s="7" t="str">
        <f>equip.xml!Q371</f>
        <v>equipment/2201.png</v>
      </c>
      <c r="N367" t="str">
        <f>equip.xml!P371</f>
        <v>10000_1002_5000,30000_30001_1,30000_30002_1,30000_30003_1</v>
      </c>
    </row>
    <row r="368" spans="1:14">
      <c r="A368" s="1" t="str">
        <f>equip.xml!A372</f>
        <v>20053050</v>
      </c>
      <c r="B368" s="1">
        <f>equip.xml!B372</f>
        <v>1</v>
      </c>
      <c r="C368" s="1" t="str">
        <f>equip.xml!C372</f>
        <v>巫术之杖</v>
      </c>
      <c r="D368" s="1" t="str">
        <f>equip.xml!D372</f>
        <v>主手武器</v>
      </c>
      <c r="E368" s="1">
        <f>equip.xml!E372</f>
        <v>5</v>
      </c>
      <c r="F368" s="1">
        <f>equip.xml!F372</f>
        <v>2</v>
      </c>
      <c r="G368" s="1">
        <f>equip.xml!G372</f>
        <v>5</v>
      </c>
      <c r="H368" s="1" t="str">
        <f>equip.xml!H372</f>
        <v>3,1003</v>
      </c>
      <c r="I368" s="1">
        <f>equip.xml!J372</f>
        <v>10</v>
      </c>
      <c r="J368" s="1">
        <f>equip.xml!K372</f>
        <v>0</v>
      </c>
      <c r="K368" s="1">
        <f>equip.xml!L372</f>
        <v>0</v>
      </c>
      <c r="L368" s="1" t="str">
        <f>equip.xml!M372</f>
        <v>103_10_10,104_20_20</v>
      </c>
      <c r="M368" s="7" t="str">
        <f>equip.xml!Q372</f>
        <v>equipment/1303.png</v>
      </c>
      <c r="N368" t="str">
        <f>equip.xml!P372</f>
        <v>10000_1002_5000,30000_30001_1,30000_30002_1,30000_30003_1</v>
      </c>
    </row>
    <row r="369" spans="1:14">
      <c r="A369" s="1" t="str">
        <f>equip.xml!A373</f>
        <v>20053051</v>
      </c>
      <c r="B369" s="1">
        <f>equip.xml!B373</f>
        <v>1</v>
      </c>
      <c r="C369" s="1" t="str">
        <f>equip.xml!C373</f>
        <v>秘术法杖</v>
      </c>
      <c r="D369" s="1" t="str">
        <f>equip.xml!D373</f>
        <v>主手武器</v>
      </c>
      <c r="E369" s="1">
        <f>equip.xml!E373</f>
        <v>5</v>
      </c>
      <c r="F369" s="1">
        <f>equip.xml!F373</f>
        <v>2</v>
      </c>
      <c r="G369" s="1">
        <f>equip.xml!G373</f>
        <v>5</v>
      </c>
      <c r="H369" s="1" t="str">
        <f>equip.xml!H373</f>
        <v>3,1003</v>
      </c>
      <c r="I369" s="1">
        <f>equip.xml!J373</f>
        <v>10</v>
      </c>
      <c r="J369" s="1">
        <f>equip.xml!K373</f>
        <v>0</v>
      </c>
      <c r="K369" s="1">
        <f>equip.xml!L373</f>
        <v>0</v>
      </c>
      <c r="L369" s="1" t="str">
        <f>equip.xml!M373</f>
        <v>103_18_18,104_38_38</v>
      </c>
      <c r="M369" s="7" t="str">
        <f>equip.xml!Q373</f>
        <v>equipment/1304.png</v>
      </c>
      <c r="N369" t="str">
        <f>equip.xml!P373</f>
        <v>10000_1002_5000,30000_30001_1,30000_30002_1,30000_30003_1</v>
      </c>
    </row>
    <row r="370" spans="1:14">
      <c r="A370" s="1" t="str">
        <f>equip.xml!A374</f>
        <v>20053060</v>
      </c>
      <c r="B370" s="1">
        <f>equip.xml!B374</f>
        <v>1</v>
      </c>
      <c r="C370" s="1" t="str">
        <f>equip.xml!C374</f>
        <v>法术指南</v>
      </c>
      <c r="D370" s="1" t="str">
        <f>equip.xml!D374</f>
        <v>副手武器</v>
      </c>
      <c r="E370" s="1">
        <f>equip.xml!E374</f>
        <v>6</v>
      </c>
      <c r="F370" s="1">
        <f>equip.xml!F374</f>
        <v>2</v>
      </c>
      <c r="G370" s="1">
        <f>equip.xml!G374</f>
        <v>5</v>
      </c>
      <c r="H370" s="1" t="str">
        <f>equip.xml!H374</f>
        <v>3,1003</v>
      </c>
      <c r="I370" s="1">
        <f>equip.xml!J374</f>
        <v>10</v>
      </c>
      <c r="J370" s="1">
        <f>equip.xml!K374</f>
        <v>0</v>
      </c>
      <c r="K370" s="1">
        <f>equip.xml!L374</f>
        <v>0</v>
      </c>
      <c r="L370" s="1" t="str">
        <f>equip.xml!M374</f>
        <v>102_110_110</v>
      </c>
      <c r="M370" s="7" t="str">
        <f>equip.xml!Q374</f>
        <v>equipment/2302.png</v>
      </c>
      <c r="N370" t="str">
        <f>equip.xml!P374</f>
        <v>10000_1002_5000,30000_30001_1,30000_30002_1,30000_30003_1</v>
      </c>
    </row>
    <row r="371" spans="1:14">
      <c r="A371" s="1" t="str">
        <f>equip.xml!A375</f>
        <v>20053061</v>
      </c>
      <c r="B371" s="1">
        <f>equip.xml!B375</f>
        <v>0</v>
      </c>
      <c r="C371" s="1" t="str">
        <f>equip.xml!C375</f>
        <v>法术指南</v>
      </c>
      <c r="D371" s="1" t="str">
        <f>equip.xml!D375</f>
        <v>副手武器</v>
      </c>
      <c r="E371" s="1">
        <f>equip.xml!E375</f>
        <v>6</v>
      </c>
      <c r="F371" s="1">
        <f>equip.xml!F375</f>
        <v>2</v>
      </c>
      <c r="G371" s="1">
        <f>equip.xml!G375</f>
        <v>5</v>
      </c>
      <c r="H371" s="1" t="str">
        <f>equip.xml!H375</f>
        <v>3,1003</v>
      </c>
      <c r="I371" s="1">
        <f>equip.xml!J375</f>
        <v>10</v>
      </c>
      <c r="J371" s="1">
        <f>equip.xml!K375</f>
        <v>0</v>
      </c>
      <c r="K371" s="1">
        <f>equip.xml!L375</f>
        <v>0</v>
      </c>
      <c r="L371" s="1" t="str">
        <f>equip.xml!M375</f>
        <v>102_19_19</v>
      </c>
      <c r="M371" s="7" t="str">
        <f>equip.xml!Q375</f>
        <v>equipment/2301.png</v>
      </c>
      <c r="N371" t="str">
        <f>equip.xml!P375</f>
        <v>10000_1002_5000,30000_30001_1,30000_30002_1,30000_30003_1</v>
      </c>
    </row>
    <row r="372" spans="1:14">
      <c r="A372" s="1" t="str">
        <f>equip.xml!A376</f>
        <v>20050040</v>
      </c>
      <c r="B372" s="1">
        <f>equip.xml!B376</f>
        <v>1</v>
      </c>
      <c r="C372" s="1" t="str">
        <f>equip.xml!C376</f>
        <v>锁甲外套</v>
      </c>
      <c r="D372" s="1" t="str">
        <f>equip.xml!D376</f>
        <v>胸甲</v>
      </c>
      <c r="E372" s="1">
        <f>equip.xml!E376</f>
        <v>4</v>
      </c>
      <c r="F372" s="1">
        <f>equip.xml!F376</f>
        <v>2</v>
      </c>
      <c r="G372" s="1">
        <f>equip.xml!G376</f>
        <v>5</v>
      </c>
      <c r="H372" s="1">
        <f>equip.xml!H376</f>
        <v>0</v>
      </c>
      <c r="I372" s="1">
        <f>equip.xml!J376</f>
        <v>10</v>
      </c>
      <c r="J372" s="1">
        <f>equip.xml!K376</f>
        <v>0</v>
      </c>
      <c r="K372" s="1">
        <f>equip.xml!L376</f>
        <v>0</v>
      </c>
      <c r="L372" s="1" t="str">
        <f>equip.xml!M376</f>
        <v>105_9_9</v>
      </c>
      <c r="M372" s="7" t="str">
        <f>equip.xml!Q376</f>
        <v>equipment/5002.png</v>
      </c>
      <c r="N372" t="str">
        <f>equip.xml!P376</f>
        <v>10000_1002_5000,30000_30001_1,30000_30002_1,30000_30003_1</v>
      </c>
    </row>
    <row r="373" spans="1:14">
      <c r="A373" s="1" t="str">
        <f>equip.xml!A377</f>
        <v>20050041</v>
      </c>
      <c r="B373" s="1">
        <f>equip.xml!B377</f>
        <v>1</v>
      </c>
      <c r="C373" s="1" t="str">
        <f>equip.xml!C377</f>
        <v>战士胸甲</v>
      </c>
      <c r="D373" s="1" t="str">
        <f>equip.xml!D377</f>
        <v>胸甲</v>
      </c>
      <c r="E373" s="1">
        <f>equip.xml!E377</f>
        <v>4</v>
      </c>
      <c r="F373" s="1">
        <f>equip.xml!F377</f>
        <v>2</v>
      </c>
      <c r="G373" s="1">
        <f>equip.xml!G377</f>
        <v>5</v>
      </c>
      <c r="H373" s="1">
        <f>equip.xml!H377</f>
        <v>0</v>
      </c>
      <c r="I373" s="1">
        <f>equip.xml!J377</f>
        <v>10</v>
      </c>
      <c r="J373" s="1">
        <f>equip.xml!K377</f>
        <v>0</v>
      </c>
      <c r="K373" s="1">
        <f>equip.xml!L377</f>
        <v>0</v>
      </c>
      <c r="L373" s="1" t="str">
        <f>equip.xml!M377</f>
        <v>105_13_13</v>
      </c>
      <c r="M373" s="7" t="str">
        <f>equip.xml!Q377</f>
        <v>equipment/5003.png</v>
      </c>
      <c r="N373" t="str">
        <f>equip.xml!P377</f>
        <v>10000_1002_5000,30000_30001_1,30000_30002_1,30000_30003_1</v>
      </c>
    </row>
    <row r="374" spans="1:14">
      <c r="A374" s="1" t="str">
        <f>equip.xml!A378</f>
        <v>20050070</v>
      </c>
      <c r="B374" s="1">
        <f>equip.xml!B378</f>
        <v>1</v>
      </c>
      <c r="C374" s="1" t="str">
        <f>equip.xml!C378</f>
        <v>皮甲短裤</v>
      </c>
      <c r="D374" s="1" t="str">
        <f>equip.xml!D378</f>
        <v>护腿</v>
      </c>
      <c r="E374" s="1">
        <f>equip.xml!E378</f>
        <v>7</v>
      </c>
      <c r="F374" s="1">
        <f>equip.xml!F378</f>
        <v>2</v>
      </c>
      <c r="G374" s="1">
        <f>equip.xml!G378</f>
        <v>5</v>
      </c>
      <c r="H374" s="1">
        <f>equip.xml!H378</f>
        <v>0</v>
      </c>
      <c r="I374" s="1">
        <f>equip.xml!J378</f>
        <v>10</v>
      </c>
      <c r="J374" s="1">
        <f>equip.xml!K378</f>
        <v>0</v>
      </c>
      <c r="K374" s="1">
        <f>equip.xml!L378</f>
        <v>0</v>
      </c>
      <c r="L374" s="1" t="str">
        <f>equip.xml!M378</f>
        <v>105_3_3</v>
      </c>
      <c r="M374" s="7" t="str">
        <f>equip.xml!Q378</f>
        <v>equipment/7001.png</v>
      </c>
      <c r="N374" t="str">
        <f>equip.xml!P378</f>
        <v>10000_1002_5000,30000_30001_1,30000_30002_1,30000_30003_1</v>
      </c>
    </row>
    <row r="375" spans="1:14">
      <c r="A375" s="1" t="str">
        <f>equip.xml!A379</f>
        <v>20050071</v>
      </c>
      <c r="B375" s="1">
        <f>equip.xml!B379</f>
        <v>1</v>
      </c>
      <c r="C375" s="1" t="str">
        <f>equip.xml!C379</f>
        <v>学徒短裤</v>
      </c>
      <c r="D375" s="1" t="str">
        <f>equip.xml!D379</f>
        <v>护腿</v>
      </c>
      <c r="E375" s="1">
        <f>equip.xml!E379</f>
        <v>7</v>
      </c>
      <c r="F375" s="1">
        <f>equip.xml!F379</f>
        <v>2</v>
      </c>
      <c r="G375" s="1">
        <f>equip.xml!G379</f>
        <v>5</v>
      </c>
      <c r="H375" s="1">
        <f>equip.xml!H379</f>
        <v>0</v>
      </c>
      <c r="I375" s="1">
        <f>equip.xml!J379</f>
        <v>10</v>
      </c>
      <c r="J375" s="1">
        <f>equip.xml!K379</f>
        <v>0</v>
      </c>
      <c r="K375" s="1">
        <f>equip.xml!L379</f>
        <v>0</v>
      </c>
      <c r="L375" s="1" t="str">
        <f>equip.xml!M379</f>
        <v>105_10_10</v>
      </c>
      <c r="M375" s="7" t="str">
        <f>equip.xml!Q379</f>
        <v>equipment/7002.png</v>
      </c>
      <c r="N375" t="str">
        <f>equip.xml!P379</f>
        <v>10000_1002_5000,30000_30001_1,30000_30002_1,30000_30003_1</v>
      </c>
    </row>
    <row r="376" spans="1:14">
      <c r="A376" s="1" t="str">
        <f>equip.xml!A380</f>
        <v>20100010</v>
      </c>
      <c r="B376" s="1">
        <f>equip.xml!B380</f>
        <v>1</v>
      </c>
      <c r="C376" s="1" t="str">
        <f>equip.xml!C380</f>
        <v>轻便头盔</v>
      </c>
      <c r="D376" s="1" t="str">
        <f>equip.xml!D380</f>
        <v>头盔</v>
      </c>
      <c r="E376" s="1">
        <f>equip.xml!E380</f>
        <v>1</v>
      </c>
      <c r="F376" s="1">
        <f>equip.xml!F380</f>
        <v>2</v>
      </c>
      <c r="G376" s="1">
        <f>equip.xml!G380</f>
        <v>10</v>
      </c>
      <c r="H376" s="1">
        <f>equip.xml!H380</f>
        <v>0</v>
      </c>
      <c r="I376" s="1">
        <f>equip.xml!J380</f>
        <v>10</v>
      </c>
      <c r="J376" s="1">
        <f>equip.xml!K380</f>
        <v>0</v>
      </c>
      <c r="K376" s="1">
        <f>equip.xml!L380</f>
        <v>0</v>
      </c>
      <c r="L376" s="1" t="str">
        <f>equip.xml!M380</f>
        <v>106_64_64</v>
      </c>
      <c r="M376" s="7" t="str">
        <f>equip.xml!Q380</f>
        <v>equipment/3002.png</v>
      </c>
      <c r="N376" t="str">
        <f>equip.xml!P380</f>
        <v>10000_1002_10000,30000_30001_1,30000_30002_1,30000_30003_1</v>
      </c>
    </row>
    <row r="377" spans="1:14">
      <c r="A377" s="1" t="str">
        <f>equip.xml!A381</f>
        <v>20100020</v>
      </c>
      <c r="B377" s="1">
        <f>equip.xml!B381</f>
        <v>1</v>
      </c>
      <c r="C377" s="1" t="str">
        <f>equip.xml!C381</f>
        <v>宝石戒指</v>
      </c>
      <c r="D377" s="1" t="str">
        <f>equip.xml!D381</f>
        <v>戒指</v>
      </c>
      <c r="E377" s="1">
        <f>equip.xml!E381</f>
        <v>2</v>
      </c>
      <c r="F377" s="1">
        <f>equip.xml!F381</f>
        <v>2</v>
      </c>
      <c r="G377" s="1">
        <f>equip.xml!G381</f>
        <v>10</v>
      </c>
      <c r="H377" s="1">
        <f>equip.xml!H381</f>
        <v>0</v>
      </c>
      <c r="I377" s="1">
        <f>equip.xml!J381</f>
        <v>10</v>
      </c>
      <c r="J377" s="1">
        <f>equip.xml!K381</f>
        <v>0</v>
      </c>
      <c r="K377" s="1">
        <f>equip.xml!L381</f>
        <v>0</v>
      </c>
      <c r="L377" s="1" t="str">
        <f>equip.xml!M381</f>
        <v>102_150_150</v>
      </c>
      <c r="M377" s="7" t="str">
        <f>equip.xml!Q381</f>
        <v>equipment/14002.png</v>
      </c>
      <c r="N377" t="str">
        <f>equip.xml!P381</f>
        <v>10000_1002_10000,30000_30001_1,30000_30002_1,30000_30003_1</v>
      </c>
    </row>
    <row r="378" spans="1:14">
      <c r="A378" s="1" t="str">
        <f>equip.xml!A382</f>
        <v>20100030</v>
      </c>
      <c r="B378" s="1">
        <f>equip.xml!B382</f>
        <v>1</v>
      </c>
      <c r="C378" s="1" t="str">
        <f>equip.xml!C382</f>
        <v>坚硬皮带</v>
      </c>
      <c r="D378" s="1" t="str">
        <f>equip.xml!D382</f>
        <v>腰带</v>
      </c>
      <c r="E378" s="1">
        <f>equip.xml!E382</f>
        <v>3</v>
      </c>
      <c r="F378" s="1">
        <f>equip.xml!F382</f>
        <v>2</v>
      </c>
      <c r="G378" s="1">
        <f>equip.xml!G382</f>
        <v>10</v>
      </c>
      <c r="H378" s="1">
        <f>equip.xml!H382</f>
        <v>0</v>
      </c>
      <c r="I378" s="1">
        <f>equip.xml!J382</f>
        <v>10</v>
      </c>
      <c r="J378" s="1">
        <f>equip.xml!K382</f>
        <v>0</v>
      </c>
      <c r="K378" s="1">
        <f>equip.xml!L382</f>
        <v>0</v>
      </c>
      <c r="L378" s="1" t="str">
        <f>equip.xml!M382</f>
        <v>101_480_480</v>
      </c>
      <c r="M378" s="7" t="str">
        <f>equip.xml!Q382</f>
        <v>equipment/6002.png</v>
      </c>
      <c r="N378" t="str">
        <f>equip.xml!P382</f>
        <v>10000_1002_10000,30000_30001_1,30000_30002_1,30000_30003_1</v>
      </c>
    </row>
    <row r="379" spans="1:14">
      <c r="A379" s="1" t="str">
        <f>equip.xml!A383</f>
        <v>20100080</v>
      </c>
      <c r="B379" s="1">
        <f>equip.xml!B383</f>
        <v>1</v>
      </c>
      <c r="C379" s="1" t="str">
        <f>equip.xml!C383</f>
        <v>软垫靴</v>
      </c>
      <c r="D379" s="1" t="str">
        <f>equip.xml!D383</f>
        <v>鞋子</v>
      </c>
      <c r="E379" s="1">
        <f>equip.xml!E383</f>
        <v>8</v>
      </c>
      <c r="F379" s="1">
        <f>equip.xml!F383</f>
        <v>2</v>
      </c>
      <c r="G379" s="1">
        <f>equip.xml!G383</f>
        <v>10</v>
      </c>
      <c r="H379" s="1">
        <f>equip.xml!H383</f>
        <v>0</v>
      </c>
      <c r="I379" s="1">
        <f>equip.xml!J383</f>
        <v>10</v>
      </c>
      <c r="J379" s="1">
        <f>equip.xml!K383</f>
        <v>0</v>
      </c>
      <c r="K379" s="1">
        <f>equip.xml!L383</f>
        <v>0</v>
      </c>
      <c r="L379" s="1" t="str">
        <f>equip.xml!M383</f>
        <v>110_12_12</v>
      </c>
      <c r="M379" s="7" t="str">
        <f>equip.xml!Q383</f>
        <v>equipment/8002.png</v>
      </c>
      <c r="N379" t="str">
        <f>equip.xml!P383</f>
        <v>10000_1002_10000,30000_30001_1,30000_30002_1,30000_30003_1</v>
      </c>
    </row>
    <row r="380" spans="1:14">
      <c r="A380" s="1" t="str">
        <f>equip.xml!A384</f>
        <v>20100090</v>
      </c>
      <c r="B380" s="1">
        <f>equip.xml!B384</f>
        <v>1</v>
      </c>
      <c r="C380" s="1" t="str">
        <f>equip.xml!C384</f>
        <v>步兵护手</v>
      </c>
      <c r="D380" s="1" t="str">
        <f>equip.xml!D384</f>
        <v>手套</v>
      </c>
      <c r="E380" s="1">
        <f>equip.xml!E384</f>
        <v>9</v>
      </c>
      <c r="F380" s="1">
        <f>equip.xml!F384</f>
        <v>2</v>
      </c>
      <c r="G380" s="1">
        <f>equip.xml!G384</f>
        <v>10</v>
      </c>
      <c r="H380" s="1">
        <f>equip.xml!H384</f>
        <v>0</v>
      </c>
      <c r="I380" s="1">
        <f>equip.xml!J384</f>
        <v>10</v>
      </c>
      <c r="J380" s="1">
        <f>equip.xml!K384</f>
        <v>0</v>
      </c>
      <c r="K380" s="1">
        <f>equip.xml!L384</f>
        <v>0</v>
      </c>
      <c r="L380" s="1" t="str">
        <f>equip.xml!M384</f>
        <v>108_43_43</v>
      </c>
      <c r="M380" s="7" t="str">
        <f>equip.xml!Q384</f>
        <v>equipment/10002.png</v>
      </c>
      <c r="N380" t="str">
        <f>equip.xml!P384</f>
        <v>10000_1002_10000,30000_30001_1,30000_30002_1,30000_30003_1</v>
      </c>
    </row>
    <row r="381" spans="1:14">
      <c r="A381" s="1" t="str">
        <f>equip.xml!A385</f>
        <v>20100100</v>
      </c>
      <c r="B381" s="1">
        <f>equip.xml!B385</f>
        <v>0</v>
      </c>
      <c r="C381" s="1" t="str">
        <f>equip.xml!C385</f>
        <v>贝壳项链</v>
      </c>
      <c r="D381" s="1" t="str">
        <f>equip.xml!D385</f>
        <v>项链</v>
      </c>
      <c r="E381" s="1">
        <f>equip.xml!E385</f>
        <v>10</v>
      </c>
      <c r="F381" s="1">
        <f>equip.xml!F385</f>
        <v>2</v>
      </c>
      <c r="G381" s="1">
        <f>equip.xml!G385</f>
        <v>10</v>
      </c>
      <c r="H381" s="1">
        <f>equip.xml!H385</f>
        <v>0</v>
      </c>
      <c r="I381" s="1">
        <f>equip.xml!J385</f>
        <v>10</v>
      </c>
      <c r="J381" s="1">
        <f>equip.xml!K385</f>
        <v>0</v>
      </c>
      <c r="K381" s="1">
        <f>equip.xml!L385</f>
        <v>0</v>
      </c>
      <c r="L381" s="1" t="str">
        <f>equip.xml!M385</f>
        <v>107_20_20</v>
      </c>
      <c r="M381" s="7" t="str">
        <f>equip.xml!Q385</f>
        <v>equipment/12001.png</v>
      </c>
      <c r="N381" t="str">
        <f>equip.xml!P385</f>
        <v>10000_1002_10000,30000_30001_1,30000_30002_1,30000_30003_1</v>
      </c>
    </row>
    <row r="382" spans="1:14">
      <c r="A382" s="1" t="str">
        <f>equip.xml!A386</f>
        <v>20101050</v>
      </c>
      <c r="B382" s="1">
        <f>equip.xml!B386</f>
        <v>1</v>
      </c>
      <c r="C382" s="1" t="str">
        <f>equip.xml!C386</f>
        <v>护卫之刃</v>
      </c>
      <c r="D382" s="1" t="str">
        <f>equip.xml!D386</f>
        <v>主手武器</v>
      </c>
      <c r="E382" s="1">
        <f>equip.xml!E386</f>
        <v>5</v>
      </c>
      <c r="F382" s="1">
        <f>equip.xml!F386</f>
        <v>2</v>
      </c>
      <c r="G382" s="1">
        <f>equip.xml!G386</f>
        <v>10</v>
      </c>
      <c r="H382" s="1" t="str">
        <f>equip.xml!H386</f>
        <v>1,1001</v>
      </c>
      <c r="I382" s="1">
        <f>equip.xml!J386</f>
        <v>10</v>
      </c>
      <c r="J382" s="1">
        <f>equip.xml!K386</f>
        <v>0</v>
      </c>
      <c r="K382" s="1">
        <f>equip.xml!L386</f>
        <v>0</v>
      </c>
      <c r="L382" s="1" t="str">
        <f>equip.xml!M386</f>
        <v>103_32_32,104_64_64</v>
      </c>
      <c r="M382" s="7" t="str">
        <f>equip.xml!Q386</f>
        <v>equipment/1105.png</v>
      </c>
      <c r="N382" t="str">
        <f>equip.xml!P386</f>
        <v>10000_1002_10000,30000_30001_1,30000_30002_1,30000_30003_1</v>
      </c>
    </row>
    <row r="383" spans="1:14">
      <c r="A383" s="1" t="str">
        <f>equip.xml!A387</f>
        <v>20101051</v>
      </c>
      <c r="B383" s="1">
        <f>equip.xml!B387</f>
        <v>1</v>
      </c>
      <c r="C383" s="1" t="str">
        <f>equip.xml!C387</f>
        <v>铜铸重剑</v>
      </c>
      <c r="D383" s="1" t="str">
        <f>equip.xml!D387</f>
        <v>主手武器</v>
      </c>
      <c r="E383" s="1">
        <f>equip.xml!E387</f>
        <v>5</v>
      </c>
      <c r="F383" s="1">
        <f>equip.xml!F387</f>
        <v>2</v>
      </c>
      <c r="G383" s="1">
        <f>equip.xml!G387</f>
        <v>10</v>
      </c>
      <c r="H383" s="1" t="str">
        <f>equip.xml!H387</f>
        <v>1,1001</v>
      </c>
      <c r="I383" s="1">
        <f>equip.xml!J387</f>
        <v>10</v>
      </c>
      <c r="J383" s="1">
        <f>equip.xml!K387</f>
        <v>0</v>
      </c>
      <c r="K383" s="1">
        <f>equip.xml!L387</f>
        <v>0</v>
      </c>
      <c r="L383" s="1" t="str">
        <f>equip.xml!M387</f>
        <v>103_40_40,104_80_80</v>
      </c>
      <c r="M383" s="7" t="str">
        <f>equip.xml!Q387</f>
        <v>equipment/1106.png</v>
      </c>
      <c r="N383" t="str">
        <f>equip.xml!P387</f>
        <v>10000_1002_10000,30000_30001_1,30000_30002_1,30000_30003_1</v>
      </c>
    </row>
    <row r="384" spans="1:14">
      <c r="A384" s="1" t="str">
        <f>equip.xml!A388</f>
        <v>20101060</v>
      </c>
      <c r="B384" s="1">
        <f>equip.xml!B388</f>
        <v>1</v>
      </c>
      <c r="C384" s="1" t="str">
        <f>equip.xml!C388</f>
        <v>金属大盾</v>
      </c>
      <c r="D384" s="1" t="str">
        <f>equip.xml!D388</f>
        <v>副手武器</v>
      </c>
      <c r="E384" s="1">
        <f>equip.xml!E388</f>
        <v>6</v>
      </c>
      <c r="F384" s="1">
        <f>equip.xml!F388</f>
        <v>2</v>
      </c>
      <c r="G384" s="1">
        <f>equip.xml!G388</f>
        <v>10</v>
      </c>
      <c r="H384" s="1" t="str">
        <f>equip.xml!H388</f>
        <v>1,1001</v>
      </c>
      <c r="I384" s="1">
        <f>equip.xml!J388</f>
        <v>10</v>
      </c>
      <c r="J384" s="1">
        <f>equip.xml!K388</f>
        <v>0</v>
      </c>
      <c r="K384" s="1">
        <f>equip.xml!L388</f>
        <v>0</v>
      </c>
      <c r="L384" s="1" t="str">
        <f>equip.xml!M388</f>
        <v>105_30_30</v>
      </c>
      <c r="M384" s="7" t="str">
        <f>equip.xml!Q388</f>
        <v>equipment/2103.png</v>
      </c>
      <c r="N384" t="str">
        <f>equip.xml!P388</f>
        <v>10000_1002_10000,30000_30001_1,30000_30002_1,30000_30003_1</v>
      </c>
    </row>
    <row r="385" spans="1:14">
      <c r="A385" s="1" t="str">
        <f>equip.xml!A389</f>
        <v>20101061</v>
      </c>
      <c r="B385" s="1">
        <f>equip.xml!B389</f>
        <v>0</v>
      </c>
      <c r="C385" s="1" t="str">
        <f>equip.xml!C389</f>
        <v>尖头盾</v>
      </c>
      <c r="D385" s="1" t="str">
        <f>equip.xml!D389</f>
        <v>副手武器</v>
      </c>
      <c r="E385" s="1">
        <f>equip.xml!E389</f>
        <v>6</v>
      </c>
      <c r="F385" s="1">
        <f>equip.xml!F389</f>
        <v>2</v>
      </c>
      <c r="G385" s="1">
        <f>equip.xml!G389</f>
        <v>10</v>
      </c>
      <c r="H385" s="1" t="str">
        <f>equip.xml!H389</f>
        <v>1,1001</v>
      </c>
      <c r="I385" s="1">
        <f>equip.xml!J389</f>
        <v>10</v>
      </c>
      <c r="J385" s="1">
        <f>equip.xml!K389</f>
        <v>0</v>
      </c>
      <c r="K385" s="1">
        <f>equip.xml!L389</f>
        <v>0</v>
      </c>
      <c r="L385" s="1" t="str">
        <f>equip.xml!M389</f>
        <v>105_59_59</v>
      </c>
      <c r="M385" s="7" t="str">
        <f>equip.xml!Q389</f>
        <v>equipment/2101.png</v>
      </c>
      <c r="N385" t="str">
        <f>equip.xml!P389</f>
        <v>10000_1002_10000,30000_30001_1,30000_30002_1,30000_30003_1</v>
      </c>
    </row>
    <row r="386" spans="1:14">
      <c r="A386" s="1" t="str">
        <f>equip.xml!A390</f>
        <v>20102050</v>
      </c>
      <c r="B386" s="1">
        <f>equip.xml!B390</f>
        <v>1</v>
      </c>
      <c r="C386" s="1" t="str">
        <f>equip.xml!C390</f>
        <v>猎手强弓</v>
      </c>
      <c r="D386" s="1" t="str">
        <f>equip.xml!D390</f>
        <v>主手武器</v>
      </c>
      <c r="E386" s="1">
        <f>equip.xml!E390</f>
        <v>5</v>
      </c>
      <c r="F386" s="1">
        <f>equip.xml!F390</f>
        <v>2</v>
      </c>
      <c r="G386" s="1">
        <f>equip.xml!G390</f>
        <v>10</v>
      </c>
      <c r="H386" s="1" t="str">
        <f>equip.xml!H390</f>
        <v>2,1002</v>
      </c>
      <c r="I386" s="1">
        <f>equip.xml!J390</f>
        <v>10</v>
      </c>
      <c r="J386" s="1">
        <f>equip.xml!K390</f>
        <v>0</v>
      </c>
      <c r="K386" s="1">
        <f>equip.xml!L390</f>
        <v>0</v>
      </c>
      <c r="L386" s="1" t="str">
        <f>equip.xml!M390</f>
        <v>103_32_32,104_64_64</v>
      </c>
      <c r="M386" s="7" t="str">
        <f>equip.xml!Q390</f>
        <v>equipment/1205.png</v>
      </c>
      <c r="N386" t="str">
        <f>equip.xml!P390</f>
        <v>10000_1002_10000,30000_30001_1,30000_30002_1,30000_30003_1</v>
      </c>
    </row>
    <row r="387" spans="1:14">
      <c r="A387" s="1" t="str">
        <f>equip.xml!A391</f>
        <v>20102051</v>
      </c>
      <c r="B387" s="1">
        <f>equip.xml!B391</f>
        <v>1</v>
      </c>
      <c r="C387" s="1" t="str">
        <f>equip.xml!C391</f>
        <v>灰木弓</v>
      </c>
      <c r="D387" s="1" t="str">
        <f>equip.xml!D391</f>
        <v>主手武器</v>
      </c>
      <c r="E387" s="1">
        <f>equip.xml!E391</f>
        <v>5</v>
      </c>
      <c r="F387" s="1">
        <f>equip.xml!F391</f>
        <v>2</v>
      </c>
      <c r="G387" s="1">
        <f>equip.xml!G391</f>
        <v>10</v>
      </c>
      <c r="H387" s="1" t="str">
        <f>equip.xml!H391</f>
        <v>2,1002</v>
      </c>
      <c r="I387" s="1">
        <f>equip.xml!J391</f>
        <v>10</v>
      </c>
      <c r="J387" s="1">
        <f>equip.xml!K391</f>
        <v>0</v>
      </c>
      <c r="K387" s="1">
        <f>equip.xml!L391</f>
        <v>0</v>
      </c>
      <c r="L387" s="1" t="str">
        <f>equip.xml!M391</f>
        <v>103_40_40,104_80_80</v>
      </c>
      <c r="M387" s="7" t="str">
        <f>equip.xml!Q391</f>
        <v>equipment/1206.png</v>
      </c>
      <c r="N387" t="str">
        <f>equip.xml!P391</f>
        <v>10000_1002_10000,30000_30001_1,30000_30002_1,30000_30003_1</v>
      </c>
    </row>
    <row r="388" spans="1:14">
      <c r="A388" s="1" t="str">
        <f>equip.xml!A392</f>
        <v>20102060</v>
      </c>
      <c r="B388" s="1">
        <f>equip.xml!B392</f>
        <v>1</v>
      </c>
      <c r="C388" s="1" t="str">
        <f>equip.xml!C392</f>
        <v>帆布箭筒</v>
      </c>
      <c r="D388" s="1" t="str">
        <f>equip.xml!D392</f>
        <v>副手武器</v>
      </c>
      <c r="E388" s="1">
        <f>equip.xml!E392</f>
        <v>6</v>
      </c>
      <c r="F388" s="1">
        <f>equip.xml!F392</f>
        <v>2</v>
      </c>
      <c r="G388" s="1">
        <f>equip.xml!G392</f>
        <v>10</v>
      </c>
      <c r="H388" s="1" t="str">
        <f>equip.xml!H392</f>
        <v>2,1002</v>
      </c>
      <c r="I388" s="1">
        <f>equip.xml!J392</f>
        <v>10</v>
      </c>
      <c r="J388" s="1">
        <f>equip.xml!K392</f>
        <v>0</v>
      </c>
      <c r="K388" s="1">
        <f>equip.xml!L392</f>
        <v>0</v>
      </c>
      <c r="L388" s="1" t="str">
        <f>equip.xml!M392</f>
        <v>108_30_30</v>
      </c>
      <c r="M388" s="7" t="str">
        <f>equip.xml!Q392</f>
        <v>equipment/2203.png</v>
      </c>
      <c r="N388" t="str">
        <f>equip.xml!P392</f>
        <v>10000_1002_10000,30000_30001_1,30000_30002_1,30000_30003_1</v>
      </c>
    </row>
    <row r="389" spans="1:14">
      <c r="A389" s="1" t="str">
        <f>equip.xml!A393</f>
        <v>20102061</v>
      </c>
      <c r="B389" s="1">
        <f>equip.xml!B393</f>
        <v>0</v>
      </c>
      <c r="C389" s="1" t="str">
        <f>equip.xml!C393</f>
        <v>箭筒</v>
      </c>
      <c r="D389" s="1" t="str">
        <f>equip.xml!D393</f>
        <v>副手武器</v>
      </c>
      <c r="E389" s="1">
        <f>equip.xml!E393</f>
        <v>6</v>
      </c>
      <c r="F389" s="1">
        <f>equip.xml!F393</f>
        <v>2</v>
      </c>
      <c r="G389" s="1">
        <f>equip.xml!G393</f>
        <v>10</v>
      </c>
      <c r="H389" s="1" t="str">
        <f>equip.xml!H393</f>
        <v>2,1002</v>
      </c>
      <c r="I389" s="1">
        <f>equip.xml!J393</f>
        <v>10</v>
      </c>
      <c r="J389" s="1">
        <f>equip.xml!K393</f>
        <v>0</v>
      </c>
      <c r="K389" s="1">
        <f>equip.xml!L393</f>
        <v>0</v>
      </c>
      <c r="L389" s="1" t="str">
        <f>equip.xml!M393</f>
        <v>108_59_59</v>
      </c>
      <c r="M389" s="7" t="str">
        <f>equip.xml!Q393</f>
        <v>equipment/2201.png</v>
      </c>
      <c r="N389" t="str">
        <f>equip.xml!P393</f>
        <v>10000_1002_10000,30000_30001_1,30000_30002_1,30000_30003_1</v>
      </c>
    </row>
    <row r="390" spans="1:14">
      <c r="A390" s="1" t="str">
        <f>equip.xml!A394</f>
        <v>20103050</v>
      </c>
      <c r="B390" s="1">
        <f>equip.xml!B394</f>
        <v>1</v>
      </c>
      <c r="C390" s="1" t="str">
        <f>equip.xml!C394</f>
        <v>附魔银棒</v>
      </c>
      <c r="D390" s="1" t="str">
        <f>equip.xml!D394</f>
        <v>主手武器</v>
      </c>
      <c r="E390" s="1">
        <f>equip.xml!E394</f>
        <v>5</v>
      </c>
      <c r="F390" s="1">
        <f>equip.xml!F394</f>
        <v>2</v>
      </c>
      <c r="G390" s="1">
        <f>equip.xml!G394</f>
        <v>10</v>
      </c>
      <c r="H390" s="1" t="str">
        <f>equip.xml!H394</f>
        <v>3,1003</v>
      </c>
      <c r="I390" s="1">
        <f>equip.xml!J394</f>
        <v>10</v>
      </c>
      <c r="J390" s="1">
        <f>equip.xml!K394</f>
        <v>0</v>
      </c>
      <c r="K390" s="1">
        <f>equip.xml!L394</f>
        <v>0</v>
      </c>
      <c r="L390" s="1" t="str">
        <f>equip.xml!M394</f>
        <v>103_32_32,104_64_64</v>
      </c>
      <c r="M390" s="7" t="str">
        <f>equip.xml!Q394</f>
        <v>equipment/1305.png</v>
      </c>
      <c r="N390" t="str">
        <f>equip.xml!P394</f>
        <v>10000_1002_10000,30000_30001_1,30000_30002_1,30000_30003_1</v>
      </c>
    </row>
    <row r="391" spans="1:14">
      <c r="A391" s="1" t="str">
        <f>equip.xml!A395</f>
        <v>20103051</v>
      </c>
      <c r="B391" s="1">
        <f>equip.xml!B395</f>
        <v>1</v>
      </c>
      <c r="C391" s="1" t="str">
        <f>equip.xml!C395</f>
        <v>魔导法杖</v>
      </c>
      <c r="D391" s="1" t="str">
        <f>equip.xml!D395</f>
        <v>主手武器</v>
      </c>
      <c r="E391" s="1">
        <f>equip.xml!E395</f>
        <v>5</v>
      </c>
      <c r="F391" s="1">
        <f>equip.xml!F395</f>
        <v>2</v>
      </c>
      <c r="G391" s="1">
        <f>equip.xml!G395</f>
        <v>10</v>
      </c>
      <c r="H391" s="1" t="str">
        <f>equip.xml!H395</f>
        <v>3,1003</v>
      </c>
      <c r="I391" s="1">
        <f>equip.xml!J395</f>
        <v>10</v>
      </c>
      <c r="J391" s="1">
        <f>equip.xml!K395</f>
        <v>0</v>
      </c>
      <c r="K391" s="1">
        <f>equip.xml!L395</f>
        <v>0</v>
      </c>
      <c r="L391" s="1" t="str">
        <f>equip.xml!M395</f>
        <v>103_40_40,104_80_80</v>
      </c>
      <c r="M391" s="7" t="str">
        <f>equip.xml!Q395</f>
        <v>equipment/1306.png</v>
      </c>
      <c r="N391" t="str">
        <f>equip.xml!P395</f>
        <v>10000_1002_10000,30000_30001_1,30000_30002_1,30000_30003_1</v>
      </c>
    </row>
    <row r="392" spans="1:14">
      <c r="A392" s="1" t="str">
        <f>equip.xml!A396</f>
        <v>20103060</v>
      </c>
      <c r="B392" s="1">
        <f>equip.xml!B396</f>
        <v>1</v>
      </c>
      <c r="C392" s="1" t="str">
        <f>equip.xml!C396</f>
        <v>奥术典籍</v>
      </c>
      <c r="D392" s="1" t="str">
        <f>equip.xml!D396</f>
        <v>副手武器</v>
      </c>
      <c r="E392" s="1">
        <f>equip.xml!E396</f>
        <v>6</v>
      </c>
      <c r="F392" s="1">
        <f>equip.xml!F396</f>
        <v>2</v>
      </c>
      <c r="G392" s="1">
        <f>equip.xml!G396</f>
        <v>10</v>
      </c>
      <c r="H392" s="1" t="str">
        <f>equip.xml!H396</f>
        <v>3,1003</v>
      </c>
      <c r="I392" s="1">
        <f>equip.xml!J396</f>
        <v>10</v>
      </c>
      <c r="J392" s="1">
        <f>equip.xml!K396</f>
        <v>0</v>
      </c>
      <c r="K392" s="1">
        <f>equip.xml!L396</f>
        <v>0</v>
      </c>
      <c r="L392" s="1" t="str">
        <f>equip.xml!M396</f>
        <v>102_240_240</v>
      </c>
      <c r="M392" s="7" t="str">
        <f>equip.xml!Q396</f>
        <v>equipment/2303.png</v>
      </c>
      <c r="N392" t="str">
        <f>equip.xml!P396</f>
        <v>10000_1002_10000,30000_30001_1,30000_30002_1,30000_30003_1</v>
      </c>
    </row>
    <row r="393" spans="1:14">
      <c r="A393" s="1" t="str">
        <f>equip.xml!A397</f>
        <v>20103061</v>
      </c>
      <c r="B393" s="1">
        <f>equip.xml!B397</f>
        <v>0</v>
      </c>
      <c r="C393" s="1" t="str">
        <f>equip.xml!C397</f>
        <v>法术指南</v>
      </c>
      <c r="D393" s="1" t="str">
        <f>equip.xml!D397</f>
        <v>副手武器</v>
      </c>
      <c r="E393" s="1">
        <f>equip.xml!E397</f>
        <v>6</v>
      </c>
      <c r="F393" s="1">
        <f>equip.xml!F397</f>
        <v>2</v>
      </c>
      <c r="G393" s="1">
        <f>equip.xml!G397</f>
        <v>10</v>
      </c>
      <c r="H393" s="1" t="str">
        <f>equip.xml!H397</f>
        <v>3,1003</v>
      </c>
      <c r="I393" s="1">
        <f>equip.xml!J397</f>
        <v>10</v>
      </c>
      <c r="J393" s="1">
        <f>equip.xml!K397</f>
        <v>0</v>
      </c>
      <c r="K393" s="1">
        <f>equip.xml!L397</f>
        <v>0</v>
      </c>
      <c r="L393" s="1" t="str">
        <f>equip.xml!M397</f>
        <v>102_59_59</v>
      </c>
      <c r="M393" s="7" t="str">
        <f>equip.xml!Q397</f>
        <v>equipment/2301.png</v>
      </c>
      <c r="N393" t="str">
        <f>equip.xml!P397</f>
        <v>10000_1002_10000,30000_30001_1,30000_30002_1,30000_30003_1</v>
      </c>
    </row>
    <row r="394" spans="1:14">
      <c r="A394" s="1" t="str">
        <f>equip.xml!A398</f>
        <v>20100040</v>
      </c>
      <c r="B394" s="1">
        <f>equip.xml!B398</f>
        <v>1</v>
      </c>
      <c r="C394" s="1" t="str">
        <f>equip.xml!C398</f>
        <v>硬皮外套</v>
      </c>
      <c r="D394" s="1" t="str">
        <f>equip.xml!D398</f>
        <v>胸甲</v>
      </c>
      <c r="E394" s="1">
        <f>equip.xml!E398</f>
        <v>4</v>
      </c>
      <c r="F394" s="1">
        <f>equip.xml!F398</f>
        <v>2</v>
      </c>
      <c r="G394" s="1">
        <f>equip.xml!G398</f>
        <v>10</v>
      </c>
      <c r="H394" s="1">
        <f>equip.xml!H398</f>
        <v>0</v>
      </c>
      <c r="I394" s="1">
        <f>equip.xml!J398</f>
        <v>10</v>
      </c>
      <c r="J394" s="1">
        <f>equip.xml!K398</f>
        <v>0</v>
      </c>
      <c r="K394" s="1">
        <f>equip.xml!L398</f>
        <v>0</v>
      </c>
      <c r="L394" s="1" t="str">
        <f>equip.xml!M398</f>
        <v>105_20_20</v>
      </c>
      <c r="M394" s="7" t="str">
        <f>equip.xml!Q398</f>
        <v>equipment/5003.png</v>
      </c>
      <c r="N394" t="str">
        <f>equip.xml!P398</f>
        <v>10000_1002_10000,30000_30001_1,30000_30002_1,30000_30003_1</v>
      </c>
    </row>
    <row r="395" spans="1:14">
      <c r="A395" s="1" t="str">
        <f>equip.xml!A399</f>
        <v>20100041</v>
      </c>
      <c r="B395" s="1">
        <f>equip.xml!B399</f>
        <v>0</v>
      </c>
      <c r="C395" s="1" t="str">
        <f>equip.xml!C399</f>
        <v>新兵外套</v>
      </c>
      <c r="D395" s="1" t="str">
        <f>equip.xml!D399</f>
        <v>胸甲</v>
      </c>
      <c r="E395" s="1">
        <f>equip.xml!E399</f>
        <v>4</v>
      </c>
      <c r="F395" s="1">
        <f>equip.xml!F399</f>
        <v>2</v>
      </c>
      <c r="G395" s="1">
        <f>equip.xml!G399</f>
        <v>10</v>
      </c>
      <c r="H395" s="1">
        <f>equip.xml!H399</f>
        <v>0</v>
      </c>
      <c r="I395" s="1">
        <f>equip.xml!J399</f>
        <v>10</v>
      </c>
      <c r="J395" s="1">
        <f>equip.xml!K399</f>
        <v>0</v>
      </c>
      <c r="K395" s="1">
        <f>equip.xml!L399</f>
        <v>0</v>
      </c>
      <c r="L395" s="1" t="str">
        <f>equip.xml!M399</f>
        <v>105_28_28</v>
      </c>
      <c r="M395" s="7" t="str">
        <f>equip.xml!Q399</f>
        <v>equipment/5001.png</v>
      </c>
      <c r="N395" t="str">
        <f>equip.xml!P399</f>
        <v>10000_1002_10000,30000_30001_1,30000_30002_1,30000_30003_1</v>
      </c>
    </row>
    <row r="396" spans="1:14">
      <c r="A396" s="1" t="str">
        <f>equip.xml!A400</f>
        <v>20100070</v>
      </c>
      <c r="B396" s="1">
        <f>equip.xml!B400</f>
        <v>1</v>
      </c>
      <c r="C396" s="1" t="str">
        <f>equip.xml!C400</f>
        <v>护卫短裤</v>
      </c>
      <c r="D396" s="1" t="str">
        <f>equip.xml!D400</f>
        <v>护腿</v>
      </c>
      <c r="E396" s="1">
        <f>equip.xml!E400</f>
        <v>7</v>
      </c>
      <c r="F396" s="1">
        <f>equip.xml!F400</f>
        <v>2</v>
      </c>
      <c r="G396" s="1">
        <f>equip.xml!G400</f>
        <v>10</v>
      </c>
      <c r="H396" s="1">
        <f>equip.xml!H400</f>
        <v>0</v>
      </c>
      <c r="I396" s="1">
        <f>equip.xml!J400</f>
        <v>10</v>
      </c>
      <c r="J396" s="1">
        <f>equip.xml!K400</f>
        <v>0</v>
      </c>
      <c r="K396" s="1">
        <f>equip.xml!L400</f>
        <v>0</v>
      </c>
      <c r="L396" s="1" t="str">
        <f>equip.xml!M400</f>
        <v>105_20_20</v>
      </c>
      <c r="M396" s="7" t="str">
        <f>equip.xml!Q400</f>
        <v>equipment/7003.png</v>
      </c>
      <c r="N396" t="str">
        <f>equip.xml!P400</f>
        <v>10000_1002_10000,30000_30001_1,30000_30002_1,30000_30003_1</v>
      </c>
    </row>
    <row r="397" spans="1:14">
      <c r="A397" s="1" t="str">
        <f>equip.xml!A401</f>
        <v>20100071</v>
      </c>
      <c r="B397" s="1">
        <f>equip.xml!B401</f>
        <v>0</v>
      </c>
      <c r="C397" s="1" t="str">
        <f>equip.xml!C401</f>
        <v>学徒短裤</v>
      </c>
      <c r="D397" s="1" t="str">
        <f>equip.xml!D401</f>
        <v>护腿</v>
      </c>
      <c r="E397" s="1">
        <f>equip.xml!E401</f>
        <v>7</v>
      </c>
      <c r="F397" s="1">
        <f>equip.xml!F401</f>
        <v>2</v>
      </c>
      <c r="G397" s="1">
        <f>equip.xml!G401</f>
        <v>10</v>
      </c>
      <c r="H397" s="1">
        <f>equip.xml!H401</f>
        <v>0</v>
      </c>
      <c r="I397" s="1">
        <f>equip.xml!J401</f>
        <v>10</v>
      </c>
      <c r="J397" s="1">
        <f>equip.xml!K401</f>
        <v>0</v>
      </c>
      <c r="K397" s="1">
        <f>equip.xml!L401</f>
        <v>0</v>
      </c>
      <c r="L397" s="1" t="str">
        <f>equip.xml!M401</f>
        <v>105_28_28</v>
      </c>
      <c r="M397" s="7" t="str">
        <f>equip.xml!Q401</f>
        <v>equipment/7001.png</v>
      </c>
      <c r="N397" t="str">
        <f>equip.xml!P401</f>
        <v>10000_1002_10000,30000_30001_1,30000_30002_1,30000_30003_1</v>
      </c>
    </row>
    <row r="398" spans="1:14">
      <c r="A398" s="1" t="str">
        <f>equip.xml!A402</f>
        <v>20150010</v>
      </c>
      <c r="B398" s="1">
        <f>equip.xml!B402</f>
        <v>0</v>
      </c>
      <c r="C398" s="1" t="str">
        <f>equip.xml!C402</f>
        <v>纹饰帽</v>
      </c>
      <c r="D398" s="1" t="str">
        <f>equip.xml!D402</f>
        <v>头盔</v>
      </c>
      <c r="E398" s="1">
        <f>equip.xml!E402</f>
        <v>1</v>
      </c>
      <c r="F398" s="1">
        <f>equip.xml!F402</f>
        <v>2</v>
      </c>
      <c r="G398" s="1">
        <f>equip.xml!G402</f>
        <v>15</v>
      </c>
      <c r="H398" s="1">
        <f>equip.xml!H402</f>
        <v>0</v>
      </c>
      <c r="I398" s="1">
        <f>equip.xml!J402</f>
        <v>10</v>
      </c>
      <c r="J398" s="1">
        <f>equip.xml!K402</f>
        <v>0</v>
      </c>
      <c r="K398" s="1">
        <f>equip.xml!L402</f>
        <v>0</v>
      </c>
      <c r="L398" s="1" t="str">
        <f>equip.xml!M402</f>
        <v>106_64_64</v>
      </c>
      <c r="M398" s="7" t="str">
        <f>equip.xml!Q402</f>
        <v>equipment/3001.png</v>
      </c>
      <c r="N398" t="str">
        <f>equip.xml!P402</f>
        <v>10000_1002_15000,30000_30001_1,30000_30002_1,30000_30003_1</v>
      </c>
    </row>
    <row r="399" spans="1:14">
      <c r="A399" s="1" t="str">
        <f>equip.xml!A403</f>
        <v>20150020</v>
      </c>
      <c r="B399" s="1">
        <f>equip.xml!B403</f>
        <v>0</v>
      </c>
      <c r="C399" s="1" t="str">
        <f>equip.xml!C403</f>
        <v>金戒指</v>
      </c>
      <c r="D399" s="1" t="str">
        <f>equip.xml!D403</f>
        <v>戒指</v>
      </c>
      <c r="E399" s="1">
        <f>equip.xml!E403</f>
        <v>2</v>
      </c>
      <c r="F399" s="1">
        <f>equip.xml!F403</f>
        <v>2</v>
      </c>
      <c r="G399" s="1">
        <f>equip.xml!G403</f>
        <v>15</v>
      </c>
      <c r="H399" s="1">
        <f>equip.xml!H403</f>
        <v>0</v>
      </c>
      <c r="I399" s="1">
        <f>equip.xml!J403</f>
        <v>10</v>
      </c>
      <c r="J399" s="1">
        <f>equip.xml!K403</f>
        <v>0</v>
      </c>
      <c r="K399" s="1">
        <f>equip.xml!L403</f>
        <v>0</v>
      </c>
      <c r="L399" s="1" t="str">
        <f>equip.xml!M403</f>
        <v>102_185_185</v>
      </c>
      <c r="M399" s="7" t="str">
        <f>equip.xml!Q403</f>
        <v>equipment/14001.png</v>
      </c>
      <c r="N399" t="str">
        <f>equip.xml!P403</f>
        <v>10000_1002_15000,30000_30001_1,30000_30002_1,30000_30003_1</v>
      </c>
    </row>
    <row r="400" spans="1:14">
      <c r="A400" s="1" t="str">
        <f>equip.xml!A404</f>
        <v>20150030</v>
      </c>
      <c r="B400" s="1">
        <f>equip.xml!B404</f>
        <v>1</v>
      </c>
      <c r="C400" s="1" t="str">
        <f>equip.xml!C404</f>
        <v>铁锁腰带</v>
      </c>
      <c r="D400" s="1" t="str">
        <f>equip.xml!D404</f>
        <v>腰带</v>
      </c>
      <c r="E400" s="1">
        <f>equip.xml!E404</f>
        <v>3</v>
      </c>
      <c r="F400" s="1">
        <f>equip.xml!F404</f>
        <v>2</v>
      </c>
      <c r="G400" s="1">
        <f>equip.xml!G404</f>
        <v>15</v>
      </c>
      <c r="H400" s="1">
        <f>equip.xml!H404</f>
        <v>0</v>
      </c>
      <c r="I400" s="1">
        <f>equip.xml!J404</f>
        <v>10</v>
      </c>
      <c r="J400" s="1">
        <f>equip.xml!K404</f>
        <v>0</v>
      </c>
      <c r="K400" s="1">
        <f>equip.xml!L404</f>
        <v>0</v>
      </c>
      <c r="L400" s="1" t="str">
        <f>equip.xml!M404</f>
        <v>101_1160_1160</v>
      </c>
      <c r="M400" s="7" t="str">
        <f>equip.xml!Q404</f>
        <v>equipment/6003.png</v>
      </c>
      <c r="N400" t="str">
        <f>equip.xml!P404</f>
        <v>10000_1002_15000,30000_30001_1,30000_30002_1,30000_30003_1</v>
      </c>
    </row>
    <row r="401" spans="1:14">
      <c r="A401" s="1" t="str">
        <f>equip.xml!A405</f>
        <v>20150080</v>
      </c>
      <c r="B401" s="1">
        <f>equip.xml!B405</f>
        <v>1</v>
      </c>
      <c r="C401" s="1" t="str">
        <f>equip.xml!C405</f>
        <v>链甲战靴</v>
      </c>
      <c r="D401" s="1" t="str">
        <f>equip.xml!D405</f>
        <v>鞋子</v>
      </c>
      <c r="E401" s="1">
        <f>equip.xml!E405</f>
        <v>8</v>
      </c>
      <c r="F401" s="1">
        <f>equip.xml!F405</f>
        <v>2</v>
      </c>
      <c r="G401" s="1">
        <f>equip.xml!G405</f>
        <v>15</v>
      </c>
      <c r="H401" s="1">
        <f>equip.xml!H405</f>
        <v>0</v>
      </c>
      <c r="I401" s="1">
        <f>equip.xml!J405</f>
        <v>10</v>
      </c>
      <c r="J401" s="1">
        <f>equip.xml!K405</f>
        <v>0</v>
      </c>
      <c r="K401" s="1">
        <f>equip.xml!L405</f>
        <v>0</v>
      </c>
      <c r="L401" s="1" t="str">
        <f>equip.xml!M405</f>
        <v>110_27_27</v>
      </c>
      <c r="M401" s="7" t="str">
        <f>equip.xml!Q405</f>
        <v>equipment/8003.png</v>
      </c>
      <c r="N401" t="str">
        <f>equip.xml!P405</f>
        <v>10000_1002_15000,30000_30001_1,30000_30002_1,30000_30003_1</v>
      </c>
    </row>
    <row r="402" spans="1:14">
      <c r="A402" s="1" t="str">
        <f>equip.xml!A406</f>
        <v>20150090</v>
      </c>
      <c r="B402" s="1">
        <f>equip.xml!B406</f>
        <v>1</v>
      </c>
      <c r="C402" s="1" t="str">
        <f>equip.xml!C406</f>
        <v>战痕手套</v>
      </c>
      <c r="D402" s="1" t="str">
        <f>equip.xml!D406</f>
        <v>手套</v>
      </c>
      <c r="E402" s="1">
        <f>equip.xml!E406</f>
        <v>9</v>
      </c>
      <c r="F402" s="1">
        <f>equip.xml!F406</f>
        <v>2</v>
      </c>
      <c r="G402" s="1">
        <f>equip.xml!G406</f>
        <v>15</v>
      </c>
      <c r="H402" s="1">
        <f>equip.xml!H406</f>
        <v>0</v>
      </c>
      <c r="I402" s="1">
        <f>equip.xml!J406</f>
        <v>10</v>
      </c>
      <c r="J402" s="1">
        <f>equip.xml!K406</f>
        <v>0</v>
      </c>
      <c r="K402" s="1">
        <f>equip.xml!L406</f>
        <v>0</v>
      </c>
      <c r="L402" s="1" t="str">
        <f>equip.xml!M406</f>
        <v>108_106_106</v>
      </c>
      <c r="M402" s="7" t="str">
        <f>equip.xml!Q406</f>
        <v>equipment/10003.png</v>
      </c>
      <c r="N402" t="str">
        <f>equip.xml!P406</f>
        <v>10000_1002_15000,30000_30001_1,30000_30002_1,30000_30003_1</v>
      </c>
    </row>
    <row r="403" spans="1:14">
      <c r="A403" s="1" t="str">
        <f>equip.xml!A407</f>
        <v>20150100</v>
      </c>
      <c r="B403" s="1">
        <f>equip.xml!B407</f>
        <v>1</v>
      </c>
      <c r="C403" s="1" t="str">
        <f>equip.xml!C407</f>
        <v>使者项链</v>
      </c>
      <c r="D403" s="1" t="str">
        <f>equip.xml!D407</f>
        <v>项链</v>
      </c>
      <c r="E403" s="1">
        <f>equip.xml!E407</f>
        <v>10</v>
      </c>
      <c r="F403" s="1">
        <f>equip.xml!F407</f>
        <v>2</v>
      </c>
      <c r="G403" s="1">
        <f>equip.xml!G407</f>
        <v>15</v>
      </c>
      <c r="H403" s="1">
        <f>equip.xml!H407</f>
        <v>0</v>
      </c>
      <c r="I403" s="1">
        <f>equip.xml!J407</f>
        <v>10</v>
      </c>
      <c r="J403" s="1">
        <f>equip.xml!K407</f>
        <v>0</v>
      </c>
      <c r="K403" s="1">
        <f>equip.xml!L407</f>
        <v>0</v>
      </c>
      <c r="L403" s="1" t="str">
        <f>equip.xml!M407</f>
        <v>107_64_64</v>
      </c>
      <c r="M403" s="7" t="str">
        <f>equip.xml!Q407</f>
        <v>equipment/12002.png</v>
      </c>
      <c r="N403" t="str">
        <f>equip.xml!P407</f>
        <v>10000_1002_15000,30000_30001_1,30000_30002_1,30000_30003_1</v>
      </c>
    </row>
    <row r="404" spans="1:14">
      <c r="A404" s="1" t="str">
        <f>equip.xml!A408</f>
        <v>20151050</v>
      </c>
      <c r="B404" s="1">
        <f>equip.xml!B408</f>
        <v>1</v>
      </c>
      <c r="C404" s="1" t="str">
        <f>equip.xml!C408</f>
        <v>宽刃剑</v>
      </c>
      <c r="D404" s="1" t="str">
        <f>equip.xml!D408</f>
        <v>主手武器</v>
      </c>
      <c r="E404" s="1">
        <f>equip.xml!E408</f>
        <v>5</v>
      </c>
      <c r="F404" s="1">
        <f>equip.xml!F408</f>
        <v>2</v>
      </c>
      <c r="G404" s="1">
        <f>equip.xml!G408</f>
        <v>15</v>
      </c>
      <c r="H404" s="1" t="str">
        <f>equip.xml!H408</f>
        <v>1,1001</v>
      </c>
      <c r="I404" s="1">
        <f>equip.xml!J408</f>
        <v>10</v>
      </c>
      <c r="J404" s="1">
        <f>equip.xml!K408</f>
        <v>0</v>
      </c>
      <c r="K404" s="1">
        <f>equip.xml!L408</f>
        <v>0</v>
      </c>
      <c r="L404" s="1" t="str">
        <f>equip.xml!M408</f>
        <v>103_52_52,104_104_104</v>
      </c>
      <c r="M404" s="7" t="str">
        <f>equip.xml!Q408</f>
        <v>equipment/1108.png</v>
      </c>
      <c r="N404" t="str">
        <f>equip.xml!P408</f>
        <v>10000_1002_15000,30000_30001_1,30000_30002_1,30000_30003_1</v>
      </c>
    </row>
    <row r="405" spans="1:14">
      <c r="A405" s="1" t="str">
        <f>equip.xml!A409</f>
        <v>20151051</v>
      </c>
      <c r="B405" s="1">
        <f>equip.xml!B409</f>
        <v>1</v>
      </c>
      <c r="C405" s="1" t="str">
        <f>equip.xml!C409</f>
        <v>游侠之刃</v>
      </c>
      <c r="D405" s="1" t="str">
        <f>equip.xml!D409</f>
        <v>主手武器</v>
      </c>
      <c r="E405" s="1">
        <f>equip.xml!E409</f>
        <v>5</v>
      </c>
      <c r="F405" s="1">
        <f>equip.xml!F409</f>
        <v>2</v>
      </c>
      <c r="G405" s="1">
        <f>equip.xml!G409</f>
        <v>15</v>
      </c>
      <c r="H405" s="1" t="str">
        <f>equip.xml!H409</f>
        <v>1,1001</v>
      </c>
      <c r="I405" s="1">
        <f>equip.xml!J409</f>
        <v>10</v>
      </c>
      <c r="J405" s="1">
        <f>equip.xml!K409</f>
        <v>0</v>
      </c>
      <c r="K405" s="1">
        <f>equip.xml!L409</f>
        <v>0</v>
      </c>
      <c r="L405" s="1" t="str">
        <f>equip.xml!M409</f>
        <v>103_76_76,104_152_152</v>
      </c>
      <c r="M405" s="7" t="str">
        <f>equip.xml!Q409</f>
        <v>equipment/1107.png</v>
      </c>
      <c r="N405" t="str">
        <f>equip.xml!P409</f>
        <v>10000_1002_15000,30000_30001_1,30000_30002_1,30000_30003_1</v>
      </c>
    </row>
    <row r="406" spans="1:14">
      <c r="A406" s="1" t="str">
        <f>equip.xml!A410</f>
        <v>20151060</v>
      </c>
      <c r="B406" s="1">
        <f>equip.xml!B410</f>
        <v>1</v>
      </c>
      <c r="C406" s="1" t="str">
        <f>equip.xml!C410</f>
        <v>鸢盾</v>
      </c>
      <c r="D406" s="1" t="str">
        <f>equip.xml!D410</f>
        <v>副手武器</v>
      </c>
      <c r="E406" s="1">
        <f>equip.xml!E410</f>
        <v>6</v>
      </c>
      <c r="F406" s="1">
        <f>equip.xml!F410</f>
        <v>2</v>
      </c>
      <c r="G406" s="1">
        <f>equip.xml!G410</f>
        <v>15</v>
      </c>
      <c r="H406" s="1" t="str">
        <f>equip.xml!H410</f>
        <v>1,1001</v>
      </c>
      <c r="I406" s="1">
        <f>equip.xml!J410</f>
        <v>10</v>
      </c>
      <c r="J406" s="1">
        <f>equip.xml!K410</f>
        <v>0</v>
      </c>
      <c r="K406" s="1">
        <f>equip.xml!L410</f>
        <v>0</v>
      </c>
      <c r="L406" s="1" t="str">
        <f>equip.xml!M410</f>
        <v>105_103_103</v>
      </c>
      <c r="M406" s="7" t="str">
        <f>equip.xml!Q410</f>
        <v>equipment/2105.png</v>
      </c>
      <c r="N406" t="str">
        <f>equip.xml!P410</f>
        <v>10000_1002_15000,30000_30001_1,30000_30002_1,30000_30003_1</v>
      </c>
    </row>
    <row r="407" spans="1:14">
      <c r="A407" s="1" t="str">
        <f>equip.xml!A411</f>
        <v>20151061</v>
      </c>
      <c r="B407" s="1">
        <f>equip.xml!B411</f>
        <v>0</v>
      </c>
      <c r="C407" s="1" t="str">
        <f>equip.xml!C411</f>
        <v>尖头盾</v>
      </c>
      <c r="D407" s="1" t="str">
        <f>equip.xml!D411</f>
        <v>副手武器</v>
      </c>
      <c r="E407" s="1">
        <f>equip.xml!E411</f>
        <v>6</v>
      </c>
      <c r="F407" s="1">
        <f>equip.xml!F411</f>
        <v>2</v>
      </c>
      <c r="G407" s="1">
        <f>equip.xml!G411</f>
        <v>15</v>
      </c>
      <c r="H407" s="1" t="str">
        <f>equip.xml!H411</f>
        <v>1,1001</v>
      </c>
      <c r="I407" s="1">
        <f>equip.xml!J411</f>
        <v>10</v>
      </c>
      <c r="J407" s="1">
        <f>equip.xml!K411</f>
        <v>0</v>
      </c>
      <c r="K407" s="1">
        <f>equip.xml!L411</f>
        <v>0</v>
      </c>
      <c r="L407" s="1" t="str">
        <f>equip.xml!M411</f>
        <v>105_130_130</v>
      </c>
      <c r="M407" s="7" t="str">
        <f>equip.xml!Q411</f>
        <v>equipment/2101.png</v>
      </c>
      <c r="N407" t="str">
        <f>equip.xml!P411</f>
        <v>10000_1002_15000,30000_30001_1,30000_30002_1,30000_30003_1</v>
      </c>
    </row>
    <row r="408" spans="1:14">
      <c r="A408" s="1" t="str">
        <f>equip.xml!A412</f>
        <v>20152050</v>
      </c>
      <c r="B408" s="1">
        <f>equip.xml!B412</f>
        <v>1</v>
      </c>
      <c r="C408" s="1" t="str">
        <f>equip.xml!C412</f>
        <v>狩猎之弓</v>
      </c>
      <c r="D408" s="1" t="str">
        <f>equip.xml!D412</f>
        <v>主手武器</v>
      </c>
      <c r="E408" s="1">
        <f>equip.xml!E412</f>
        <v>5</v>
      </c>
      <c r="F408" s="1">
        <f>equip.xml!F412</f>
        <v>2</v>
      </c>
      <c r="G408" s="1">
        <f>equip.xml!G412</f>
        <v>15</v>
      </c>
      <c r="H408" s="1" t="str">
        <f>equip.xml!H412</f>
        <v>2,1002</v>
      </c>
      <c r="I408" s="1">
        <f>equip.xml!J412</f>
        <v>10</v>
      </c>
      <c r="J408" s="1">
        <f>equip.xml!K412</f>
        <v>0</v>
      </c>
      <c r="K408" s="1">
        <f>equip.xml!L412</f>
        <v>0</v>
      </c>
      <c r="L408" s="1" t="str">
        <f>equip.xml!M412</f>
        <v>103_52_52,104_104_104</v>
      </c>
      <c r="M408" s="7" t="str">
        <f>equip.xml!Q412</f>
        <v>equipment/1207.png</v>
      </c>
      <c r="N408" t="str">
        <f>equip.xml!P412</f>
        <v>10000_1002_15000,30000_30001_1,30000_30002_1,30000_30003_1</v>
      </c>
    </row>
    <row r="409" spans="1:14">
      <c r="A409" s="1" t="str">
        <f>equip.xml!A413</f>
        <v>20152051</v>
      </c>
      <c r="B409" s="1">
        <f>equip.xml!B413</f>
        <v>1</v>
      </c>
      <c r="C409" s="1" t="str">
        <f>equip.xml!C413</f>
        <v>半人马长弓</v>
      </c>
      <c r="D409" s="1" t="str">
        <f>equip.xml!D413</f>
        <v>主手武器</v>
      </c>
      <c r="E409" s="1">
        <f>equip.xml!E413</f>
        <v>5</v>
      </c>
      <c r="F409" s="1">
        <f>equip.xml!F413</f>
        <v>2</v>
      </c>
      <c r="G409" s="1">
        <f>equip.xml!G413</f>
        <v>15</v>
      </c>
      <c r="H409" s="1" t="str">
        <f>equip.xml!H413</f>
        <v>2,1002</v>
      </c>
      <c r="I409" s="1">
        <f>equip.xml!J413</f>
        <v>10</v>
      </c>
      <c r="J409" s="1">
        <f>equip.xml!K413</f>
        <v>0</v>
      </c>
      <c r="K409" s="1">
        <f>equip.xml!L413</f>
        <v>0</v>
      </c>
      <c r="L409" s="1" t="str">
        <f>equip.xml!M413</f>
        <v>103_76_76,104_152_152</v>
      </c>
      <c r="M409" s="7" t="str">
        <f>equip.xml!Q413</f>
        <v>equipment/1208.png</v>
      </c>
      <c r="N409" t="str">
        <f>equip.xml!P413</f>
        <v>10000_1002_15000,30000_30001_1,30000_30002_1,30000_30003_1</v>
      </c>
    </row>
    <row r="410" spans="1:14">
      <c r="A410" s="1" t="str">
        <f>equip.xml!A414</f>
        <v>20152060</v>
      </c>
      <c r="B410" s="1">
        <f>equip.xml!B414</f>
        <v>1</v>
      </c>
      <c r="C410" s="1" t="str">
        <f>equip.xml!C414</f>
        <v>皮革箭筒</v>
      </c>
      <c r="D410" s="1" t="str">
        <f>equip.xml!D414</f>
        <v>副手武器</v>
      </c>
      <c r="E410" s="1">
        <f>equip.xml!E414</f>
        <v>6</v>
      </c>
      <c r="F410" s="1">
        <f>equip.xml!F414</f>
        <v>2</v>
      </c>
      <c r="G410" s="1">
        <f>equip.xml!G414</f>
        <v>15</v>
      </c>
      <c r="H410" s="1" t="str">
        <f>equip.xml!H414</f>
        <v>2,1002</v>
      </c>
      <c r="I410" s="1">
        <f>equip.xml!J414</f>
        <v>10</v>
      </c>
      <c r="J410" s="1">
        <f>equip.xml!K414</f>
        <v>0</v>
      </c>
      <c r="K410" s="1">
        <f>equip.xml!L414</f>
        <v>0</v>
      </c>
      <c r="L410" s="1" t="str">
        <f>equip.xml!M414</f>
        <v>108_103_103</v>
      </c>
      <c r="M410" s="7" t="str">
        <f>equip.xml!Q414</f>
        <v>equipment/2204.png</v>
      </c>
      <c r="N410" t="str">
        <f>equip.xml!P414</f>
        <v>10000_1002_15000,30000_30001_1,30000_30002_1,30000_30003_1</v>
      </c>
    </row>
    <row r="411" spans="1:14">
      <c r="A411" s="1" t="str">
        <f>equip.xml!A415</f>
        <v>20152061</v>
      </c>
      <c r="B411" s="1">
        <f>equip.xml!B415</f>
        <v>0</v>
      </c>
      <c r="C411" s="1" t="str">
        <f>equip.xml!C415</f>
        <v>箭筒</v>
      </c>
      <c r="D411" s="1" t="str">
        <f>equip.xml!D415</f>
        <v>副手武器</v>
      </c>
      <c r="E411" s="1">
        <f>equip.xml!E415</f>
        <v>6</v>
      </c>
      <c r="F411" s="1">
        <f>equip.xml!F415</f>
        <v>2</v>
      </c>
      <c r="G411" s="1">
        <f>equip.xml!G415</f>
        <v>15</v>
      </c>
      <c r="H411" s="1" t="str">
        <f>equip.xml!H415</f>
        <v>2,1002</v>
      </c>
      <c r="I411" s="1">
        <f>equip.xml!J415</f>
        <v>10</v>
      </c>
      <c r="J411" s="1">
        <f>equip.xml!K415</f>
        <v>0</v>
      </c>
      <c r="K411" s="1">
        <f>equip.xml!L415</f>
        <v>0</v>
      </c>
      <c r="L411" s="1" t="str">
        <f>equip.xml!M415</f>
        <v>108_130_130</v>
      </c>
      <c r="M411" s="7" t="str">
        <f>equip.xml!Q415</f>
        <v>equipment/2201.png</v>
      </c>
      <c r="N411" t="str">
        <f>equip.xml!P415</f>
        <v>10000_1002_15000,30000_30001_1,30000_30002_1,30000_30003_1</v>
      </c>
    </row>
    <row r="412" spans="1:14">
      <c r="A412" s="1" t="str">
        <f>equip.xml!A416</f>
        <v>20153050</v>
      </c>
      <c r="B412" s="1">
        <f>equip.xml!B416</f>
        <v>1</v>
      </c>
      <c r="C412" s="1" t="str">
        <f>equip.xml!C416</f>
        <v>风灵法杖</v>
      </c>
      <c r="D412" s="1" t="str">
        <f>equip.xml!D416</f>
        <v>主手武器</v>
      </c>
      <c r="E412" s="1">
        <f>equip.xml!E416</f>
        <v>5</v>
      </c>
      <c r="F412" s="1">
        <f>equip.xml!F416</f>
        <v>2</v>
      </c>
      <c r="G412" s="1">
        <f>equip.xml!G416</f>
        <v>15</v>
      </c>
      <c r="H412" s="1" t="str">
        <f>equip.xml!H416</f>
        <v>3,1003</v>
      </c>
      <c r="I412" s="1">
        <f>equip.xml!J416</f>
        <v>10</v>
      </c>
      <c r="J412" s="1">
        <f>equip.xml!K416</f>
        <v>0</v>
      </c>
      <c r="K412" s="1">
        <f>equip.xml!L416</f>
        <v>0</v>
      </c>
      <c r="L412" s="1" t="str">
        <f>equip.xml!M416</f>
        <v>103_52_52,104_104_104</v>
      </c>
      <c r="M412" s="7" t="str">
        <f>equip.xml!Q416</f>
        <v>equipment/1307.png</v>
      </c>
      <c r="N412" t="str">
        <f>equip.xml!P416</f>
        <v>10000_1002_15000,30000_30001_1,30000_30002_1,30000_30003_1</v>
      </c>
    </row>
    <row r="413" spans="1:14">
      <c r="A413" s="1" t="str">
        <f>equip.xml!A417</f>
        <v>20153051</v>
      </c>
      <c r="B413" s="1">
        <f>equip.xml!B417</f>
        <v>1</v>
      </c>
      <c r="C413" s="1" t="str">
        <f>equip.xml!C417</f>
        <v>禁锢之杖</v>
      </c>
      <c r="D413" s="1" t="str">
        <f>equip.xml!D417</f>
        <v>主手武器</v>
      </c>
      <c r="E413" s="1">
        <f>equip.xml!E417</f>
        <v>5</v>
      </c>
      <c r="F413" s="1">
        <f>equip.xml!F417</f>
        <v>2</v>
      </c>
      <c r="G413" s="1">
        <f>equip.xml!G417</f>
        <v>15</v>
      </c>
      <c r="H413" s="1" t="str">
        <f>equip.xml!H417</f>
        <v>3,1003</v>
      </c>
      <c r="I413" s="1">
        <f>equip.xml!J417</f>
        <v>10</v>
      </c>
      <c r="J413" s="1">
        <f>equip.xml!K417</f>
        <v>0</v>
      </c>
      <c r="K413" s="1">
        <f>equip.xml!L417</f>
        <v>0</v>
      </c>
      <c r="L413" s="1" t="str">
        <f>equip.xml!M417</f>
        <v>103_76_76,104_152_152</v>
      </c>
      <c r="M413" s="7" t="str">
        <f>equip.xml!Q417</f>
        <v>equipment/1308.png</v>
      </c>
      <c r="N413" t="str">
        <f>equip.xml!P417</f>
        <v>10000_1002_15000,30000_30001_1,30000_30002_1,30000_30003_1</v>
      </c>
    </row>
    <row r="414" spans="1:14">
      <c r="A414" s="1" t="str">
        <f>equip.xml!A418</f>
        <v>20153060</v>
      </c>
      <c r="B414" s="1">
        <f>equip.xml!B418</f>
        <v>1</v>
      </c>
      <c r="C414" s="1" t="str">
        <f>equip.xml!C418</f>
        <v>秘法之书</v>
      </c>
      <c r="D414" s="1" t="str">
        <f>equip.xml!D418</f>
        <v>副手武器</v>
      </c>
      <c r="E414" s="1">
        <f>equip.xml!E418</f>
        <v>6</v>
      </c>
      <c r="F414" s="1">
        <f>equip.xml!F418</f>
        <v>2</v>
      </c>
      <c r="G414" s="1">
        <f>equip.xml!G418</f>
        <v>15</v>
      </c>
      <c r="H414" s="1" t="str">
        <f>equip.xml!H418</f>
        <v>3,1003</v>
      </c>
      <c r="I414" s="1">
        <f>equip.xml!J418</f>
        <v>10</v>
      </c>
      <c r="J414" s="1">
        <f>equip.xml!K418</f>
        <v>0</v>
      </c>
      <c r="K414" s="1">
        <f>equip.xml!L418</f>
        <v>0</v>
      </c>
      <c r="L414" s="1" t="str">
        <f>equip.xml!M418</f>
        <v>102_420_420</v>
      </c>
      <c r="M414" s="7" t="str">
        <f>equip.xml!Q418</f>
        <v>equipment/2304.png</v>
      </c>
      <c r="N414" t="str">
        <f>equip.xml!P418</f>
        <v>10000_1002_15000,30000_30001_1,30000_30002_1,30000_30003_1</v>
      </c>
    </row>
    <row r="415" spans="1:14">
      <c r="A415" s="1" t="str">
        <f>equip.xml!A419</f>
        <v>20153061</v>
      </c>
      <c r="B415" s="1">
        <f>equip.xml!B419</f>
        <v>0</v>
      </c>
      <c r="C415" s="1" t="str">
        <f>equip.xml!C419</f>
        <v>法术指南</v>
      </c>
      <c r="D415" s="1" t="str">
        <f>equip.xml!D419</f>
        <v>副手武器</v>
      </c>
      <c r="E415" s="1">
        <f>equip.xml!E419</f>
        <v>6</v>
      </c>
      <c r="F415" s="1">
        <f>equip.xml!F419</f>
        <v>2</v>
      </c>
      <c r="G415" s="1">
        <f>equip.xml!G419</f>
        <v>15</v>
      </c>
      <c r="H415" s="1" t="str">
        <f>equip.xml!H419</f>
        <v>3,1003</v>
      </c>
      <c r="I415" s="1">
        <f>equip.xml!J419</f>
        <v>10</v>
      </c>
      <c r="J415" s="1">
        <f>equip.xml!K419</f>
        <v>0</v>
      </c>
      <c r="K415" s="1">
        <f>equip.xml!L419</f>
        <v>0</v>
      </c>
      <c r="L415" s="1" t="str">
        <f>equip.xml!M419</f>
        <v>102_472_472</v>
      </c>
      <c r="M415" s="7" t="str">
        <f>equip.xml!Q419</f>
        <v>equipment/2301.png</v>
      </c>
      <c r="N415" t="str">
        <f>equip.xml!P419</f>
        <v>10000_1002_15000,30000_30001_1,30000_30002_1,30000_30003_1</v>
      </c>
    </row>
    <row r="416" spans="1:14">
      <c r="A416" s="1" t="str">
        <f>equip.xml!A420</f>
        <v>20150040</v>
      </c>
      <c r="B416" s="1">
        <f>equip.xml!B420</f>
        <v>1</v>
      </c>
      <c r="C416" s="1" t="str">
        <f>equip.xml!C420</f>
        <v>暗石胸甲</v>
      </c>
      <c r="D416" s="1" t="str">
        <f>equip.xml!D420</f>
        <v>胸甲</v>
      </c>
      <c r="E416" s="1">
        <f>equip.xml!E420</f>
        <v>4</v>
      </c>
      <c r="F416" s="1">
        <f>equip.xml!F420</f>
        <v>2</v>
      </c>
      <c r="G416" s="1">
        <f>equip.xml!G420</f>
        <v>15</v>
      </c>
      <c r="H416" s="1">
        <f>equip.xml!H420</f>
        <v>0</v>
      </c>
      <c r="I416" s="1">
        <f>equip.xml!J420</f>
        <v>10</v>
      </c>
      <c r="J416" s="1">
        <f>equip.xml!K420</f>
        <v>0</v>
      </c>
      <c r="K416" s="1">
        <f>equip.xml!L420</f>
        <v>0</v>
      </c>
      <c r="L416" s="1" t="str">
        <f>equip.xml!M420</f>
        <v>105_39_39</v>
      </c>
      <c r="M416" s="7" t="str">
        <f>equip.xml!Q420</f>
        <v>equipment/5005.png</v>
      </c>
      <c r="N416" t="str">
        <f>equip.xml!P420</f>
        <v>10000_1002_15000,30000_30001_1,30000_30002_1,30000_30003_1</v>
      </c>
    </row>
    <row r="417" spans="1:14">
      <c r="A417" s="1" t="str">
        <f>equip.xml!A421</f>
        <v>20150041</v>
      </c>
      <c r="B417" s="1">
        <f>equip.xml!B421</f>
        <v>0</v>
      </c>
      <c r="C417" s="1" t="str">
        <f>equip.xml!C421</f>
        <v>新兵外套</v>
      </c>
      <c r="D417" s="1" t="str">
        <f>equip.xml!D421</f>
        <v>胸甲</v>
      </c>
      <c r="E417" s="1">
        <f>equip.xml!E421</f>
        <v>4</v>
      </c>
      <c r="F417" s="1">
        <f>equip.xml!F421</f>
        <v>2</v>
      </c>
      <c r="G417" s="1">
        <f>equip.xml!G421</f>
        <v>15</v>
      </c>
      <c r="H417" s="1">
        <f>equip.xml!H421</f>
        <v>0</v>
      </c>
      <c r="I417" s="1">
        <f>equip.xml!J421</f>
        <v>10</v>
      </c>
      <c r="J417" s="1">
        <f>equip.xml!K421</f>
        <v>0</v>
      </c>
      <c r="K417" s="1">
        <f>equip.xml!L421</f>
        <v>0</v>
      </c>
      <c r="L417" s="1" t="str">
        <f>equip.xml!M421</f>
        <v>105_64_64</v>
      </c>
      <c r="M417" s="7" t="str">
        <f>equip.xml!Q421</f>
        <v>equipment/5001.png</v>
      </c>
      <c r="N417" t="str">
        <f>equip.xml!P421</f>
        <v>10000_1002_15000,30000_30001_1,30000_30002_1,30000_30003_1</v>
      </c>
    </row>
    <row r="418" spans="1:14">
      <c r="A418" s="1" t="str">
        <f>equip.xml!A422</f>
        <v>20150070</v>
      </c>
      <c r="B418" s="1">
        <f>equip.xml!B422</f>
        <v>1</v>
      </c>
      <c r="C418" s="1" t="str">
        <f>equip.xml!C422</f>
        <v>荒野马裤</v>
      </c>
      <c r="D418" s="1" t="str">
        <f>equip.xml!D422</f>
        <v>护腿</v>
      </c>
      <c r="E418" s="1">
        <f>equip.xml!E422</f>
        <v>7</v>
      </c>
      <c r="F418" s="1">
        <f>equip.xml!F422</f>
        <v>2</v>
      </c>
      <c r="G418" s="1">
        <f>equip.xml!G422</f>
        <v>15</v>
      </c>
      <c r="H418" s="1">
        <f>equip.xml!H422</f>
        <v>0</v>
      </c>
      <c r="I418" s="1">
        <f>equip.xml!J422</f>
        <v>10</v>
      </c>
      <c r="J418" s="1">
        <f>equip.xml!K422</f>
        <v>0</v>
      </c>
      <c r="K418" s="1">
        <f>equip.xml!L422</f>
        <v>0</v>
      </c>
      <c r="L418" s="1" t="str">
        <f>equip.xml!M422</f>
        <v>105_39_39</v>
      </c>
      <c r="M418" s="7" t="str">
        <f>equip.xml!Q422</f>
        <v>equipment/7003.png</v>
      </c>
      <c r="N418" t="str">
        <f>equip.xml!P422</f>
        <v>10000_1002_15000,30000_30001_1,30000_30002_1,30000_30003_1</v>
      </c>
    </row>
    <row r="419" spans="1:14">
      <c r="A419" s="1" t="str">
        <f>equip.xml!A423</f>
        <v>20150071</v>
      </c>
      <c r="B419" s="1">
        <f>equip.xml!B423</f>
        <v>0</v>
      </c>
      <c r="C419" s="1" t="str">
        <f>equip.xml!C423</f>
        <v>学徒短裤</v>
      </c>
      <c r="D419" s="1" t="str">
        <f>equip.xml!D423</f>
        <v>护腿</v>
      </c>
      <c r="E419" s="1">
        <f>equip.xml!E423</f>
        <v>7</v>
      </c>
      <c r="F419" s="1">
        <f>equip.xml!F423</f>
        <v>2</v>
      </c>
      <c r="G419" s="1">
        <f>equip.xml!G423</f>
        <v>15</v>
      </c>
      <c r="H419" s="1">
        <f>equip.xml!H423</f>
        <v>0</v>
      </c>
      <c r="I419" s="1">
        <f>equip.xml!J423</f>
        <v>10</v>
      </c>
      <c r="J419" s="1">
        <f>equip.xml!K423</f>
        <v>0</v>
      </c>
      <c r="K419" s="1">
        <f>equip.xml!L423</f>
        <v>0</v>
      </c>
      <c r="L419" s="1" t="str">
        <f>equip.xml!M423</f>
        <v>105_50_50</v>
      </c>
      <c r="M419" s="7" t="str">
        <f>equip.xml!Q423</f>
        <v>equipment/7001.png</v>
      </c>
      <c r="N419" t="str">
        <f>equip.xml!P423</f>
        <v>10000_1002_15000,30000_30001_1,30000_30002_1,30000_30003_1</v>
      </c>
    </row>
    <row r="420" spans="1:14">
      <c r="A420" s="1" t="str">
        <f>equip.xml!A424</f>
        <v>20200010</v>
      </c>
      <c r="B420" s="1">
        <f>equip.xml!B424</f>
        <v>1</v>
      </c>
      <c r="C420" s="1" t="str">
        <f>equip.xml!C424</f>
        <v>卫士头盔</v>
      </c>
      <c r="D420" s="1" t="str">
        <f>equip.xml!D424</f>
        <v>头盔</v>
      </c>
      <c r="E420" s="1">
        <f>equip.xml!E424</f>
        <v>1</v>
      </c>
      <c r="F420" s="1">
        <f>equip.xml!F424</f>
        <v>2</v>
      </c>
      <c r="G420" s="1">
        <f>equip.xml!G424</f>
        <v>20</v>
      </c>
      <c r="H420" s="1">
        <f>equip.xml!H424</f>
        <v>0</v>
      </c>
      <c r="I420" s="1">
        <f>equip.xml!J424</f>
        <v>10</v>
      </c>
      <c r="J420" s="1">
        <f>equip.xml!K424</f>
        <v>0</v>
      </c>
      <c r="K420" s="1">
        <f>equip.xml!L424</f>
        <v>0</v>
      </c>
      <c r="L420" s="1" t="str">
        <f>equip.xml!M424</f>
        <v>106_136_136</v>
      </c>
      <c r="M420" s="7" t="str">
        <f>equip.xml!Q424</f>
        <v>equipment/3003.png</v>
      </c>
      <c r="N420" t="str">
        <f>equip.xml!P424</f>
        <v>10000_1002_20000,30000_30001_1,30000_30002_1,30000_30003_1</v>
      </c>
    </row>
    <row r="421" spans="1:14">
      <c r="A421" s="1" t="str">
        <f>equip.xml!A425</f>
        <v>20200020</v>
      </c>
      <c r="B421" s="1">
        <f>equip.xml!B425</f>
        <v>1</v>
      </c>
      <c r="C421" s="1" t="str">
        <f>equip.xml!C425</f>
        <v>石岩指环</v>
      </c>
      <c r="D421" s="1" t="str">
        <f>equip.xml!D425</f>
        <v>戒指</v>
      </c>
      <c r="E421" s="1">
        <f>equip.xml!E425</f>
        <v>2</v>
      </c>
      <c r="F421" s="1">
        <f>equip.xml!F425</f>
        <v>2</v>
      </c>
      <c r="G421" s="1">
        <f>equip.xml!G425</f>
        <v>20</v>
      </c>
      <c r="H421" s="1">
        <f>equip.xml!H425</f>
        <v>0</v>
      </c>
      <c r="I421" s="1">
        <f>equip.xml!J425</f>
        <v>10</v>
      </c>
      <c r="J421" s="1">
        <f>equip.xml!K425</f>
        <v>0</v>
      </c>
      <c r="K421" s="1">
        <f>equip.xml!L425</f>
        <v>0</v>
      </c>
      <c r="L421" s="1" t="str">
        <f>equip.xml!M425</f>
        <v>102_240_240</v>
      </c>
      <c r="M421" s="7" t="str">
        <f>equip.xml!Q425</f>
        <v>equipment/14003.png</v>
      </c>
      <c r="N421" t="str">
        <f>equip.xml!P425</f>
        <v>10000_1002_20000,30000_30001_1,30000_30002_1,30000_30003_1</v>
      </c>
    </row>
    <row r="422" spans="1:14">
      <c r="A422" s="1" t="str">
        <f>equip.xml!A426</f>
        <v>20200030</v>
      </c>
      <c r="B422" s="1">
        <f>equip.xml!B426</f>
        <v>1</v>
      </c>
      <c r="C422" s="1" t="str">
        <f>equip.xml!C426</f>
        <v>战士束带</v>
      </c>
      <c r="D422" s="1" t="str">
        <f>equip.xml!D426</f>
        <v>腰带</v>
      </c>
      <c r="E422" s="1">
        <f>equip.xml!E426</f>
        <v>3</v>
      </c>
      <c r="F422" s="1">
        <f>equip.xml!F426</f>
        <v>2</v>
      </c>
      <c r="G422" s="1">
        <f>equip.xml!G426</f>
        <v>20</v>
      </c>
      <c r="H422" s="1">
        <f>equip.xml!H426</f>
        <v>0</v>
      </c>
      <c r="I422" s="1">
        <f>equip.xml!J426</f>
        <v>10</v>
      </c>
      <c r="J422" s="1">
        <f>equip.xml!K426</f>
        <v>0</v>
      </c>
      <c r="K422" s="1">
        <f>equip.xml!L426</f>
        <v>0</v>
      </c>
      <c r="L422" s="1" t="str">
        <f>equip.xml!M426</f>
        <v>101_2120_2120</v>
      </c>
      <c r="M422" s="7" t="str">
        <f>equip.xml!Q426</f>
        <v>equipment/6004.png</v>
      </c>
      <c r="N422" t="str">
        <f>equip.xml!P426</f>
        <v>10000_1002_20000,30000_30001_1,30000_30002_1,30000_30003_1</v>
      </c>
    </row>
    <row r="423" spans="1:14">
      <c r="A423" s="1" t="str">
        <f>equip.xml!A427</f>
        <v>20200080</v>
      </c>
      <c r="B423" s="1">
        <f>equip.xml!B427</f>
        <v>0</v>
      </c>
      <c r="C423" s="1" t="str">
        <f>equip.xml!C427</f>
        <v>皮靴</v>
      </c>
      <c r="D423" s="1" t="str">
        <f>equip.xml!D427</f>
        <v>鞋子</v>
      </c>
      <c r="E423" s="1">
        <f>equip.xml!E427</f>
        <v>8</v>
      </c>
      <c r="F423" s="1">
        <f>equip.xml!F427</f>
        <v>2</v>
      </c>
      <c r="G423" s="1">
        <f>equip.xml!G427</f>
        <v>20</v>
      </c>
      <c r="H423" s="1">
        <f>equip.xml!H427</f>
        <v>0</v>
      </c>
      <c r="I423" s="1">
        <f>equip.xml!J427</f>
        <v>10</v>
      </c>
      <c r="J423" s="1">
        <f>equip.xml!K427</f>
        <v>0</v>
      </c>
      <c r="K423" s="1">
        <f>equip.xml!L427</f>
        <v>0</v>
      </c>
      <c r="L423" s="1" t="str">
        <f>equip.xml!M427</f>
        <v>110_40_40</v>
      </c>
      <c r="M423" s="7" t="str">
        <f>equip.xml!Q427</f>
        <v>equipment/8001.png</v>
      </c>
      <c r="N423" t="str">
        <f>equip.xml!P427</f>
        <v>10000_1002_20000,30000_30001_1,30000_30002_1,30000_30003_1</v>
      </c>
    </row>
    <row r="424" spans="1:14">
      <c r="A424" s="1" t="str">
        <f>equip.xml!A428</f>
        <v>20200090</v>
      </c>
      <c r="B424" s="1">
        <f>equip.xml!B428</f>
        <v>1</v>
      </c>
      <c r="C424" s="1" t="str">
        <f>equip.xml!C428</f>
        <v>工程手套</v>
      </c>
      <c r="D424" s="1" t="str">
        <f>equip.xml!D428</f>
        <v>手套</v>
      </c>
      <c r="E424" s="1">
        <f>equip.xml!E428</f>
        <v>9</v>
      </c>
      <c r="F424" s="1">
        <f>equip.xml!F428</f>
        <v>2</v>
      </c>
      <c r="G424" s="1">
        <f>equip.xml!G428</f>
        <v>20</v>
      </c>
      <c r="H424" s="1">
        <f>equip.xml!H428</f>
        <v>0</v>
      </c>
      <c r="I424" s="1">
        <f>equip.xml!J428</f>
        <v>10</v>
      </c>
      <c r="J424" s="1">
        <f>equip.xml!K428</f>
        <v>0</v>
      </c>
      <c r="K424" s="1">
        <f>equip.xml!L428</f>
        <v>0</v>
      </c>
      <c r="L424" s="1" t="str">
        <f>equip.xml!M428</f>
        <v>108_211_211</v>
      </c>
      <c r="M424" s="7" t="str">
        <f>equip.xml!Q428</f>
        <v>equipment/10004.png</v>
      </c>
      <c r="N424" t="str">
        <f>equip.xml!P428</f>
        <v>10000_1002_20000,30000_30001_1,30000_30002_1,30000_30003_1</v>
      </c>
    </row>
    <row r="425" spans="1:14">
      <c r="A425" s="1" t="str">
        <f>equip.xml!A429</f>
        <v>20200100</v>
      </c>
      <c r="B425" s="1">
        <f>equip.xml!B429</f>
        <v>1</v>
      </c>
      <c r="C425" s="1" t="str">
        <f>equip.xml!C429</f>
        <v>翡翠项链</v>
      </c>
      <c r="D425" s="1" t="str">
        <f>equip.xml!D429</f>
        <v>项链</v>
      </c>
      <c r="E425" s="1">
        <f>equip.xml!E429</f>
        <v>10</v>
      </c>
      <c r="F425" s="1">
        <f>equip.xml!F429</f>
        <v>2</v>
      </c>
      <c r="G425" s="1">
        <f>equip.xml!G429</f>
        <v>20</v>
      </c>
      <c r="H425" s="1">
        <f>equip.xml!H429</f>
        <v>0</v>
      </c>
      <c r="I425" s="1">
        <f>equip.xml!J429</f>
        <v>10</v>
      </c>
      <c r="J425" s="1">
        <f>equip.xml!K429</f>
        <v>0</v>
      </c>
      <c r="K425" s="1">
        <f>equip.xml!L429</f>
        <v>0</v>
      </c>
      <c r="L425" s="1" t="str">
        <f>equip.xml!M429</f>
        <v>107_136_136</v>
      </c>
      <c r="M425" s="7" t="str">
        <f>equip.xml!Q429</f>
        <v>equipment/12003.png</v>
      </c>
      <c r="N425" t="str">
        <f>equip.xml!P429</f>
        <v>10000_1002_20000,30000_30001_1,30000_30002_1,30000_30003_1</v>
      </c>
    </row>
    <row r="426" spans="1:14">
      <c r="A426" s="1" t="str">
        <f>equip.xml!A430</f>
        <v>20201050</v>
      </c>
      <c r="B426" s="1">
        <f>equip.xml!B430</f>
        <v>1</v>
      </c>
      <c r="C426" s="1" t="str">
        <f>equip.xml!C430</f>
        <v>勇者长剑</v>
      </c>
      <c r="D426" s="1" t="str">
        <f>equip.xml!D430</f>
        <v>主手武器</v>
      </c>
      <c r="E426" s="1">
        <f>equip.xml!E430</f>
        <v>5</v>
      </c>
      <c r="F426" s="1">
        <f>equip.xml!F430</f>
        <v>2</v>
      </c>
      <c r="G426" s="1">
        <f>equip.xml!G430</f>
        <v>20</v>
      </c>
      <c r="H426" s="1" t="str">
        <f>equip.xml!H430</f>
        <v>1,1001</v>
      </c>
      <c r="I426" s="1">
        <f>equip.xml!J430</f>
        <v>10</v>
      </c>
      <c r="J426" s="1">
        <f>equip.xml!K430</f>
        <v>0</v>
      </c>
      <c r="K426" s="1">
        <f>equip.xml!L430</f>
        <v>0</v>
      </c>
      <c r="L426" s="1" t="str">
        <f>equip.xml!M430</f>
        <v>103_113_113,104_226_226</v>
      </c>
      <c r="M426" s="7" t="str">
        <f>equip.xml!Q430</f>
        <v>equipment/1109.png</v>
      </c>
      <c r="N426" t="str">
        <f>equip.xml!P430</f>
        <v>10000_1002_20000,30000_30001_1,30000_30002_1,30000_30003_1</v>
      </c>
    </row>
    <row r="427" spans="1:14">
      <c r="A427" s="1" t="str">
        <f>equip.xml!A431</f>
        <v>20201051</v>
      </c>
      <c r="B427" s="1">
        <f>equip.xml!B431</f>
        <v>0</v>
      </c>
      <c r="C427" s="1" t="str">
        <f>equip.xml!C431</f>
        <v>军刀</v>
      </c>
      <c r="D427" s="1" t="str">
        <f>equip.xml!D431</f>
        <v>主手武器</v>
      </c>
      <c r="E427" s="1">
        <f>equip.xml!E431</f>
        <v>5</v>
      </c>
      <c r="F427" s="1">
        <f>equip.xml!F431</f>
        <v>2</v>
      </c>
      <c r="G427" s="1">
        <f>equip.xml!G431</f>
        <v>20</v>
      </c>
      <c r="H427" s="1" t="str">
        <f>equip.xml!H431</f>
        <v>1,1001</v>
      </c>
      <c r="I427" s="1">
        <f>equip.xml!J431</f>
        <v>10</v>
      </c>
      <c r="J427" s="1">
        <f>equip.xml!K431</f>
        <v>0</v>
      </c>
      <c r="K427" s="1">
        <f>equip.xml!L431</f>
        <v>0</v>
      </c>
      <c r="L427" s="1" t="str">
        <f>equip.xml!M431</f>
        <v>103_138_138,104_276_276</v>
      </c>
      <c r="M427" s="7" t="str">
        <f>equip.xml!Q431</f>
        <v>equipment/1101.png</v>
      </c>
      <c r="N427" t="str">
        <f>equip.xml!P431</f>
        <v>10000_1002_20000,30000_30001_1,30000_30002_1,30000_30003_1</v>
      </c>
    </row>
    <row r="428" spans="1:14">
      <c r="A428" s="1" t="str">
        <f>equip.xml!A432</f>
        <v>20201060</v>
      </c>
      <c r="B428" s="1">
        <f>equip.xml!B432</f>
        <v>1</v>
      </c>
      <c r="C428" s="1" t="str">
        <f>equip.xml!C432</f>
        <v>护卫之盾</v>
      </c>
      <c r="D428" s="1" t="str">
        <f>equip.xml!D432</f>
        <v>副手武器</v>
      </c>
      <c r="E428" s="1">
        <f>equip.xml!E432</f>
        <v>6</v>
      </c>
      <c r="F428" s="1">
        <f>equip.xml!F432</f>
        <v>2</v>
      </c>
      <c r="G428" s="1">
        <f>equip.xml!G432</f>
        <v>20</v>
      </c>
      <c r="H428" s="1" t="str">
        <f>equip.xml!H432</f>
        <v>1,1001</v>
      </c>
      <c r="I428" s="1">
        <f>equip.xml!J432</f>
        <v>10</v>
      </c>
      <c r="J428" s="1">
        <f>equip.xml!K432</f>
        <v>0</v>
      </c>
      <c r="K428" s="1">
        <f>equip.xml!L432</f>
        <v>0</v>
      </c>
      <c r="L428" s="1" t="str">
        <f>equip.xml!M432</f>
        <v>105_171_171</v>
      </c>
      <c r="M428" s="7" t="str">
        <f>equip.xml!Q432</f>
        <v>equipment/2104.png</v>
      </c>
      <c r="N428" t="str">
        <f>equip.xml!P432</f>
        <v>10000_1002_20000,30000_30001_1,30000_30002_1,30000_30003_1</v>
      </c>
    </row>
    <row r="429" spans="1:14">
      <c r="A429" s="1" t="str">
        <f>equip.xml!A433</f>
        <v>20201061</v>
      </c>
      <c r="B429" s="1">
        <f>equip.xml!B433</f>
        <v>0</v>
      </c>
      <c r="C429" s="1" t="str">
        <f>equip.xml!C433</f>
        <v>尖头盾</v>
      </c>
      <c r="D429" s="1" t="str">
        <f>equip.xml!D433</f>
        <v>副手武器</v>
      </c>
      <c r="E429" s="1">
        <f>equip.xml!E433</f>
        <v>6</v>
      </c>
      <c r="F429" s="1">
        <f>equip.xml!F433</f>
        <v>2</v>
      </c>
      <c r="G429" s="1">
        <f>equip.xml!G433</f>
        <v>20</v>
      </c>
      <c r="H429" s="1" t="str">
        <f>equip.xml!H433</f>
        <v>1,1001</v>
      </c>
      <c r="I429" s="1">
        <f>equip.xml!J433</f>
        <v>10</v>
      </c>
      <c r="J429" s="1">
        <f>equip.xml!K433</f>
        <v>0</v>
      </c>
      <c r="K429" s="1">
        <f>equip.xml!L433</f>
        <v>0</v>
      </c>
      <c r="L429" s="1" t="str">
        <f>equip.xml!M433</f>
        <v>105_205_205</v>
      </c>
      <c r="M429" s="7" t="str">
        <f>equip.xml!Q433</f>
        <v>equipment/2101.png</v>
      </c>
      <c r="N429" t="str">
        <f>equip.xml!P433</f>
        <v>10000_1002_20000,30000_30001_1,30000_30002_1,30000_30003_1</v>
      </c>
    </row>
    <row r="430" spans="1:14">
      <c r="A430" s="1" t="str">
        <f>equip.xml!A434</f>
        <v>20202050</v>
      </c>
      <c r="B430" s="1">
        <f>equip.xml!B434</f>
        <v>1</v>
      </c>
      <c r="C430" s="1" t="str">
        <f>equip.xml!C434</f>
        <v>护卫之弓</v>
      </c>
      <c r="D430" s="1" t="str">
        <f>equip.xml!D434</f>
        <v>主手武器</v>
      </c>
      <c r="E430" s="1">
        <f>equip.xml!E434</f>
        <v>5</v>
      </c>
      <c r="F430" s="1">
        <f>equip.xml!F434</f>
        <v>2</v>
      </c>
      <c r="G430" s="1">
        <f>equip.xml!G434</f>
        <v>20</v>
      </c>
      <c r="H430" s="1" t="str">
        <f>equip.xml!H434</f>
        <v>2,1002</v>
      </c>
      <c r="I430" s="1">
        <f>equip.xml!J434</f>
        <v>10</v>
      </c>
      <c r="J430" s="1">
        <f>equip.xml!K434</f>
        <v>0</v>
      </c>
      <c r="K430" s="1">
        <f>equip.xml!L434</f>
        <v>0</v>
      </c>
      <c r="L430" s="1" t="str">
        <f>equip.xml!M434</f>
        <v>103_113_113,104_226_226</v>
      </c>
      <c r="M430" s="7" t="str">
        <f>equip.xml!Q434</f>
        <v>equipment/1209.png</v>
      </c>
      <c r="N430" t="str">
        <f>equip.xml!P434</f>
        <v>10000_1002_20000,30000_30001_1,30000_30002_1,30000_30003_1</v>
      </c>
    </row>
    <row r="431" spans="1:14">
      <c r="A431" s="1" t="str">
        <f>equip.xml!A435</f>
        <v>20202051</v>
      </c>
      <c r="B431" s="1">
        <f>equip.xml!B435</f>
        <v>0</v>
      </c>
      <c r="C431" s="1" t="str">
        <f>equip.xml!C435</f>
        <v>棘木弓</v>
      </c>
      <c r="D431" s="1" t="str">
        <f>equip.xml!D435</f>
        <v>主手武器</v>
      </c>
      <c r="E431" s="1">
        <f>equip.xml!E435</f>
        <v>5</v>
      </c>
      <c r="F431" s="1">
        <f>equip.xml!F435</f>
        <v>2</v>
      </c>
      <c r="G431" s="1">
        <f>equip.xml!G435</f>
        <v>20</v>
      </c>
      <c r="H431" s="1" t="str">
        <f>equip.xml!H435</f>
        <v>2,1002</v>
      </c>
      <c r="I431" s="1">
        <f>equip.xml!J435</f>
        <v>10</v>
      </c>
      <c r="J431" s="1">
        <f>equip.xml!K435</f>
        <v>0</v>
      </c>
      <c r="K431" s="1">
        <f>equip.xml!L435</f>
        <v>0</v>
      </c>
      <c r="L431" s="1" t="str">
        <f>equip.xml!M435</f>
        <v>103_138_138,104_276_276</v>
      </c>
      <c r="M431" s="7" t="str">
        <f>equip.xml!Q435</f>
        <v>equipment/1201.png</v>
      </c>
      <c r="N431" t="str">
        <f>equip.xml!P435</f>
        <v>10000_1002_20000,30000_30001_1,30000_30002_1,30000_30003_1</v>
      </c>
    </row>
    <row r="432" spans="1:14">
      <c r="A432" s="1" t="str">
        <f>equip.xml!A436</f>
        <v>20202060</v>
      </c>
      <c r="B432" s="1">
        <f>equip.xml!B436</f>
        <v>1</v>
      </c>
      <c r="C432" s="1" t="str">
        <f>equip.xml!C436</f>
        <v>狩猎箭筒</v>
      </c>
      <c r="D432" s="1" t="str">
        <f>equip.xml!D436</f>
        <v>副手武器</v>
      </c>
      <c r="E432" s="1">
        <f>equip.xml!E436</f>
        <v>6</v>
      </c>
      <c r="F432" s="1">
        <f>equip.xml!F436</f>
        <v>2</v>
      </c>
      <c r="G432" s="1">
        <f>equip.xml!G436</f>
        <v>20</v>
      </c>
      <c r="H432" s="1" t="str">
        <f>equip.xml!H436</f>
        <v>2,1002</v>
      </c>
      <c r="I432" s="1">
        <f>equip.xml!J436</f>
        <v>10</v>
      </c>
      <c r="J432" s="1">
        <f>equip.xml!K436</f>
        <v>0</v>
      </c>
      <c r="K432" s="1">
        <f>equip.xml!L436</f>
        <v>0</v>
      </c>
      <c r="L432" s="1" t="str">
        <f>equip.xml!M436</f>
        <v>108_171_171</v>
      </c>
      <c r="M432" s="7" t="str">
        <f>equip.xml!Q436</f>
        <v>equipment/2205.png</v>
      </c>
      <c r="N432" t="str">
        <f>equip.xml!P436</f>
        <v>10000_1002_20000,30000_30001_1,30000_30002_1,30000_30003_1</v>
      </c>
    </row>
    <row r="433" spans="1:14">
      <c r="A433" s="1" t="str">
        <f>equip.xml!A437</f>
        <v>20202061</v>
      </c>
      <c r="B433" s="1">
        <f>equip.xml!B437</f>
        <v>0</v>
      </c>
      <c r="C433" s="1" t="str">
        <f>equip.xml!C437</f>
        <v>箭筒</v>
      </c>
      <c r="D433" s="1" t="str">
        <f>equip.xml!D437</f>
        <v>副手武器</v>
      </c>
      <c r="E433" s="1">
        <f>equip.xml!E437</f>
        <v>6</v>
      </c>
      <c r="F433" s="1">
        <f>equip.xml!F437</f>
        <v>2</v>
      </c>
      <c r="G433" s="1">
        <f>equip.xml!G437</f>
        <v>20</v>
      </c>
      <c r="H433" s="1" t="str">
        <f>equip.xml!H437</f>
        <v>2,1002</v>
      </c>
      <c r="I433" s="1">
        <f>equip.xml!J437</f>
        <v>10</v>
      </c>
      <c r="J433" s="1">
        <f>equip.xml!K437</f>
        <v>0</v>
      </c>
      <c r="K433" s="1">
        <f>equip.xml!L437</f>
        <v>0</v>
      </c>
      <c r="L433" s="1" t="str">
        <f>equip.xml!M437</f>
        <v>108_205_205</v>
      </c>
      <c r="M433" s="7" t="str">
        <f>equip.xml!Q437</f>
        <v>equipment/2201.png</v>
      </c>
      <c r="N433" t="str">
        <f>equip.xml!P437</f>
        <v>10000_1002_20000,30000_30001_1,30000_30002_1,30000_30003_1</v>
      </c>
    </row>
    <row r="434" spans="1:14">
      <c r="A434" s="1" t="str">
        <f>equip.xml!A438</f>
        <v>20203050</v>
      </c>
      <c r="B434" s="1">
        <f>equip.xml!B438</f>
        <v>1</v>
      </c>
      <c r="C434" s="1" t="str">
        <f>equip.xml!C438</f>
        <v>保护法杖</v>
      </c>
      <c r="D434" s="1" t="str">
        <f>equip.xml!D438</f>
        <v>主手武器</v>
      </c>
      <c r="E434" s="1">
        <f>equip.xml!E438</f>
        <v>5</v>
      </c>
      <c r="F434" s="1">
        <f>equip.xml!F438</f>
        <v>2</v>
      </c>
      <c r="G434" s="1">
        <f>equip.xml!G438</f>
        <v>20</v>
      </c>
      <c r="H434" s="1" t="str">
        <f>equip.xml!H438</f>
        <v>3,1003</v>
      </c>
      <c r="I434" s="1">
        <f>equip.xml!J438</f>
        <v>10</v>
      </c>
      <c r="J434" s="1">
        <f>equip.xml!K438</f>
        <v>0</v>
      </c>
      <c r="K434" s="1">
        <f>equip.xml!L438</f>
        <v>0</v>
      </c>
      <c r="L434" s="1" t="str">
        <f>equip.xml!M438</f>
        <v>103_113_113,104_226_226</v>
      </c>
      <c r="M434" s="7" t="str">
        <f>equip.xml!Q438</f>
        <v>equipment/1309.png</v>
      </c>
      <c r="N434" t="str">
        <f>equip.xml!P438</f>
        <v>10000_1002_20000,30000_30001_1,30000_30002_1,30000_30003_1</v>
      </c>
    </row>
    <row r="435" spans="1:14">
      <c r="A435" s="1" t="str">
        <f>equip.xml!A439</f>
        <v>20203051</v>
      </c>
      <c r="B435" s="1">
        <f>equip.xml!B439</f>
        <v>1</v>
      </c>
      <c r="C435" s="1" t="str">
        <f>equip.xml!C439</f>
        <v>火石法杖</v>
      </c>
      <c r="D435" s="1" t="str">
        <f>equip.xml!D439</f>
        <v>主手武器</v>
      </c>
      <c r="E435" s="1">
        <f>equip.xml!E439</f>
        <v>5</v>
      </c>
      <c r="F435" s="1">
        <f>equip.xml!F439</f>
        <v>2</v>
      </c>
      <c r="G435" s="1">
        <f>equip.xml!G439</f>
        <v>20</v>
      </c>
      <c r="H435" s="1" t="str">
        <f>equip.xml!H439</f>
        <v>3,1003</v>
      </c>
      <c r="I435" s="1">
        <f>equip.xml!J439</f>
        <v>10</v>
      </c>
      <c r="J435" s="1">
        <f>equip.xml!K439</f>
        <v>0</v>
      </c>
      <c r="K435" s="1">
        <f>equip.xml!L439</f>
        <v>0</v>
      </c>
      <c r="L435" s="1" t="str">
        <f>equip.xml!M439</f>
        <v>103_138_138,104_276_276</v>
      </c>
      <c r="M435" s="7" t="str">
        <f>equip.xml!Q439</f>
        <v>equipment/1310.png</v>
      </c>
      <c r="N435" t="str">
        <f>equip.xml!P439</f>
        <v>10000_1002_20000,30000_30001_1,30000_30002_1,30000_30003_1</v>
      </c>
    </row>
    <row r="436" spans="1:14">
      <c r="A436" s="1" t="str">
        <f>equip.xml!A440</f>
        <v>20203060</v>
      </c>
      <c r="B436" s="1">
        <f>equip.xml!B440</f>
        <v>1</v>
      </c>
      <c r="C436" s="1" t="str">
        <f>equip.xml!C440</f>
        <v>奥义之书</v>
      </c>
      <c r="D436" s="1" t="str">
        <f>equip.xml!D440</f>
        <v>副手武器</v>
      </c>
      <c r="E436" s="1">
        <f>equip.xml!E440</f>
        <v>6</v>
      </c>
      <c r="F436" s="1">
        <f>equip.xml!F440</f>
        <v>2</v>
      </c>
      <c r="G436" s="1">
        <f>equip.xml!G440</f>
        <v>20</v>
      </c>
      <c r="H436" s="1" t="str">
        <f>equip.xml!H440</f>
        <v>3,1003</v>
      </c>
      <c r="I436" s="1">
        <f>equip.xml!J440</f>
        <v>10</v>
      </c>
      <c r="J436" s="1">
        <f>equip.xml!K440</f>
        <v>0</v>
      </c>
      <c r="K436" s="1">
        <f>equip.xml!L440</f>
        <v>0</v>
      </c>
      <c r="L436" s="1" t="str">
        <f>equip.xml!M440</f>
        <v>102_550_550</v>
      </c>
      <c r="M436" s="7" t="str">
        <f>equip.xml!Q440</f>
        <v>equipment/2305.png</v>
      </c>
      <c r="N436" t="str">
        <f>equip.xml!P440</f>
        <v>10000_1002_20000,30000_30001_1,30000_30002_1,30000_30003_1</v>
      </c>
    </row>
    <row r="437" spans="1:14">
      <c r="A437" s="1" t="str">
        <f>equip.xml!A441</f>
        <v>20203061</v>
      </c>
      <c r="B437" s="1">
        <f>equip.xml!B441</f>
        <v>0</v>
      </c>
      <c r="C437" s="1" t="str">
        <f>equip.xml!C441</f>
        <v>法术指南</v>
      </c>
      <c r="D437" s="1" t="str">
        <f>equip.xml!D441</f>
        <v>副手武器</v>
      </c>
      <c r="E437" s="1">
        <f>equip.xml!E441</f>
        <v>6</v>
      </c>
      <c r="F437" s="1">
        <f>equip.xml!F441</f>
        <v>2</v>
      </c>
      <c r="G437" s="1">
        <f>equip.xml!G441</f>
        <v>20</v>
      </c>
      <c r="H437" s="1" t="str">
        <f>equip.xml!H441</f>
        <v>3,1003</v>
      </c>
      <c r="I437" s="1">
        <f>equip.xml!J441</f>
        <v>10</v>
      </c>
      <c r="J437" s="1">
        <f>equip.xml!K441</f>
        <v>0</v>
      </c>
      <c r="K437" s="1">
        <f>equip.xml!L441</f>
        <v>0</v>
      </c>
      <c r="L437" s="1" t="str">
        <f>equip.xml!M441</f>
        <v>102_606_606</v>
      </c>
      <c r="M437" s="7" t="str">
        <f>equip.xml!Q441</f>
        <v>equipment/2301.png</v>
      </c>
      <c r="N437" t="str">
        <f>equip.xml!P441</f>
        <v>10000_1002_20000,30000_30001_1,30000_30002_1,30000_30003_1</v>
      </c>
    </row>
    <row r="438" spans="1:14">
      <c r="A438" s="1" t="str">
        <f>equip.xml!A442</f>
        <v>20200040</v>
      </c>
      <c r="B438" s="1">
        <f>equip.xml!B442</f>
        <v>1</v>
      </c>
      <c r="C438" s="1" t="str">
        <f>equip.xml!C442</f>
        <v>卫兵胸甲</v>
      </c>
      <c r="D438" s="1" t="str">
        <f>equip.xml!D442</f>
        <v>胸甲</v>
      </c>
      <c r="E438" s="1">
        <f>equip.xml!E442</f>
        <v>4</v>
      </c>
      <c r="F438" s="1">
        <f>equip.xml!F442</f>
        <v>2</v>
      </c>
      <c r="G438" s="1">
        <f>equip.xml!G442</f>
        <v>20</v>
      </c>
      <c r="H438" s="1">
        <f>equip.xml!H442</f>
        <v>0</v>
      </c>
      <c r="I438" s="1">
        <f>equip.xml!J442</f>
        <v>10</v>
      </c>
      <c r="J438" s="1">
        <f>equip.xml!K442</f>
        <v>0</v>
      </c>
      <c r="K438" s="1">
        <f>equip.xml!L442</f>
        <v>0</v>
      </c>
      <c r="L438" s="1" t="str">
        <f>equip.xml!M442</f>
        <v>105_102_102</v>
      </c>
      <c r="M438" s="7" t="str">
        <f>equip.xml!Q442</f>
        <v>equipment/5004.png</v>
      </c>
      <c r="N438" t="str">
        <f>equip.xml!P442</f>
        <v>10000_1002_20000,30000_30001_1,30000_30002_1,30000_30003_1</v>
      </c>
    </row>
    <row r="439" spans="1:14">
      <c r="A439" s="1" t="str">
        <f>equip.xml!A443</f>
        <v>20200041</v>
      </c>
      <c r="B439" s="1">
        <f>equip.xml!B443</f>
        <v>1</v>
      </c>
      <c r="C439" s="1" t="str">
        <f>equip.xml!C443</f>
        <v>银月护甲</v>
      </c>
      <c r="D439" s="1" t="str">
        <f>equip.xml!D443</f>
        <v>胸甲</v>
      </c>
      <c r="E439" s="1">
        <f>equip.xml!E443</f>
        <v>4</v>
      </c>
      <c r="F439" s="1">
        <f>equip.xml!F443</f>
        <v>2</v>
      </c>
      <c r="G439" s="1">
        <f>equip.xml!G443</f>
        <v>20</v>
      </c>
      <c r="H439" s="1">
        <f>equip.xml!H443</f>
        <v>0</v>
      </c>
      <c r="I439" s="1">
        <f>equip.xml!J443</f>
        <v>10</v>
      </c>
      <c r="J439" s="1">
        <f>equip.xml!K443</f>
        <v>0</v>
      </c>
      <c r="K439" s="1">
        <f>equip.xml!L443</f>
        <v>0</v>
      </c>
      <c r="L439" s="1" t="str">
        <f>equip.xml!M443</f>
        <v>105_122_122</v>
      </c>
      <c r="M439" s="7" t="str">
        <f>equip.xml!Q443</f>
        <v>equipment/5006.png</v>
      </c>
      <c r="N439" t="str">
        <f>equip.xml!P443</f>
        <v>10000_1002_20000,30000_30001_1,30000_30002_1,30000_30003_1</v>
      </c>
    </row>
    <row r="440" spans="1:14">
      <c r="A440" s="1" t="str">
        <f>equip.xml!A444</f>
        <v>20200070</v>
      </c>
      <c r="B440" s="1">
        <f>equip.xml!B444</f>
        <v>1</v>
      </c>
      <c r="C440" s="1" t="str">
        <f>equip.xml!C444</f>
        <v>手工长裤</v>
      </c>
      <c r="D440" s="1" t="str">
        <f>equip.xml!D444</f>
        <v>护腿</v>
      </c>
      <c r="E440" s="1">
        <f>equip.xml!E444</f>
        <v>7</v>
      </c>
      <c r="F440" s="1">
        <f>equip.xml!F444</f>
        <v>2</v>
      </c>
      <c r="G440" s="1">
        <f>equip.xml!G444</f>
        <v>20</v>
      </c>
      <c r="H440" s="1">
        <f>equip.xml!H444</f>
        <v>0</v>
      </c>
      <c r="I440" s="1">
        <f>equip.xml!J444</f>
        <v>10</v>
      </c>
      <c r="J440" s="1">
        <f>equip.xml!K444</f>
        <v>0</v>
      </c>
      <c r="K440" s="1">
        <f>equip.xml!L444</f>
        <v>0</v>
      </c>
      <c r="L440" s="1" t="str">
        <f>equip.xml!M444</f>
        <v>105_66_66</v>
      </c>
      <c r="M440" s="7" t="str">
        <f>equip.xml!Q444</f>
        <v>equipment/7005.png</v>
      </c>
      <c r="N440" t="str">
        <f>equip.xml!P444</f>
        <v>10000_1002_20000,30000_30001_1,30000_30002_1,30000_30003_1</v>
      </c>
    </row>
    <row r="441" spans="1:14">
      <c r="A441" s="1" t="str">
        <f>equip.xml!A445</f>
        <v>20200071</v>
      </c>
      <c r="B441" s="1">
        <f>equip.xml!B445</f>
        <v>1</v>
      </c>
      <c r="C441" s="1" t="str">
        <f>equip.xml!C445</f>
        <v>链甲护腿</v>
      </c>
      <c r="D441" s="1" t="str">
        <f>equip.xml!D445</f>
        <v>护腿</v>
      </c>
      <c r="E441" s="1">
        <f>equip.xml!E445</f>
        <v>7</v>
      </c>
      <c r="F441" s="1">
        <f>equip.xml!F445</f>
        <v>2</v>
      </c>
      <c r="G441" s="1">
        <f>equip.xml!G445</f>
        <v>20</v>
      </c>
      <c r="H441" s="1">
        <f>equip.xml!H445</f>
        <v>0</v>
      </c>
      <c r="I441" s="1">
        <f>equip.xml!J445</f>
        <v>10</v>
      </c>
      <c r="J441" s="1">
        <f>equip.xml!K445</f>
        <v>0</v>
      </c>
      <c r="K441" s="1">
        <f>equip.xml!L445</f>
        <v>0</v>
      </c>
      <c r="L441" s="1" t="str">
        <f>equip.xml!M445</f>
        <v>105_81_81</v>
      </c>
      <c r="M441" s="7" t="str">
        <f>equip.xml!Q445</f>
        <v>equipment/7004.png</v>
      </c>
      <c r="N441" t="str">
        <f>equip.xml!P445</f>
        <v>10000_1002_20000,30000_30001_1,30000_30002_1,30000_30003_1</v>
      </c>
    </row>
    <row r="442" spans="1:14">
      <c r="A442" s="1" t="str">
        <f>equip.xml!A446</f>
        <v>20250010</v>
      </c>
      <c r="B442" s="1">
        <f>equip.xml!B446</f>
        <v>1</v>
      </c>
      <c r="C442" s="1" t="str">
        <f>equip.xml!C446</f>
        <v>盔帽</v>
      </c>
      <c r="D442" s="1" t="str">
        <f>equip.xml!D446</f>
        <v>头盔</v>
      </c>
      <c r="E442" s="1">
        <f>equip.xml!E446</f>
        <v>1</v>
      </c>
      <c r="F442" s="1">
        <f>equip.xml!F446</f>
        <v>2</v>
      </c>
      <c r="G442" s="1">
        <f>equip.xml!G446</f>
        <v>25</v>
      </c>
      <c r="H442" s="1">
        <f>equip.xml!H446</f>
        <v>0</v>
      </c>
      <c r="I442" s="1">
        <f>equip.xml!J446</f>
        <v>10</v>
      </c>
      <c r="J442" s="1">
        <f>equip.xml!K446</f>
        <v>0</v>
      </c>
      <c r="K442" s="1">
        <f>equip.xml!L446</f>
        <v>0</v>
      </c>
      <c r="L442" s="1" t="str">
        <f>equip.xml!M446</f>
        <v>106_237_237</v>
      </c>
      <c r="M442" s="7" t="str">
        <f>equip.xml!Q446</f>
        <v>equipment/3005.png</v>
      </c>
      <c r="N442" t="str">
        <f>equip.xml!P446</f>
        <v>10000_1002_25000,30000_30001_1,30000_30002_1,30000_30003_1</v>
      </c>
    </row>
    <row r="443" spans="1:14">
      <c r="A443" s="1" t="str">
        <f>equip.xml!A447</f>
        <v>20250020</v>
      </c>
      <c r="B443" s="1">
        <f>equip.xml!B447</f>
        <v>1</v>
      </c>
      <c r="C443" s="1" t="str">
        <f>equip.xml!C447</f>
        <v>血岩戒指</v>
      </c>
      <c r="D443" s="1" t="str">
        <f>equip.xml!D447</f>
        <v>戒指</v>
      </c>
      <c r="E443" s="1">
        <f>equip.xml!E447</f>
        <v>2</v>
      </c>
      <c r="F443" s="1">
        <f>equip.xml!F447</f>
        <v>2</v>
      </c>
      <c r="G443" s="1">
        <f>equip.xml!G447</f>
        <v>25</v>
      </c>
      <c r="H443" s="1">
        <f>equip.xml!H447</f>
        <v>0</v>
      </c>
      <c r="I443" s="1">
        <f>equip.xml!J447</f>
        <v>10</v>
      </c>
      <c r="J443" s="1">
        <f>equip.xml!K447</f>
        <v>0</v>
      </c>
      <c r="K443" s="1">
        <f>equip.xml!L447</f>
        <v>0</v>
      </c>
      <c r="L443" s="1" t="str">
        <f>equip.xml!M447</f>
        <v>102_330_330</v>
      </c>
      <c r="M443" s="7" t="str">
        <f>equip.xml!Q447</f>
        <v>equipment/14004.png</v>
      </c>
      <c r="N443" t="str">
        <f>equip.xml!P447</f>
        <v>10000_1002_25000,30000_30001_1,30000_30002_1,30000_30003_1</v>
      </c>
    </row>
    <row r="444" spans="1:14">
      <c r="A444" s="1" t="str">
        <f>equip.xml!A448</f>
        <v>20250030</v>
      </c>
      <c r="B444" s="1">
        <f>equip.xml!B448</f>
        <v>1</v>
      </c>
      <c r="C444" s="1" t="str">
        <f>equip.xml!C448</f>
        <v>前锋腰带</v>
      </c>
      <c r="D444" s="1" t="str">
        <f>equip.xml!D448</f>
        <v>腰带</v>
      </c>
      <c r="E444" s="1">
        <f>equip.xml!E448</f>
        <v>3</v>
      </c>
      <c r="F444" s="1">
        <f>equip.xml!F448</f>
        <v>2</v>
      </c>
      <c r="G444" s="1">
        <f>equip.xml!G448</f>
        <v>25</v>
      </c>
      <c r="H444" s="1">
        <f>equip.xml!H448</f>
        <v>0</v>
      </c>
      <c r="I444" s="1">
        <f>equip.xml!J448</f>
        <v>10</v>
      </c>
      <c r="J444" s="1">
        <f>equip.xml!K448</f>
        <v>0</v>
      </c>
      <c r="K444" s="1">
        <f>equip.xml!L448</f>
        <v>0</v>
      </c>
      <c r="L444" s="1" t="str">
        <f>equip.xml!M448</f>
        <v>101_3360_3360</v>
      </c>
      <c r="M444" s="7" t="str">
        <f>equip.xml!Q448</f>
        <v>equipment/6005.png</v>
      </c>
      <c r="N444" t="str">
        <f>equip.xml!P448</f>
        <v>10000_1002_25000,30000_30001_1,30000_30002_1,30000_30003_1</v>
      </c>
    </row>
    <row r="445" spans="1:14">
      <c r="A445" s="1" t="str">
        <f>equip.xml!A449</f>
        <v>20250080</v>
      </c>
      <c r="B445" s="1">
        <f>equip.xml!B449</f>
        <v>1</v>
      </c>
      <c r="C445" s="1" t="str">
        <f>equip.xml!C449</f>
        <v>探寻者之靴</v>
      </c>
      <c r="D445" s="1" t="str">
        <f>equip.xml!D449</f>
        <v>鞋子</v>
      </c>
      <c r="E445" s="1">
        <f>equip.xml!E449</f>
        <v>8</v>
      </c>
      <c r="F445" s="1">
        <f>equip.xml!F449</f>
        <v>2</v>
      </c>
      <c r="G445" s="1">
        <f>equip.xml!G449</f>
        <v>25</v>
      </c>
      <c r="H445" s="1">
        <f>equip.xml!H449</f>
        <v>0</v>
      </c>
      <c r="I445" s="1">
        <f>equip.xml!J449</f>
        <v>10</v>
      </c>
      <c r="J445" s="1">
        <f>equip.xml!K449</f>
        <v>0</v>
      </c>
      <c r="K445" s="1">
        <f>equip.xml!L449</f>
        <v>0</v>
      </c>
      <c r="L445" s="1" t="str">
        <f>equip.xml!M449</f>
        <v>110_40_40</v>
      </c>
      <c r="M445" s="7" t="str">
        <f>equip.xml!Q449</f>
        <v>equipment/8004.png</v>
      </c>
      <c r="N445" t="str">
        <f>equip.xml!P449</f>
        <v>10000_1002_25000,30000_30001_1,30000_30002_1,30000_30003_1</v>
      </c>
    </row>
    <row r="446" spans="1:14">
      <c r="A446" s="1" t="str">
        <f>equip.xml!A450</f>
        <v>20250090</v>
      </c>
      <c r="B446" s="1">
        <f>equip.xml!B450</f>
        <v>0</v>
      </c>
      <c r="C446" s="1" t="str">
        <f>equip.xml!C450</f>
        <v>轻布手套</v>
      </c>
      <c r="D446" s="1" t="str">
        <f>equip.xml!D450</f>
        <v>手套</v>
      </c>
      <c r="E446" s="1">
        <f>equip.xml!E450</f>
        <v>9</v>
      </c>
      <c r="F446" s="1">
        <f>equip.xml!F450</f>
        <v>2</v>
      </c>
      <c r="G446" s="1">
        <f>equip.xml!G450</f>
        <v>25</v>
      </c>
      <c r="H446" s="1">
        <f>equip.xml!H450</f>
        <v>0</v>
      </c>
      <c r="I446" s="1">
        <f>equip.xml!J450</f>
        <v>10</v>
      </c>
      <c r="J446" s="1">
        <f>equip.xml!K450</f>
        <v>0</v>
      </c>
      <c r="K446" s="1">
        <f>equip.xml!L450</f>
        <v>0</v>
      </c>
      <c r="L446" s="1" t="str">
        <f>equip.xml!M450</f>
        <v>108_286_286</v>
      </c>
      <c r="M446" s="7" t="str">
        <f>equip.xml!Q450</f>
        <v>equipment/10001.png</v>
      </c>
      <c r="N446" t="str">
        <f>equip.xml!P450</f>
        <v>10000_1002_25000,30000_30001_1,30000_30002_1,30000_30003_1</v>
      </c>
    </row>
    <row r="447" spans="1:14">
      <c r="A447" s="1" t="str">
        <f>equip.xml!A451</f>
        <v>20250100</v>
      </c>
      <c r="B447" s="1">
        <f>equip.xml!B451</f>
        <v>1</v>
      </c>
      <c r="C447" s="1" t="str">
        <f>equip.xml!C451</f>
        <v>魔光项链</v>
      </c>
      <c r="D447" s="1" t="str">
        <f>equip.xml!D451</f>
        <v>项链</v>
      </c>
      <c r="E447" s="1">
        <f>equip.xml!E451</f>
        <v>10</v>
      </c>
      <c r="F447" s="1">
        <f>equip.xml!F451</f>
        <v>2</v>
      </c>
      <c r="G447" s="1">
        <f>equip.xml!G451</f>
        <v>25</v>
      </c>
      <c r="H447" s="1">
        <f>equip.xml!H451</f>
        <v>0</v>
      </c>
      <c r="I447" s="1">
        <f>equip.xml!J451</f>
        <v>10</v>
      </c>
      <c r="J447" s="1">
        <f>equip.xml!K451</f>
        <v>0</v>
      </c>
      <c r="K447" s="1">
        <f>equip.xml!L451</f>
        <v>0</v>
      </c>
      <c r="L447" s="1" t="str">
        <f>equip.xml!M451</f>
        <v>107_237_237</v>
      </c>
      <c r="M447" s="7" t="str">
        <f>equip.xml!Q451</f>
        <v>equipment/12004.png</v>
      </c>
      <c r="N447" t="str">
        <f>equip.xml!P451</f>
        <v>10000_1002_25000,30000_30001_1,30000_30002_1,30000_30003_1</v>
      </c>
    </row>
    <row r="448" spans="1:14">
      <c r="A448" s="1" t="str">
        <f>equip.xml!A452</f>
        <v>20251050</v>
      </c>
      <c r="B448" s="1">
        <f>equip.xml!B452</f>
        <v>1</v>
      </c>
      <c r="C448" s="1" t="str">
        <f>equip.xml!C452</f>
        <v>血刃</v>
      </c>
      <c r="D448" s="1" t="str">
        <f>equip.xml!D452</f>
        <v>主手武器</v>
      </c>
      <c r="E448" s="1">
        <f>equip.xml!E452</f>
        <v>5</v>
      </c>
      <c r="F448" s="1">
        <f>equip.xml!F452</f>
        <v>2</v>
      </c>
      <c r="G448" s="1">
        <f>equip.xml!G452</f>
        <v>25</v>
      </c>
      <c r="H448" s="1" t="str">
        <f>equip.xml!H452</f>
        <v>1,1001</v>
      </c>
      <c r="I448" s="1">
        <f>equip.xml!J452</f>
        <v>10</v>
      </c>
      <c r="J448" s="1">
        <f>equip.xml!K452</f>
        <v>0</v>
      </c>
      <c r="K448" s="1">
        <f>equip.xml!L452</f>
        <v>0</v>
      </c>
      <c r="L448" s="1" t="str">
        <f>equip.xml!M452</f>
        <v>103_177_177,104_354_354</v>
      </c>
      <c r="M448" s="7" t="str">
        <f>equip.xml!Q452</f>
        <v>equipment/1110.png</v>
      </c>
      <c r="N448" t="str">
        <f>equip.xml!P452</f>
        <v>10000_1002_25000,30000_30001_1,30000_30002_1,30000_30003_1</v>
      </c>
    </row>
    <row r="449" spans="1:14">
      <c r="A449" s="1" t="str">
        <f>equip.xml!A453</f>
        <v>20251051</v>
      </c>
      <c r="B449" s="1">
        <f>equip.xml!B453</f>
        <v>1</v>
      </c>
      <c r="C449" s="1" t="str">
        <f>equip.xml!C453</f>
        <v>游侠利刃</v>
      </c>
      <c r="D449" s="1" t="str">
        <f>equip.xml!D453</f>
        <v>主手武器</v>
      </c>
      <c r="E449" s="1">
        <f>equip.xml!E453</f>
        <v>5</v>
      </c>
      <c r="F449" s="1">
        <f>equip.xml!F453</f>
        <v>2</v>
      </c>
      <c r="G449" s="1">
        <f>equip.xml!G453</f>
        <v>25</v>
      </c>
      <c r="H449" s="1" t="str">
        <f>equip.xml!H453</f>
        <v>1,1001</v>
      </c>
      <c r="I449" s="1">
        <f>equip.xml!J453</f>
        <v>10</v>
      </c>
      <c r="J449" s="1">
        <f>equip.xml!K453</f>
        <v>0</v>
      </c>
      <c r="K449" s="1">
        <f>equip.xml!L453</f>
        <v>0</v>
      </c>
      <c r="L449" s="1" t="str">
        <f>equip.xml!M453</f>
        <v>103_216_216,104_432_432</v>
      </c>
      <c r="M449" s="7" t="str">
        <f>equip.xml!Q453</f>
        <v>equipment/1111.png</v>
      </c>
      <c r="N449" t="str">
        <f>equip.xml!P453</f>
        <v>10000_1002_25000,30000_30001_1,30000_30002_1,30000_30003_1</v>
      </c>
    </row>
    <row r="450" spans="1:14">
      <c r="A450" s="1" t="str">
        <f>equip.xml!A454</f>
        <v>20251060</v>
      </c>
      <c r="B450" s="1">
        <f>equip.xml!B454</f>
        <v>1</v>
      </c>
      <c r="C450" s="1" t="str">
        <f>equip.xml!C454</f>
        <v>坚固重盾</v>
      </c>
      <c r="D450" s="1" t="str">
        <f>equip.xml!D454</f>
        <v>副手武器</v>
      </c>
      <c r="E450" s="1">
        <f>equip.xml!E454</f>
        <v>6</v>
      </c>
      <c r="F450" s="1">
        <f>equip.xml!F454</f>
        <v>2</v>
      </c>
      <c r="G450" s="1">
        <f>equip.xml!G454</f>
        <v>25</v>
      </c>
      <c r="H450" s="1" t="str">
        <f>equip.xml!H454</f>
        <v>1,1001</v>
      </c>
      <c r="I450" s="1">
        <f>equip.xml!J454</f>
        <v>10</v>
      </c>
      <c r="J450" s="1">
        <f>equip.xml!K454</f>
        <v>0</v>
      </c>
      <c r="K450" s="1">
        <f>equip.xml!L454</f>
        <v>0</v>
      </c>
      <c r="L450" s="1" t="str">
        <f>equip.xml!M454</f>
        <v>105_256_256</v>
      </c>
      <c r="M450" s="7" t="str">
        <f>equip.xml!Q454</f>
        <v>equipment/2106.png</v>
      </c>
      <c r="N450" t="str">
        <f>equip.xml!P454</f>
        <v>10000_1002_25000,30000_30001_1,30000_30002_1,30000_30003_1</v>
      </c>
    </row>
    <row r="451" spans="1:14">
      <c r="A451" s="1" t="str">
        <f>equip.xml!A455</f>
        <v>20251061</v>
      </c>
      <c r="B451" s="1">
        <f>equip.xml!B455</f>
        <v>0</v>
      </c>
      <c r="C451" s="1" t="str">
        <f>equip.xml!C455</f>
        <v>尖头盾</v>
      </c>
      <c r="D451" s="1" t="str">
        <f>equip.xml!D455</f>
        <v>副手武器</v>
      </c>
      <c r="E451" s="1">
        <f>equip.xml!E455</f>
        <v>6</v>
      </c>
      <c r="F451" s="1">
        <f>equip.xml!F455</f>
        <v>2</v>
      </c>
      <c r="G451" s="1">
        <f>equip.xml!G455</f>
        <v>25</v>
      </c>
      <c r="H451" s="1" t="str">
        <f>equip.xml!H455</f>
        <v>1,1001</v>
      </c>
      <c r="I451" s="1">
        <f>equip.xml!J455</f>
        <v>10</v>
      </c>
      <c r="J451" s="1">
        <f>equip.xml!K455</f>
        <v>0</v>
      </c>
      <c r="K451" s="1">
        <f>equip.xml!L455</f>
        <v>0</v>
      </c>
      <c r="L451" s="1" t="str">
        <f>equip.xml!M455</f>
        <v>105_301_301</v>
      </c>
      <c r="M451" s="7" t="str">
        <f>equip.xml!Q455</f>
        <v>equipment/2101.png</v>
      </c>
      <c r="N451" t="str">
        <f>equip.xml!P455</f>
        <v>10000_1002_25000,30000_30001_1,30000_30002_1,30000_30003_1</v>
      </c>
    </row>
    <row r="452" spans="1:14">
      <c r="A452" s="1" t="str">
        <f>equip.xml!A456</f>
        <v>20252050</v>
      </c>
      <c r="B452" s="1">
        <f>equip.xml!B456</f>
        <v>1</v>
      </c>
      <c r="C452" s="1" t="str">
        <f>equip.xml!C456</f>
        <v>精准之弓</v>
      </c>
      <c r="D452" s="1" t="str">
        <f>equip.xml!D456</f>
        <v>主手武器</v>
      </c>
      <c r="E452" s="1">
        <f>equip.xml!E456</f>
        <v>5</v>
      </c>
      <c r="F452" s="1">
        <f>equip.xml!F456</f>
        <v>2</v>
      </c>
      <c r="G452" s="1">
        <f>equip.xml!G456</f>
        <v>25</v>
      </c>
      <c r="H452" s="1" t="str">
        <f>equip.xml!H456</f>
        <v>2,1002</v>
      </c>
      <c r="I452" s="1">
        <f>equip.xml!J456</f>
        <v>10</v>
      </c>
      <c r="J452" s="1">
        <f>equip.xml!K456</f>
        <v>0</v>
      </c>
      <c r="K452" s="1">
        <f>equip.xml!L456</f>
        <v>0</v>
      </c>
      <c r="L452" s="1" t="str">
        <f>equip.xml!M456</f>
        <v>103_177_177,104_354_354</v>
      </c>
      <c r="M452" s="7" t="str">
        <f>equip.xml!Q456</f>
        <v>equipment/1210.png</v>
      </c>
      <c r="N452" t="str">
        <f>equip.xml!P456</f>
        <v>10000_1002_25000,30000_30001_1,30000_30002_1,30000_30003_1</v>
      </c>
    </row>
    <row r="453" spans="1:14">
      <c r="A453" s="1" t="str">
        <f>equip.xml!A457</f>
        <v>20252051</v>
      </c>
      <c r="B453" s="1">
        <f>equip.xml!B457</f>
        <v>1</v>
      </c>
      <c r="C453" s="1" t="str">
        <f>equip.xml!C457</f>
        <v>行者弯弓</v>
      </c>
      <c r="D453" s="1" t="str">
        <f>equip.xml!D457</f>
        <v>主手武器</v>
      </c>
      <c r="E453" s="1">
        <f>equip.xml!E457</f>
        <v>5</v>
      </c>
      <c r="F453" s="1">
        <f>equip.xml!F457</f>
        <v>2</v>
      </c>
      <c r="G453" s="1">
        <f>equip.xml!G457</f>
        <v>25</v>
      </c>
      <c r="H453" s="1" t="str">
        <f>equip.xml!H457</f>
        <v>2,1002</v>
      </c>
      <c r="I453" s="1">
        <f>equip.xml!J457</f>
        <v>10</v>
      </c>
      <c r="J453" s="1">
        <f>equip.xml!K457</f>
        <v>0</v>
      </c>
      <c r="K453" s="1">
        <f>equip.xml!L457</f>
        <v>0</v>
      </c>
      <c r="L453" s="1" t="str">
        <f>equip.xml!M457</f>
        <v>103_216_216,104_432_432</v>
      </c>
      <c r="M453" s="7" t="str">
        <f>equip.xml!Q457</f>
        <v>equipment/1215.png</v>
      </c>
      <c r="N453" t="str">
        <f>equip.xml!P457</f>
        <v>10000_1002_25000,30000_30001_1,30000_30002_1,30000_30003_1</v>
      </c>
    </row>
    <row r="454" spans="1:14">
      <c r="A454" s="1" t="str">
        <f>equip.xml!A458</f>
        <v>20252060</v>
      </c>
      <c r="B454" s="1">
        <f>equip.xml!B458</f>
        <v>1</v>
      </c>
      <c r="C454" s="1" t="str">
        <f>equip.xml!C458</f>
        <v>刺客箭筒</v>
      </c>
      <c r="D454" s="1" t="str">
        <f>equip.xml!D458</f>
        <v>副手武器</v>
      </c>
      <c r="E454" s="1">
        <f>equip.xml!E458</f>
        <v>6</v>
      </c>
      <c r="F454" s="1">
        <f>equip.xml!F458</f>
        <v>2</v>
      </c>
      <c r="G454" s="1">
        <f>equip.xml!G458</f>
        <v>25</v>
      </c>
      <c r="H454" s="1" t="str">
        <f>equip.xml!H458</f>
        <v>2,1002</v>
      </c>
      <c r="I454" s="1">
        <f>equip.xml!J458</f>
        <v>10</v>
      </c>
      <c r="J454" s="1">
        <f>equip.xml!K458</f>
        <v>0</v>
      </c>
      <c r="K454" s="1">
        <f>equip.xml!L458</f>
        <v>0</v>
      </c>
      <c r="L454" s="1" t="str">
        <f>equip.xml!M458</f>
        <v>108_256_256</v>
      </c>
      <c r="M454" s="7" t="str">
        <f>equip.xml!Q458</f>
        <v>equipment/2206.png</v>
      </c>
      <c r="N454" t="str">
        <f>equip.xml!P458</f>
        <v>10000_1002_25000,30000_30001_1,30000_30002_1,30000_30003_1</v>
      </c>
    </row>
    <row r="455" spans="1:14">
      <c r="A455" s="1" t="str">
        <f>equip.xml!A459</f>
        <v>20252061</v>
      </c>
      <c r="B455" s="1">
        <f>equip.xml!B459</f>
        <v>0</v>
      </c>
      <c r="C455" s="1" t="str">
        <f>equip.xml!C459</f>
        <v>箭筒</v>
      </c>
      <c r="D455" s="1" t="str">
        <f>equip.xml!D459</f>
        <v>副手武器</v>
      </c>
      <c r="E455" s="1">
        <f>equip.xml!E459</f>
        <v>6</v>
      </c>
      <c r="F455" s="1">
        <f>equip.xml!F459</f>
        <v>2</v>
      </c>
      <c r="G455" s="1">
        <f>equip.xml!G459</f>
        <v>25</v>
      </c>
      <c r="H455" s="1" t="str">
        <f>equip.xml!H459</f>
        <v>2,1002</v>
      </c>
      <c r="I455" s="1">
        <f>equip.xml!J459</f>
        <v>10</v>
      </c>
      <c r="J455" s="1">
        <f>equip.xml!K459</f>
        <v>0</v>
      </c>
      <c r="K455" s="1">
        <f>equip.xml!L459</f>
        <v>0</v>
      </c>
      <c r="L455" s="1" t="str">
        <f>equip.xml!M459</f>
        <v>108_301_301</v>
      </c>
      <c r="M455" s="7" t="str">
        <f>equip.xml!Q459</f>
        <v>equipment/2201.png</v>
      </c>
      <c r="N455" t="str">
        <f>equip.xml!P459</f>
        <v>10000_1002_25000,30000_30001_1,30000_30002_1,30000_30003_1</v>
      </c>
    </row>
    <row r="456" spans="1:14">
      <c r="A456" s="1" t="str">
        <f>equip.xml!A460</f>
        <v>20253050</v>
      </c>
      <c r="B456" s="1">
        <f>equip.xml!B460</f>
        <v>1</v>
      </c>
      <c r="C456" s="1" t="str">
        <f>equip.xml!C460</f>
        <v>预言法杖</v>
      </c>
      <c r="D456" s="1" t="str">
        <f>equip.xml!D460</f>
        <v>主手武器</v>
      </c>
      <c r="E456" s="1">
        <f>equip.xml!E460</f>
        <v>5</v>
      </c>
      <c r="F456" s="1">
        <f>equip.xml!F460</f>
        <v>2</v>
      </c>
      <c r="G456" s="1">
        <f>equip.xml!G460</f>
        <v>25</v>
      </c>
      <c r="H456" s="1" t="str">
        <f>equip.xml!H460</f>
        <v>3,1003</v>
      </c>
      <c r="I456" s="1">
        <f>equip.xml!J460</f>
        <v>10</v>
      </c>
      <c r="J456" s="1">
        <f>equip.xml!K460</f>
        <v>0</v>
      </c>
      <c r="K456" s="1">
        <f>equip.xml!L460</f>
        <v>0</v>
      </c>
      <c r="L456" s="1" t="str">
        <f>equip.xml!M460</f>
        <v>103_177_177,104_354_354</v>
      </c>
      <c r="M456" s="7" t="str">
        <f>equip.xml!Q460</f>
        <v>equipment/1311.png</v>
      </c>
      <c r="N456" t="str">
        <f>equip.xml!P460</f>
        <v>10000_1002_25000,30000_30001_1,30000_30002_1,30000_30003_1</v>
      </c>
    </row>
    <row r="457" spans="1:14">
      <c r="A457" s="1" t="str">
        <f>equip.xml!A461</f>
        <v>20253051</v>
      </c>
      <c r="B457" s="1">
        <f>equip.xml!B461</f>
        <v>0</v>
      </c>
      <c r="C457" s="1" t="str">
        <f>equip.xml!C461</f>
        <v>荒骨法杖</v>
      </c>
      <c r="D457" s="1" t="str">
        <f>equip.xml!D461</f>
        <v>主手武器</v>
      </c>
      <c r="E457" s="1">
        <f>equip.xml!E461</f>
        <v>5</v>
      </c>
      <c r="F457" s="1">
        <f>equip.xml!F461</f>
        <v>2</v>
      </c>
      <c r="G457" s="1">
        <f>equip.xml!G461</f>
        <v>25</v>
      </c>
      <c r="H457" s="1" t="str">
        <f>equip.xml!H461</f>
        <v>3,1003</v>
      </c>
      <c r="I457" s="1">
        <f>equip.xml!J461</f>
        <v>10</v>
      </c>
      <c r="J457" s="1">
        <f>equip.xml!K461</f>
        <v>0</v>
      </c>
      <c r="K457" s="1">
        <f>equip.xml!L461</f>
        <v>0</v>
      </c>
      <c r="L457" s="1" t="str">
        <f>equip.xml!M461</f>
        <v>103_216_216,104_432_432</v>
      </c>
      <c r="M457" s="7" t="str">
        <f>equip.xml!Q461</f>
        <v>equipment/1312.png</v>
      </c>
      <c r="N457" t="str">
        <f>equip.xml!P461</f>
        <v>10000_1002_25000,30000_30001_1,30000_30002_1,30000_30003_1</v>
      </c>
    </row>
    <row r="458" spans="1:14">
      <c r="A458" s="1" t="str">
        <f>equip.xml!A462</f>
        <v>20253060</v>
      </c>
      <c r="B458" s="1">
        <f>equip.xml!B462</f>
        <v>1</v>
      </c>
      <c r="C458" s="1" t="str">
        <f>equip.xml!C462</f>
        <v>魔法秘典</v>
      </c>
      <c r="D458" s="1" t="str">
        <f>equip.xml!D462</f>
        <v>副手武器</v>
      </c>
      <c r="E458" s="1">
        <f>equip.xml!E462</f>
        <v>6</v>
      </c>
      <c r="F458" s="1">
        <f>equip.xml!F462</f>
        <v>2</v>
      </c>
      <c r="G458" s="1">
        <f>equip.xml!G462</f>
        <v>25</v>
      </c>
      <c r="H458" s="1" t="str">
        <f>equip.xml!H462</f>
        <v>3,1003</v>
      </c>
      <c r="I458" s="1">
        <f>equip.xml!J462</f>
        <v>10</v>
      </c>
      <c r="J458" s="1">
        <f>equip.xml!K462</f>
        <v>0</v>
      </c>
      <c r="K458" s="1">
        <f>equip.xml!L462</f>
        <v>0</v>
      </c>
      <c r="L458" s="1" t="str">
        <f>equip.xml!M462</f>
        <v>102_690_690</v>
      </c>
      <c r="M458" s="7" t="str">
        <f>equip.xml!Q462</f>
        <v>equipment/2306.png</v>
      </c>
      <c r="N458" t="str">
        <f>equip.xml!P462</f>
        <v>10000_1002_25000,30000_30001_1,30000_30002_1,30000_30003_1</v>
      </c>
    </row>
    <row r="459" spans="1:14">
      <c r="A459" s="1" t="str">
        <f>equip.xml!A463</f>
        <v>20253061</v>
      </c>
      <c r="B459" s="1">
        <f>equip.xml!B463</f>
        <v>0</v>
      </c>
      <c r="C459" s="1" t="str">
        <f>equip.xml!C463</f>
        <v>法术指南</v>
      </c>
      <c r="D459" s="1" t="str">
        <f>equip.xml!D463</f>
        <v>副手武器</v>
      </c>
      <c r="E459" s="1">
        <f>equip.xml!E463</f>
        <v>6</v>
      </c>
      <c r="F459" s="1">
        <f>equip.xml!F463</f>
        <v>2</v>
      </c>
      <c r="G459" s="1">
        <f>equip.xml!G463</f>
        <v>25</v>
      </c>
      <c r="H459" s="1" t="str">
        <f>equip.xml!H463</f>
        <v>3,1003</v>
      </c>
      <c r="I459" s="1">
        <f>equip.xml!J463</f>
        <v>10</v>
      </c>
      <c r="J459" s="1">
        <f>equip.xml!K463</f>
        <v>0</v>
      </c>
      <c r="K459" s="1">
        <f>equip.xml!L463</f>
        <v>0</v>
      </c>
      <c r="L459" s="1" t="str">
        <f>equip.xml!M463</f>
        <v>102_301_301</v>
      </c>
      <c r="M459" s="7" t="str">
        <f>equip.xml!Q463</f>
        <v>equipment/2301.png</v>
      </c>
      <c r="N459" t="str">
        <f>equip.xml!P463</f>
        <v>10000_1002_25000,30000_30001_1,30000_30002_1,30000_30003_1</v>
      </c>
    </row>
    <row r="460" spans="1:14">
      <c r="A460" s="1" t="str">
        <f>equip.xml!A464</f>
        <v>20250040</v>
      </c>
      <c r="B460" s="1">
        <f>equip.xml!B464</f>
        <v>1</v>
      </c>
      <c r="C460" s="1" t="str">
        <f>equip.xml!C464</f>
        <v>烙铁胸甲</v>
      </c>
      <c r="D460" s="1" t="str">
        <f>equip.xml!D464</f>
        <v>胸甲</v>
      </c>
      <c r="E460" s="1">
        <f>equip.xml!E464</f>
        <v>4</v>
      </c>
      <c r="F460" s="1">
        <f>equip.xml!F464</f>
        <v>2</v>
      </c>
      <c r="G460" s="1">
        <f>equip.xml!G464</f>
        <v>25</v>
      </c>
      <c r="H460" s="1">
        <f>equip.xml!H464</f>
        <v>0</v>
      </c>
      <c r="I460" s="1">
        <f>equip.xml!J464</f>
        <v>10</v>
      </c>
      <c r="J460" s="1">
        <f>equip.xml!K464</f>
        <v>0</v>
      </c>
      <c r="K460" s="1">
        <f>equip.xml!L464</f>
        <v>0</v>
      </c>
      <c r="L460" s="1" t="str">
        <f>equip.xml!M464</f>
        <v>105_153_153</v>
      </c>
      <c r="M460" s="7" t="str">
        <f>equip.xml!Q464</f>
        <v>equipment/5007.png</v>
      </c>
      <c r="N460" t="str">
        <f>equip.xml!P464</f>
        <v>10000_1002_25000,30000_30001_1,30000_30002_1,30000_30003_1</v>
      </c>
    </row>
    <row r="461" spans="1:14">
      <c r="A461" s="1" t="str">
        <f>equip.xml!A465</f>
        <v>20250041</v>
      </c>
      <c r="B461" s="1">
        <f>equip.xml!B465</f>
        <v>0</v>
      </c>
      <c r="C461" s="1" t="str">
        <f>equip.xml!C465</f>
        <v>新兵外套</v>
      </c>
      <c r="D461" s="1" t="str">
        <f>equip.xml!D465</f>
        <v>胸甲</v>
      </c>
      <c r="E461" s="1">
        <f>equip.xml!E465</f>
        <v>4</v>
      </c>
      <c r="F461" s="1">
        <f>equip.xml!F465</f>
        <v>2</v>
      </c>
      <c r="G461" s="1">
        <f>equip.xml!G465</f>
        <v>25</v>
      </c>
      <c r="H461" s="1">
        <f>equip.xml!H465</f>
        <v>0</v>
      </c>
      <c r="I461" s="1">
        <f>equip.xml!J465</f>
        <v>10</v>
      </c>
      <c r="J461" s="1">
        <f>equip.xml!K465</f>
        <v>0</v>
      </c>
      <c r="K461" s="1">
        <f>equip.xml!L465</f>
        <v>0</v>
      </c>
      <c r="L461" s="1" t="str">
        <f>equip.xml!M465</f>
        <v>105_178_178</v>
      </c>
      <c r="M461" s="7" t="str">
        <f>equip.xml!Q465</f>
        <v>equipment/5001.png</v>
      </c>
      <c r="N461" t="str">
        <f>equip.xml!P465</f>
        <v>10000_1002_25000,30000_30001_1,30000_30002_1,30000_30003_1</v>
      </c>
    </row>
    <row r="462" spans="1:14">
      <c r="A462" s="1" t="str">
        <f>equip.xml!A466</f>
        <v>20250070</v>
      </c>
      <c r="B462" s="1">
        <f>equip.xml!B466</f>
        <v>1</v>
      </c>
      <c r="C462" s="1" t="str">
        <f>equip.xml!C466</f>
        <v>勇气腿甲</v>
      </c>
      <c r="D462" s="1" t="str">
        <f>equip.xml!D466</f>
        <v>护腿</v>
      </c>
      <c r="E462" s="1">
        <f>equip.xml!E466</f>
        <v>7</v>
      </c>
      <c r="F462" s="1">
        <f>equip.xml!F466</f>
        <v>2</v>
      </c>
      <c r="G462" s="1">
        <f>equip.xml!G466</f>
        <v>25</v>
      </c>
      <c r="H462" s="1">
        <f>equip.xml!H466</f>
        <v>0</v>
      </c>
      <c r="I462" s="1">
        <f>equip.xml!J466</f>
        <v>10</v>
      </c>
      <c r="J462" s="1">
        <f>equip.xml!K466</f>
        <v>0</v>
      </c>
      <c r="K462" s="1">
        <f>equip.xml!L466</f>
        <v>0</v>
      </c>
      <c r="L462" s="1" t="str">
        <f>equip.xml!M466</f>
        <v>105_104_104</v>
      </c>
      <c r="M462" s="7" t="str">
        <f>equip.xml!Q466</f>
        <v>equipment/7006.png</v>
      </c>
      <c r="N462" t="str">
        <f>equip.xml!P466</f>
        <v>10000_1002_25000,30000_30001_1,30000_30002_1,30000_30003_1</v>
      </c>
    </row>
    <row r="463" spans="1:14">
      <c r="A463" s="1" t="str">
        <f>equip.xml!A467</f>
        <v>20250071</v>
      </c>
      <c r="B463" s="1">
        <f>equip.xml!B467</f>
        <v>0</v>
      </c>
      <c r="C463" s="1" t="str">
        <f>equip.xml!C467</f>
        <v>学徒短裤</v>
      </c>
      <c r="D463" s="1" t="str">
        <f>equip.xml!D467</f>
        <v>护腿</v>
      </c>
      <c r="E463" s="1">
        <f>equip.xml!E467</f>
        <v>7</v>
      </c>
      <c r="F463" s="1">
        <f>equip.xml!F467</f>
        <v>2</v>
      </c>
      <c r="G463" s="1">
        <f>equip.xml!G467</f>
        <v>25</v>
      </c>
      <c r="H463" s="1">
        <f>equip.xml!H467</f>
        <v>0</v>
      </c>
      <c r="I463" s="1">
        <f>equip.xml!J467</f>
        <v>10</v>
      </c>
      <c r="J463" s="1">
        <f>equip.xml!K467</f>
        <v>0</v>
      </c>
      <c r="K463" s="1">
        <f>equip.xml!L467</f>
        <v>0</v>
      </c>
      <c r="L463" s="1" t="str">
        <f>equip.xml!M467</f>
        <v>105_149_149</v>
      </c>
      <c r="M463" s="7" t="str">
        <f>equip.xml!Q467</f>
        <v>equipment/7001.png</v>
      </c>
      <c r="N463" t="str">
        <f>equip.xml!P467</f>
        <v>10000_1002_25000,30000_30001_1,30000_30002_1,30000_30003_1</v>
      </c>
    </row>
    <row r="464" spans="1:14">
      <c r="A464" s="1" t="str">
        <f>equip.xml!A468</f>
        <v>20300010</v>
      </c>
      <c r="B464" s="1">
        <f>equip.xml!B468</f>
        <v>1</v>
      </c>
      <c r="C464" s="1" t="str">
        <f>equip.xml!C468</f>
        <v>双链罩帽</v>
      </c>
      <c r="D464" s="1" t="str">
        <f>equip.xml!D468</f>
        <v>头盔</v>
      </c>
      <c r="E464" s="1">
        <f>equip.xml!E468</f>
        <v>1</v>
      </c>
      <c r="F464" s="1">
        <f>equip.xml!F468</f>
        <v>2</v>
      </c>
      <c r="G464" s="1">
        <f>equip.xml!G468</f>
        <v>30</v>
      </c>
      <c r="H464" s="1">
        <f>equip.xml!H468</f>
        <v>0</v>
      </c>
      <c r="I464" s="1">
        <f>equip.xml!J468</f>
        <v>10</v>
      </c>
      <c r="J464" s="1">
        <f>equip.xml!K468</f>
        <v>0</v>
      </c>
      <c r="K464" s="1">
        <f>equip.xml!L468</f>
        <v>0</v>
      </c>
      <c r="L464" s="1" t="str">
        <f>equip.xml!M468</f>
        <v>106_372_372</v>
      </c>
      <c r="M464" s="7" t="str">
        <f>equip.xml!Q468</f>
        <v>equipment/3004.png</v>
      </c>
      <c r="N464" t="str">
        <f>equip.xml!P468</f>
        <v>10000_1002_30000,30000_30001_1,30000_30002_1,30000_30003_1</v>
      </c>
    </row>
    <row r="465" spans="1:14">
      <c r="A465" s="1" t="str">
        <f>equip.xml!A469</f>
        <v>20300020</v>
      </c>
      <c r="B465" s="1">
        <f>equip.xml!B469</f>
        <v>1</v>
      </c>
      <c r="C465" s="1" t="str">
        <f>equip.xml!C469</f>
        <v>繁星之戒</v>
      </c>
      <c r="D465" s="1" t="str">
        <f>equip.xml!D469</f>
        <v>戒指</v>
      </c>
      <c r="E465" s="1">
        <f>equip.xml!E469</f>
        <v>2</v>
      </c>
      <c r="F465" s="1">
        <f>equip.xml!F469</f>
        <v>2</v>
      </c>
      <c r="G465" s="1">
        <f>equip.xml!G469</f>
        <v>30</v>
      </c>
      <c r="H465" s="1">
        <f>equip.xml!H469</f>
        <v>0</v>
      </c>
      <c r="I465" s="1">
        <f>equip.xml!J469</f>
        <v>10</v>
      </c>
      <c r="J465" s="1">
        <f>equip.xml!K469</f>
        <v>0</v>
      </c>
      <c r="K465" s="1">
        <f>equip.xml!L469</f>
        <v>0</v>
      </c>
      <c r="L465" s="1" t="str">
        <f>equip.xml!M469</f>
        <v>102_460_460</v>
      </c>
      <c r="M465" s="7" t="str">
        <f>equip.xml!Q469</f>
        <v>equipment/14005.png</v>
      </c>
      <c r="N465" t="str">
        <f>equip.xml!P469</f>
        <v>10000_1002_30000,30000_30001_1,30000_30002_1,30000_30003_1</v>
      </c>
    </row>
    <row r="466" spans="1:14">
      <c r="A466" s="1" t="str">
        <f>equip.xml!A470</f>
        <v>20300030</v>
      </c>
      <c r="B466" s="1">
        <f>equip.xml!B470</f>
        <v>0</v>
      </c>
      <c r="C466" s="1" t="str">
        <f>equip.xml!C470</f>
        <v>秘银腰带</v>
      </c>
      <c r="D466" s="1" t="str">
        <f>equip.xml!D470</f>
        <v>腰带</v>
      </c>
      <c r="E466" s="1">
        <f>equip.xml!E470</f>
        <v>3</v>
      </c>
      <c r="F466" s="1">
        <f>equip.xml!F470</f>
        <v>2</v>
      </c>
      <c r="G466" s="1">
        <f>equip.xml!G470</f>
        <v>30</v>
      </c>
      <c r="H466" s="1">
        <f>equip.xml!H470</f>
        <v>0</v>
      </c>
      <c r="I466" s="1">
        <f>equip.xml!J470</f>
        <v>10</v>
      </c>
      <c r="J466" s="1">
        <f>equip.xml!K470</f>
        <v>0</v>
      </c>
      <c r="K466" s="1">
        <f>equip.xml!L470</f>
        <v>0</v>
      </c>
      <c r="L466" s="1" t="str">
        <f>equip.xml!M470</f>
        <v>101_3360_3360</v>
      </c>
      <c r="M466" s="7" t="str">
        <f>equip.xml!Q470</f>
        <v>equipment/6001.png</v>
      </c>
      <c r="N466" t="str">
        <f>equip.xml!P470</f>
        <v>10000_1002_30000,30000_30001_1,30000_30002_1,30000_30003_1</v>
      </c>
    </row>
    <row r="467" spans="1:14">
      <c r="A467" s="1" t="str">
        <f>equip.xml!A471</f>
        <v>20300080</v>
      </c>
      <c r="B467" s="1">
        <f>equip.xml!B471</f>
        <v>1</v>
      </c>
      <c r="C467" s="1" t="str">
        <f>equip.xml!C471</f>
        <v>镶饰胫甲</v>
      </c>
      <c r="D467" s="1" t="str">
        <f>equip.xml!D471</f>
        <v>鞋子</v>
      </c>
      <c r="E467" s="1">
        <f>equip.xml!E471</f>
        <v>8</v>
      </c>
      <c r="F467" s="1">
        <f>equip.xml!F471</f>
        <v>2</v>
      </c>
      <c r="G467" s="1">
        <f>equip.xml!G471</f>
        <v>30</v>
      </c>
      <c r="H467" s="1">
        <f>equip.xml!H471</f>
        <v>0</v>
      </c>
      <c r="I467" s="1">
        <f>equip.xml!J471</f>
        <v>10</v>
      </c>
      <c r="J467" s="1">
        <f>equip.xml!K471</f>
        <v>0</v>
      </c>
      <c r="K467" s="1">
        <f>equip.xml!L471</f>
        <v>0</v>
      </c>
      <c r="L467" s="1" t="str">
        <f>equip.xml!M471</f>
        <v>110_65_65</v>
      </c>
      <c r="M467" s="7" t="str">
        <f>equip.xml!Q471</f>
        <v>equipment/8005.png</v>
      </c>
      <c r="N467" t="str">
        <f>equip.xml!P471</f>
        <v>10000_1002_30000,30000_30001_1,30000_30002_1,30000_30003_1</v>
      </c>
    </row>
    <row r="468" spans="1:14">
      <c r="A468" s="1" t="str">
        <f>equip.xml!A472</f>
        <v>20300090</v>
      </c>
      <c r="B468" s="1">
        <f>equip.xml!B472</f>
        <v>1</v>
      </c>
      <c r="C468" s="1" t="str">
        <f>equip.xml!C472</f>
        <v>链甲手套</v>
      </c>
      <c r="D468" s="1" t="str">
        <f>equip.xml!D472</f>
        <v>手套</v>
      </c>
      <c r="E468" s="1">
        <f>equip.xml!E472</f>
        <v>9</v>
      </c>
      <c r="F468" s="1">
        <f>equip.xml!F472</f>
        <v>2</v>
      </c>
      <c r="G468" s="1">
        <f>equip.xml!G472</f>
        <v>30</v>
      </c>
      <c r="H468" s="1">
        <f>equip.xml!H472</f>
        <v>0</v>
      </c>
      <c r="I468" s="1">
        <f>equip.xml!J472</f>
        <v>10</v>
      </c>
      <c r="J468" s="1">
        <f>equip.xml!K472</f>
        <v>0</v>
      </c>
      <c r="K468" s="1">
        <f>equip.xml!L472</f>
        <v>0</v>
      </c>
      <c r="L468" s="1" t="str">
        <f>equip.xml!M472</f>
        <v>108_367_367</v>
      </c>
      <c r="M468" s="7" t="str">
        <f>equip.xml!Q472</f>
        <v>equipment/10005.png</v>
      </c>
      <c r="N468" t="str">
        <f>equip.xml!P472</f>
        <v>10000_1002_30000,30000_30001_1,30000_30002_1,30000_30003_1</v>
      </c>
    </row>
    <row r="469" spans="1:14">
      <c r="A469" s="1" t="str">
        <f>equip.xml!A473</f>
        <v>20300100</v>
      </c>
      <c r="B469" s="1">
        <f>equip.xml!B473</f>
        <v>1</v>
      </c>
      <c r="C469" s="1" t="str">
        <f>equip.xml!C473</f>
        <v>虎眼石项链</v>
      </c>
      <c r="D469" s="1" t="str">
        <f>equip.xml!D473</f>
        <v>项链</v>
      </c>
      <c r="E469" s="1">
        <f>equip.xml!E473</f>
        <v>10</v>
      </c>
      <c r="F469" s="1">
        <f>equip.xml!F473</f>
        <v>2</v>
      </c>
      <c r="G469" s="1">
        <f>equip.xml!G473</f>
        <v>30</v>
      </c>
      <c r="H469" s="1">
        <f>equip.xml!H473</f>
        <v>0</v>
      </c>
      <c r="I469" s="1">
        <f>equip.xml!J473</f>
        <v>10</v>
      </c>
      <c r="J469" s="1">
        <f>equip.xml!K473</f>
        <v>0</v>
      </c>
      <c r="K469" s="1">
        <f>equip.xml!L473</f>
        <v>0</v>
      </c>
      <c r="L469" s="1" t="str">
        <f>equip.xml!M473</f>
        <v>107_372_372</v>
      </c>
      <c r="M469" s="7" t="str">
        <f>equip.xml!Q473</f>
        <v>equipment/12005.png</v>
      </c>
      <c r="N469" t="str">
        <f>equip.xml!P473</f>
        <v>10000_1002_30000,30000_30001_1,30000_30002_1,30000_30003_1</v>
      </c>
    </row>
    <row r="470" spans="1:14">
      <c r="A470" s="1" t="str">
        <f>equip.xml!A474</f>
        <v>20301050</v>
      </c>
      <c r="B470" s="1">
        <f>equip.xml!B474</f>
        <v>1</v>
      </c>
      <c r="C470" s="1" t="str">
        <f>equip.xml!C474</f>
        <v>炽热长剑</v>
      </c>
      <c r="D470" s="1" t="str">
        <f>equip.xml!D474</f>
        <v>主手武器</v>
      </c>
      <c r="E470" s="1">
        <f>equip.xml!E474</f>
        <v>5</v>
      </c>
      <c r="F470" s="1">
        <f>equip.xml!F474</f>
        <v>2</v>
      </c>
      <c r="G470" s="1">
        <f>equip.xml!G474</f>
        <v>30</v>
      </c>
      <c r="H470" s="1" t="str">
        <f>equip.xml!H474</f>
        <v>1,1001</v>
      </c>
      <c r="I470" s="1">
        <f>equip.xml!J474</f>
        <v>10</v>
      </c>
      <c r="J470" s="1">
        <f>equip.xml!K474</f>
        <v>0</v>
      </c>
      <c r="K470" s="1">
        <f>equip.xml!L474</f>
        <v>0</v>
      </c>
      <c r="L470" s="1" t="str">
        <f>equip.xml!M474</f>
        <v>103_275_275,104_550_550</v>
      </c>
      <c r="M470" s="7" t="str">
        <f>equip.xml!Q474</f>
        <v>equipment/1112.png</v>
      </c>
      <c r="N470" t="str">
        <f>equip.xml!P474</f>
        <v>10000_1002_30000,30000_30001_1,30000_30002_1,30000_30003_1</v>
      </c>
    </row>
    <row r="471" spans="1:14">
      <c r="A471" s="1" t="str">
        <f>equip.xml!A475</f>
        <v>20301051</v>
      </c>
      <c r="B471" s="1">
        <f>equip.xml!B475</f>
        <v>1</v>
      </c>
      <c r="C471" s="1" t="str">
        <f>equip.xml!C475</f>
        <v>贵族阔剑</v>
      </c>
      <c r="D471" s="1" t="str">
        <f>equip.xml!D475</f>
        <v>主手武器</v>
      </c>
      <c r="E471" s="1">
        <f>equip.xml!E475</f>
        <v>5</v>
      </c>
      <c r="F471" s="1">
        <f>equip.xml!F475</f>
        <v>2</v>
      </c>
      <c r="G471" s="1">
        <f>equip.xml!G475</f>
        <v>30</v>
      </c>
      <c r="H471" s="1" t="str">
        <f>equip.xml!H475</f>
        <v>1,1001</v>
      </c>
      <c r="I471" s="1">
        <f>equip.xml!J475</f>
        <v>10</v>
      </c>
      <c r="J471" s="1">
        <f>equip.xml!K475</f>
        <v>0</v>
      </c>
      <c r="K471" s="1">
        <f>equip.xml!L475</f>
        <v>0</v>
      </c>
      <c r="L471" s="1" t="str">
        <f>equip.xml!M475</f>
        <v>103_342_342,104_684_684</v>
      </c>
      <c r="M471" s="7" t="str">
        <f>equip.xml!Q475</f>
        <v>equipment/1113.png</v>
      </c>
      <c r="N471" t="str">
        <f>equip.xml!P475</f>
        <v>10000_1002_30000,30000_30001_1,30000_30002_1,30000_30003_1</v>
      </c>
    </row>
    <row r="472" spans="1:14">
      <c r="A472" s="1" t="str">
        <f>equip.xml!A476</f>
        <v>20301060</v>
      </c>
      <c r="B472" s="1">
        <f>equip.xml!B476</f>
        <v>1</v>
      </c>
      <c r="C472" s="1" t="str">
        <f>equip.xml!C476</f>
        <v>耐久盾牌</v>
      </c>
      <c r="D472" s="1" t="str">
        <f>equip.xml!D476</f>
        <v>副手武器</v>
      </c>
      <c r="E472" s="1">
        <f>equip.xml!E476</f>
        <v>6</v>
      </c>
      <c r="F472" s="1">
        <f>equip.xml!F476</f>
        <v>2</v>
      </c>
      <c r="G472" s="1">
        <f>equip.xml!G476</f>
        <v>30</v>
      </c>
      <c r="H472" s="1" t="str">
        <f>equip.xml!H476</f>
        <v>1,1001</v>
      </c>
      <c r="I472" s="1">
        <f>equip.xml!J476</f>
        <v>10</v>
      </c>
      <c r="J472" s="1">
        <f>equip.xml!K476</f>
        <v>0</v>
      </c>
      <c r="K472" s="1">
        <f>equip.xml!L476</f>
        <v>0</v>
      </c>
      <c r="L472" s="1" t="str">
        <f>equip.xml!M476</f>
        <v>105_368_368</v>
      </c>
      <c r="M472" s="7" t="str">
        <f>equip.xml!Q476</f>
        <v>equipment/2107.png</v>
      </c>
      <c r="N472" t="str">
        <f>equip.xml!P476</f>
        <v>10000_1002_30000,30000_30001_1,30000_30002_1,30000_30003_1</v>
      </c>
    </row>
    <row r="473" spans="1:14">
      <c r="A473" s="1" t="str">
        <f>equip.xml!A477</f>
        <v>20301061</v>
      </c>
      <c r="B473" s="1">
        <f>equip.xml!B477</f>
        <v>0</v>
      </c>
      <c r="C473" s="1" t="str">
        <f>equip.xml!C477</f>
        <v>盐石盾牌</v>
      </c>
      <c r="D473" s="1" t="str">
        <f>equip.xml!D477</f>
        <v>副手武器</v>
      </c>
      <c r="E473" s="1">
        <f>equip.xml!E477</f>
        <v>6</v>
      </c>
      <c r="F473" s="1">
        <f>equip.xml!F477</f>
        <v>2</v>
      </c>
      <c r="G473" s="1">
        <f>equip.xml!G477</f>
        <v>30</v>
      </c>
      <c r="H473" s="1" t="str">
        <f>equip.xml!H477</f>
        <v>1,1001</v>
      </c>
      <c r="I473" s="1">
        <f>equip.xml!J477</f>
        <v>10</v>
      </c>
      <c r="J473" s="1">
        <f>equip.xml!K477</f>
        <v>0</v>
      </c>
      <c r="K473" s="1">
        <f>equip.xml!L477</f>
        <v>0</v>
      </c>
      <c r="L473" s="1" t="str">
        <f>equip.xml!M477</f>
        <v>105_491_491</v>
      </c>
      <c r="M473" s="7" t="str">
        <f>equip.xml!Q477</f>
        <v>equipment/2108.png</v>
      </c>
      <c r="N473" t="str">
        <f>equip.xml!P477</f>
        <v>10000_1002_30000,30000_30001_1,30000_30002_1,30000_30003_1</v>
      </c>
    </row>
    <row r="474" spans="1:14">
      <c r="A474" s="1" t="str">
        <f>equip.xml!A478</f>
        <v>20302050</v>
      </c>
      <c r="B474" s="1">
        <f>equip.xml!B478</f>
        <v>1</v>
      </c>
      <c r="C474" s="1" t="str">
        <f>equip.xml!C478</f>
        <v>红木长弓</v>
      </c>
      <c r="D474" s="1" t="str">
        <f>equip.xml!D478</f>
        <v>主手武器</v>
      </c>
      <c r="E474" s="1">
        <f>equip.xml!E478</f>
        <v>5</v>
      </c>
      <c r="F474" s="1">
        <f>equip.xml!F478</f>
        <v>2</v>
      </c>
      <c r="G474" s="1">
        <f>equip.xml!G478</f>
        <v>30</v>
      </c>
      <c r="H474" s="1" t="str">
        <f>equip.xml!H478</f>
        <v>2,1002</v>
      </c>
      <c r="I474" s="1">
        <f>equip.xml!J478</f>
        <v>10</v>
      </c>
      <c r="J474" s="1">
        <f>equip.xml!K478</f>
        <v>0</v>
      </c>
      <c r="K474" s="1">
        <f>equip.xml!L478</f>
        <v>0</v>
      </c>
      <c r="L474" s="1" t="str">
        <f>equip.xml!M478</f>
        <v>103_275_275,104_550_550</v>
      </c>
      <c r="M474" s="7" t="str">
        <f>equip.xml!Q478</f>
        <v>equipment/1211.png</v>
      </c>
      <c r="N474" t="str">
        <f>equip.xml!P478</f>
        <v>10000_1002_30000,30000_30001_1,30000_30002_1,30000_30003_1</v>
      </c>
    </row>
    <row r="475" spans="1:14">
      <c r="A475" s="1" t="str">
        <f>equip.xml!A479</f>
        <v>20302051</v>
      </c>
      <c r="B475" s="1">
        <f>equip.xml!B479</f>
        <v>1</v>
      </c>
      <c r="C475" s="1" t="str">
        <f>equip.xml!C479</f>
        <v>灼热弓</v>
      </c>
      <c r="D475" s="1" t="str">
        <f>equip.xml!D479</f>
        <v>主手武器</v>
      </c>
      <c r="E475" s="1">
        <f>equip.xml!E479</f>
        <v>5</v>
      </c>
      <c r="F475" s="1">
        <f>equip.xml!F479</f>
        <v>2</v>
      </c>
      <c r="G475" s="1">
        <f>equip.xml!G479</f>
        <v>30</v>
      </c>
      <c r="H475" s="1" t="str">
        <f>equip.xml!H479</f>
        <v>2,1002</v>
      </c>
      <c r="I475" s="1">
        <f>equip.xml!J479</f>
        <v>10</v>
      </c>
      <c r="J475" s="1">
        <f>equip.xml!K479</f>
        <v>0</v>
      </c>
      <c r="K475" s="1">
        <f>equip.xml!L479</f>
        <v>0</v>
      </c>
      <c r="L475" s="1" t="str">
        <f>equip.xml!M479</f>
        <v>103_342_342,104_684_684</v>
      </c>
      <c r="M475" s="7" t="str">
        <f>equip.xml!Q479</f>
        <v>equipment/1212.png</v>
      </c>
      <c r="N475" t="str">
        <f>equip.xml!P479</f>
        <v>10000_1002_30000,30000_30001_1,30000_30002_1,30000_30003_1</v>
      </c>
    </row>
    <row r="476" spans="1:14">
      <c r="A476" s="1" t="str">
        <f>equip.xml!A480</f>
        <v>20302060</v>
      </c>
      <c r="B476" s="1">
        <f>equip.xml!B480</f>
        <v>1</v>
      </c>
      <c r="C476" s="1" t="str">
        <f>equip.xml!C480</f>
        <v>倒刺箭筒</v>
      </c>
      <c r="D476" s="1" t="str">
        <f>equip.xml!D480</f>
        <v>副手武器</v>
      </c>
      <c r="E476" s="1">
        <f>equip.xml!E480</f>
        <v>6</v>
      </c>
      <c r="F476" s="1">
        <f>equip.xml!F480</f>
        <v>2</v>
      </c>
      <c r="G476" s="1">
        <f>equip.xml!G480</f>
        <v>30</v>
      </c>
      <c r="H476" s="1" t="str">
        <f>equip.xml!H480</f>
        <v>2,1002</v>
      </c>
      <c r="I476" s="1">
        <f>equip.xml!J480</f>
        <v>10</v>
      </c>
      <c r="J476" s="1">
        <f>equip.xml!K480</f>
        <v>0</v>
      </c>
      <c r="K476" s="1">
        <f>equip.xml!L480</f>
        <v>0</v>
      </c>
      <c r="L476" s="1" t="str">
        <f>equip.xml!M480</f>
        <v>108_368_368</v>
      </c>
      <c r="M476" s="7" t="str">
        <f>equip.xml!Q480</f>
        <v>equipment/2207.png</v>
      </c>
      <c r="N476" t="str">
        <f>equip.xml!P480</f>
        <v>10000_1002_30000,30000_30001_1,30000_30002_1,30000_30003_1</v>
      </c>
    </row>
    <row r="477" spans="1:14">
      <c r="A477" s="1" t="str">
        <f>equip.xml!A481</f>
        <v>20302061</v>
      </c>
      <c r="B477" s="1">
        <f>equip.xml!B481</f>
        <v>0</v>
      </c>
      <c r="C477" s="1" t="str">
        <f>equip.xml!C481</f>
        <v>崇圣箭筒</v>
      </c>
      <c r="D477" s="1" t="str">
        <f>equip.xml!D481</f>
        <v>副手武器</v>
      </c>
      <c r="E477" s="1">
        <f>equip.xml!E481</f>
        <v>6</v>
      </c>
      <c r="F477" s="1">
        <f>equip.xml!F481</f>
        <v>2</v>
      </c>
      <c r="G477" s="1">
        <f>equip.xml!G481</f>
        <v>30</v>
      </c>
      <c r="H477" s="1" t="str">
        <f>equip.xml!H481</f>
        <v>2,1002</v>
      </c>
      <c r="I477" s="1">
        <f>equip.xml!J481</f>
        <v>10</v>
      </c>
      <c r="J477" s="1">
        <f>equip.xml!K481</f>
        <v>0</v>
      </c>
      <c r="K477" s="1">
        <f>equip.xml!L481</f>
        <v>0</v>
      </c>
      <c r="L477" s="1" t="str">
        <f>equip.xml!M481</f>
        <v>108_491_491</v>
      </c>
      <c r="M477" s="7" t="str">
        <f>equip.xml!Q481</f>
        <v>equipment/2208.png</v>
      </c>
      <c r="N477" t="str">
        <f>equip.xml!P481</f>
        <v>10000_1002_30000,30000_30001_1,30000_30002_1,30000_30003_1</v>
      </c>
    </row>
    <row r="478" spans="1:14">
      <c r="A478" s="1" t="str">
        <f>equip.xml!A482</f>
        <v>20303050</v>
      </c>
      <c r="B478" s="1">
        <f>equip.xml!B482</f>
        <v>1</v>
      </c>
      <c r="C478" s="1" t="str">
        <f>equip.xml!C482</f>
        <v>荒骨法杖</v>
      </c>
      <c r="D478" s="1" t="str">
        <f>equip.xml!D482</f>
        <v>主手武器</v>
      </c>
      <c r="E478" s="1">
        <f>equip.xml!E482</f>
        <v>5</v>
      </c>
      <c r="F478" s="1">
        <f>equip.xml!F482</f>
        <v>2</v>
      </c>
      <c r="G478" s="1">
        <f>equip.xml!G482</f>
        <v>30</v>
      </c>
      <c r="H478" s="1" t="str">
        <f>equip.xml!H482</f>
        <v>3,1003</v>
      </c>
      <c r="I478" s="1">
        <f>equip.xml!J482</f>
        <v>10</v>
      </c>
      <c r="J478" s="1">
        <f>equip.xml!K482</f>
        <v>0</v>
      </c>
      <c r="K478" s="1">
        <f>equip.xml!L482</f>
        <v>0</v>
      </c>
      <c r="L478" s="1" t="str">
        <f>equip.xml!M482</f>
        <v>103_275_275,104_550_550</v>
      </c>
      <c r="M478" s="7" t="str">
        <f>equip.xml!Q482</f>
        <v>equipment/1312.png</v>
      </c>
      <c r="N478" t="str">
        <f>equip.xml!P482</f>
        <v>10000_1002_30000,30000_30001_1,30000_30002_1,30000_30003_1</v>
      </c>
    </row>
    <row r="479" spans="1:14">
      <c r="A479" s="1" t="str">
        <f>equip.xml!A483</f>
        <v>20303051</v>
      </c>
      <c r="B479" s="1">
        <f>equip.xml!B483</f>
        <v>1</v>
      </c>
      <c r="C479" s="1" t="str">
        <f>equip.xml!C483</f>
        <v>新月法杖</v>
      </c>
      <c r="D479" s="1" t="str">
        <f>equip.xml!D483</f>
        <v>主手武器</v>
      </c>
      <c r="E479" s="1">
        <f>equip.xml!E483</f>
        <v>5</v>
      </c>
      <c r="F479" s="1">
        <f>equip.xml!F483</f>
        <v>2</v>
      </c>
      <c r="G479" s="1">
        <f>equip.xml!G483</f>
        <v>30</v>
      </c>
      <c r="H479" s="1" t="str">
        <f>equip.xml!H483</f>
        <v>3,1003</v>
      </c>
      <c r="I479" s="1">
        <f>equip.xml!J483</f>
        <v>10</v>
      </c>
      <c r="J479" s="1">
        <f>equip.xml!K483</f>
        <v>0</v>
      </c>
      <c r="K479" s="1">
        <f>equip.xml!L483</f>
        <v>0</v>
      </c>
      <c r="L479" s="1" t="str">
        <f>equip.xml!M483</f>
        <v>103_342_342,104_684_684</v>
      </c>
      <c r="M479" s="7" t="str">
        <f>equip.xml!Q483</f>
        <v>equipment/1313.png</v>
      </c>
      <c r="N479" t="str">
        <f>equip.xml!P483</f>
        <v>10000_1002_30000,30000_30001_1,30000_30002_1,30000_30003_1</v>
      </c>
    </row>
    <row r="480" spans="1:14">
      <c r="A480" s="1" t="str">
        <f>equip.xml!A484</f>
        <v>20303060</v>
      </c>
      <c r="B480" s="1">
        <f>equip.xml!B484</f>
        <v>1</v>
      </c>
      <c r="C480" s="1" t="str">
        <f>equip.xml!C484</f>
        <v>神圣典籍</v>
      </c>
      <c r="D480" s="1" t="str">
        <f>equip.xml!D484</f>
        <v>副手武器</v>
      </c>
      <c r="E480" s="1">
        <f>equip.xml!E484</f>
        <v>6</v>
      </c>
      <c r="F480" s="1">
        <f>equip.xml!F484</f>
        <v>2</v>
      </c>
      <c r="G480" s="1">
        <f>equip.xml!G484</f>
        <v>30</v>
      </c>
      <c r="H480" s="1" t="str">
        <f>equip.xml!H484</f>
        <v>3,1003</v>
      </c>
      <c r="I480" s="1">
        <f>equip.xml!J484</f>
        <v>10</v>
      </c>
      <c r="J480" s="1">
        <f>equip.xml!K484</f>
        <v>0</v>
      </c>
      <c r="K480" s="1">
        <f>equip.xml!L484</f>
        <v>0</v>
      </c>
      <c r="L480" s="1" t="str">
        <f>equip.xml!M484</f>
        <v>102_880_880</v>
      </c>
      <c r="M480" s="7" t="str">
        <f>equip.xml!Q484</f>
        <v>equipment/2307.png</v>
      </c>
      <c r="N480" t="str">
        <f>equip.xml!P484</f>
        <v>10000_1002_30000,30000_30001_1,30000_30002_1,30000_30003_1</v>
      </c>
    </row>
    <row r="481" spans="1:14">
      <c r="A481" s="1" t="str">
        <f>equip.xml!A485</f>
        <v>20303061</v>
      </c>
      <c r="B481" s="1">
        <f>equip.xml!B485</f>
        <v>0</v>
      </c>
      <c r="C481" s="1" t="str">
        <f>equip.xml!C485</f>
        <v>召唤之书</v>
      </c>
      <c r="D481" s="1" t="str">
        <f>equip.xml!D485</f>
        <v>副手武器</v>
      </c>
      <c r="E481" s="1">
        <f>equip.xml!E485</f>
        <v>6</v>
      </c>
      <c r="F481" s="1">
        <f>equip.xml!F485</f>
        <v>2</v>
      </c>
      <c r="G481" s="1">
        <f>equip.xml!G485</f>
        <v>30</v>
      </c>
      <c r="H481" s="1" t="str">
        <f>equip.xml!H485</f>
        <v>3,1003</v>
      </c>
      <c r="I481" s="1">
        <f>equip.xml!J485</f>
        <v>10</v>
      </c>
      <c r="J481" s="1">
        <f>equip.xml!K485</f>
        <v>0</v>
      </c>
      <c r="K481" s="1">
        <f>equip.xml!L485</f>
        <v>0</v>
      </c>
      <c r="L481" s="1" t="str">
        <f>equip.xml!M485</f>
        <v>102_944_944</v>
      </c>
      <c r="M481" s="7" t="str">
        <f>equip.xml!Q485</f>
        <v>equipment/2308.png</v>
      </c>
      <c r="N481" t="str">
        <f>equip.xml!P485</f>
        <v>10000_1002_30000,30000_30001_1,30000_30002_1,30000_30003_1</v>
      </c>
    </row>
    <row r="482" spans="1:14">
      <c r="A482" s="1" t="str">
        <f>equip.xml!A486</f>
        <v>20300040</v>
      </c>
      <c r="B482" s="1">
        <f>equip.xml!B486</f>
        <v>1</v>
      </c>
      <c r="C482" s="1" t="str">
        <f>equip.xml!C486</f>
        <v>水滴胸铠</v>
      </c>
      <c r="D482" s="1" t="str">
        <f>equip.xml!D486</f>
        <v>胸甲</v>
      </c>
      <c r="E482" s="1">
        <f>equip.xml!E486</f>
        <v>4</v>
      </c>
      <c r="F482" s="1">
        <f>equip.xml!F486</f>
        <v>2</v>
      </c>
      <c r="G482" s="1">
        <f>equip.xml!G486</f>
        <v>30</v>
      </c>
      <c r="H482" s="1">
        <f>equip.xml!H486</f>
        <v>0</v>
      </c>
      <c r="I482" s="1">
        <f>equip.xml!J486</f>
        <v>10</v>
      </c>
      <c r="J482" s="1">
        <f>equip.xml!K486</f>
        <v>0</v>
      </c>
      <c r="K482" s="1">
        <f>equip.xml!L486</f>
        <v>0</v>
      </c>
      <c r="L482" s="1" t="str">
        <f>equip.xml!M486</f>
        <v>105_216_216</v>
      </c>
      <c r="M482" s="7" t="str">
        <f>equip.xml!Q486</f>
        <v>equipment/5008.png</v>
      </c>
      <c r="N482" t="str">
        <f>equip.xml!P486</f>
        <v>10000_1002_30000,30000_30001_1,30000_30002_1,30000_30003_1</v>
      </c>
    </row>
    <row r="483" spans="1:14">
      <c r="A483" s="1" t="str">
        <f>equip.xml!A487</f>
        <v>20300041</v>
      </c>
      <c r="B483" s="1">
        <f>equip.xml!B487</f>
        <v>1</v>
      </c>
      <c r="C483" s="1" t="str">
        <f>equip.xml!C487</f>
        <v>防卫者外套</v>
      </c>
      <c r="D483" s="1" t="str">
        <f>equip.xml!D487</f>
        <v>胸甲</v>
      </c>
      <c r="E483" s="1">
        <f>equip.xml!E487</f>
        <v>4</v>
      </c>
      <c r="F483" s="1">
        <f>equip.xml!F487</f>
        <v>2</v>
      </c>
      <c r="G483" s="1">
        <f>equip.xml!G487</f>
        <v>30</v>
      </c>
      <c r="H483" s="1">
        <f>equip.xml!H487</f>
        <v>0</v>
      </c>
      <c r="I483" s="1">
        <f>equip.xml!J487</f>
        <v>10</v>
      </c>
      <c r="J483" s="1">
        <f>equip.xml!K487</f>
        <v>0</v>
      </c>
      <c r="K483" s="1">
        <f>equip.xml!L487</f>
        <v>0</v>
      </c>
      <c r="L483" s="1" t="str">
        <f>equip.xml!M487</f>
        <v>105_247_247</v>
      </c>
      <c r="M483" s="7" t="str">
        <f>equip.xml!Q487</f>
        <v>equipment/5009.png</v>
      </c>
      <c r="N483" t="str">
        <f>equip.xml!P487</f>
        <v>10000_1002_30000,30000_30001_1,30000_30002_1,30000_30003_1</v>
      </c>
    </row>
    <row r="484" spans="1:14">
      <c r="A484" s="1" t="str">
        <f>equip.xml!A488</f>
        <v>20300070</v>
      </c>
      <c r="B484" s="1">
        <f>equip.xml!B488</f>
        <v>1</v>
      </c>
      <c r="C484" s="1" t="str">
        <f>equip.xml!C488</f>
        <v>游侠护腿</v>
      </c>
      <c r="D484" s="1" t="str">
        <f>equip.xml!D488</f>
        <v>护腿</v>
      </c>
      <c r="E484" s="1">
        <f>equip.xml!E488</f>
        <v>7</v>
      </c>
      <c r="F484" s="1">
        <f>equip.xml!F488</f>
        <v>2</v>
      </c>
      <c r="G484" s="1">
        <f>equip.xml!G488</f>
        <v>30</v>
      </c>
      <c r="H484" s="1">
        <f>equip.xml!H488</f>
        <v>0</v>
      </c>
      <c r="I484" s="1">
        <f>equip.xml!J488</f>
        <v>10</v>
      </c>
      <c r="J484" s="1">
        <f>equip.xml!K488</f>
        <v>0</v>
      </c>
      <c r="K484" s="1">
        <f>equip.xml!L488</f>
        <v>0</v>
      </c>
      <c r="L484" s="1" t="str">
        <f>equip.xml!M488</f>
        <v>105_216_216</v>
      </c>
      <c r="M484" s="7" t="str">
        <f>equip.xml!Q488</f>
        <v>equipment/7007.png</v>
      </c>
      <c r="N484" t="str">
        <f>equip.xml!P488</f>
        <v>10000_1002_30000,30000_30001_1,30000_30002_1,30000_30003_1</v>
      </c>
    </row>
    <row r="485" spans="1:14">
      <c r="A485" s="1" t="str">
        <f>equip.xml!A489</f>
        <v>20300071</v>
      </c>
      <c r="B485" s="1">
        <f>equip.xml!B489</f>
        <v>1</v>
      </c>
      <c r="C485" s="1" t="str">
        <f>equip.xml!C489</f>
        <v>逐风护腿</v>
      </c>
      <c r="D485" s="1" t="str">
        <f>equip.xml!D489</f>
        <v>护腿</v>
      </c>
      <c r="E485" s="1">
        <f>equip.xml!E489</f>
        <v>7</v>
      </c>
      <c r="F485" s="1">
        <f>equip.xml!F489</f>
        <v>2</v>
      </c>
      <c r="G485" s="1">
        <f>equip.xml!G489</f>
        <v>30</v>
      </c>
      <c r="H485" s="1">
        <f>equip.xml!H489</f>
        <v>0</v>
      </c>
      <c r="I485" s="1">
        <f>equip.xml!J489</f>
        <v>10</v>
      </c>
      <c r="J485" s="1">
        <f>equip.xml!K489</f>
        <v>0</v>
      </c>
      <c r="K485" s="1">
        <f>equip.xml!L489</f>
        <v>0</v>
      </c>
      <c r="L485" s="1" t="str">
        <f>equip.xml!M489</f>
        <v>105_247_247</v>
      </c>
      <c r="M485" s="7" t="str">
        <f>equip.xml!Q489</f>
        <v>equipment/7008.png</v>
      </c>
      <c r="N485" t="str">
        <f>equip.xml!P489</f>
        <v>10000_1002_30000,30000_30001_1,30000_30002_1,30000_30003_1</v>
      </c>
    </row>
    <row r="486" spans="1:14">
      <c r="A486" s="1" t="str">
        <f>equip.xml!A490</f>
        <v>20350010</v>
      </c>
      <c r="B486" s="1">
        <f>equip.xml!B490</f>
        <v>1</v>
      </c>
      <c r="C486" s="1" t="str">
        <f>equip.xml!C490</f>
        <v>镶带头盔</v>
      </c>
      <c r="D486" s="1" t="str">
        <f>equip.xml!D490</f>
        <v>头盔</v>
      </c>
      <c r="E486" s="1">
        <f>equip.xml!E490</f>
        <v>1</v>
      </c>
      <c r="F486" s="1">
        <f>equip.xml!F490</f>
        <v>2</v>
      </c>
      <c r="G486" s="1">
        <f>equip.xml!G490</f>
        <v>35</v>
      </c>
      <c r="H486" s="1">
        <f>equip.xml!H490</f>
        <v>0</v>
      </c>
      <c r="I486" s="1">
        <f>equip.xml!J490</f>
        <v>10</v>
      </c>
      <c r="J486" s="1">
        <f>equip.xml!K490</f>
        <v>0</v>
      </c>
      <c r="K486" s="1">
        <f>equip.xml!L490</f>
        <v>0</v>
      </c>
      <c r="L486" s="1" t="str">
        <f>equip.xml!M490</f>
        <v>106_596_596</v>
      </c>
      <c r="M486" s="7" t="str">
        <f>equip.xml!Q490</f>
        <v>equipment/3006.png</v>
      </c>
      <c r="N486" t="str">
        <f>equip.xml!P490</f>
        <v>10000_1002_35000,30000_30001_1,30000_30002_1,30000_30003_1</v>
      </c>
    </row>
    <row r="487" spans="1:14">
      <c r="A487" s="1" t="str">
        <f>equip.xml!A491</f>
        <v>20350020</v>
      </c>
      <c r="B487" s="1">
        <f>equip.xml!B491</f>
        <v>1</v>
      </c>
      <c r="C487" s="1" t="str">
        <f>equip.xml!C491</f>
        <v>烈焰指环</v>
      </c>
      <c r="D487" s="1" t="str">
        <f>equip.xml!D491</f>
        <v>戒指</v>
      </c>
      <c r="E487" s="1">
        <f>equip.xml!E491</f>
        <v>2</v>
      </c>
      <c r="F487" s="1">
        <f>equip.xml!F491</f>
        <v>2</v>
      </c>
      <c r="G487" s="1">
        <f>equip.xml!G491</f>
        <v>35</v>
      </c>
      <c r="H487" s="1">
        <f>equip.xml!H491</f>
        <v>0</v>
      </c>
      <c r="I487" s="1">
        <f>equip.xml!J491</f>
        <v>10</v>
      </c>
      <c r="J487" s="1">
        <f>equip.xml!K491</f>
        <v>0</v>
      </c>
      <c r="K487" s="1">
        <f>equip.xml!L491</f>
        <v>0</v>
      </c>
      <c r="L487" s="1" t="str">
        <f>equip.xml!M491</f>
        <v>102_590_590</v>
      </c>
      <c r="M487" s="7" t="str">
        <f>equip.xml!Q491</f>
        <v>equipment/14006.png</v>
      </c>
      <c r="N487" t="str">
        <f>equip.xml!P491</f>
        <v>10000_1002_35000,30000_30001_1,30000_30002_1,30000_30003_1</v>
      </c>
    </row>
    <row r="488" spans="1:14">
      <c r="A488" s="1" t="str">
        <f>equip.xml!A492</f>
        <v>20350030</v>
      </c>
      <c r="B488" s="1">
        <f>equip.xml!B492</f>
        <v>1</v>
      </c>
      <c r="C488" s="1" t="str">
        <f>equip.xml!C492</f>
        <v>斗士腰带</v>
      </c>
      <c r="D488" s="1" t="str">
        <f>equip.xml!D492</f>
        <v>腰带</v>
      </c>
      <c r="E488" s="1">
        <f>equip.xml!E492</f>
        <v>3</v>
      </c>
      <c r="F488" s="1">
        <f>equip.xml!F492</f>
        <v>2</v>
      </c>
      <c r="G488" s="1">
        <f>equip.xml!G492</f>
        <v>35</v>
      </c>
      <c r="H488" s="1">
        <f>equip.xml!H492</f>
        <v>0</v>
      </c>
      <c r="I488" s="1">
        <f>equip.xml!J492</f>
        <v>10</v>
      </c>
      <c r="J488" s="1">
        <f>equip.xml!K492</f>
        <v>0</v>
      </c>
      <c r="K488" s="1">
        <f>equip.xml!L492</f>
        <v>0</v>
      </c>
      <c r="L488" s="1" t="str">
        <f>equip.xml!M492</f>
        <v>101_4900_4900</v>
      </c>
      <c r="M488" s="7" t="str">
        <f>equip.xml!Q492</f>
        <v>equipment/6006.png</v>
      </c>
      <c r="N488" t="str">
        <f>equip.xml!P492</f>
        <v>10000_1002_35000,30000_30001_1,30000_30002_1,30000_30003_1</v>
      </c>
    </row>
    <row r="489" spans="1:14">
      <c r="A489" s="1" t="str">
        <f>equip.xml!A493</f>
        <v>20350080</v>
      </c>
      <c r="B489" s="1">
        <f>equip.xml!B493</f>
        <v>1</v>
      </c>
      <c r="C489" s="1" t="str">
        <f>equip.xml!C493</f>
        <v>混乱之靴</v>
      </c>
      <c r="D489" s="1" t="str">
        <f>equip.xml!D493</f>
        <v>鞋子</v>
      </c>
      <c r="E489" s="1">
        <f>equip.xml!E493</f>
        <v>8</v>
      </c>
      <c r="F489" s="1">
        <f>equip.xml!F493</f>
        <v>2</v>
      </c>
      <c r="G489" s="1">
        <f>equip.xml!G493</f>
        <v>35</v>
      </c>
      <c r="H489" s="1">
        <f>equip.xml!H493</f>
        <v>0</v>
      </c>
      <c r="I489" s="1">
        <f>equip.xml!J493</f>
        <v>10</v>
      </c>
      <c r="J489" s="1">
        <f>equip.xml!K493</f>
        <v>0</v>
      </c>
      <c r="K489" s="1">
        <f>equip.xml!L493</f>
        <v>0</v>
      </c>
      <c r="L489" s="1" t="str">
        <f>equip.xml!M493</f>
        <v>110_82_82</v>
      </c>
      <c r="M489" s="7" t="str">
        <f>equip.xml!Q493</f>
        <v>equipment/8006.png</v>
      </c>
      <c r="N489" t="str">
        <f>equip.xml!P493</f>
        <v>10000_1002_35000,30000_30001_1,30000_30002_1,30000_30003_1</v>
      </c>
    </row>
    <row r="490" spans="1:14">
      <c r="A490" s="1" t="str">
        <f>equip.xml!A494</f>
        <v>20350090</v>
      </c>
      <c r="B490" s="1">
        <f>equip.xml!B494</f>
        <v>1</v>
      </c>
      <c r="C490" s="1" t="str">
        <f>equip.xml!C494</f>
        <v>激励手甲</v>
      </c>
      <c r="D490" s="1" t="str">
        <f>equip.xml!D494</f>
        <v>手套</v>
      </c>
      <c r="E490" s="1">
        <f>equip.xml!E494</f>
        <v>9</v>
      </c>
      <c r="F490" s="1">
        <f>equip.xml!F494</f>
        <v>2</v>
      </c>
      <c r="G490" s="1">
        <f>equip.xml!G494</f>
        <v>35</v>
      </c>
      <c r="H490" s="1">
        <f>equip.xml!H494</f>
        <v>0</v>
      </c>
      <c r="I490" s="1">
        <f>equip.xml!J494</f>
        <v>10</v>
      </c>
      <c r="J490" s="1">
        <f>equip.xml!K494</f>
        <v>0</v>
      </c>
      <c r="K490" s="1">
        <f>equip.xml!L494</f>
        <v>0</v>
      </c>
      <c r="L490" s="1" t="str">
        <f>equip.xml!M494</f>
        <v>108_588_588</v>
      </c>
      <c r="M490" s="7" t="str">
        <f>equip.xml!Q494</f>
        <v>equipment/10006.png</v>
      </c>
      <c r="N490" t="str">
        <f>equip.xml!P494</f>
        <v>10000_1002_35000,30000_30001_1,30000_30002_1,30000_30003_1</v>
      </c>
    </row>
    <row r="491" spans="1:14">
      <c r="A491" s="1" t="str">
        <f>equip.xml!A495</f>
        <v>20350100</v>
      </c>
      <c r="B491" s="1">
        <f>equip.xml!B495</f>
        <v>1</v>
      </c>
      <c r="C491" s="1" t="str">
        <f>equip.xml!C495</f>
        <v>苍蓝挂坠</v>
      </c>
      <c r="D491" s="1" t="str">
        <f>equip.xml!D495</f>
        <v>项链</v>
      </c>
      <c r="E491" s="1">
        <f>equip.xml!E495</f>
        <v>10</v>
      </c>
      <c r="F491" s="1">
        <f>equip.xml!F495</f>
        <v>2</v>
      </c>
      <c r="G491" s="1">
        <f>equip.xml!G495</f>
        <v>35</v>
      </c>
      <c r="H491" s="1">
        <f>equip.xml!H495</f>
        <v>0</v>
      </c>
      <c r="I491" s="1">
        <f>equip.xml!J495</f>
        <v>10</v>
      </c>
      <c r="J491" s="1">
        <f>equip.xml!K495</f>
        <v>0</v>
      </c>
      <c r="K491" s="1">
        <f>equip.xml!L495</f>
        <v>0</v>
      </c>
      <c r="L491" s="1" t="str">
        <f>equip.xml!M495</f>
        <v>107_542_542</v>
      </c>
      <c r="M491" s="7" t="str">
        <f>equip.xml!Q495</f>
        <v>equipment/12006.png</v>
      </c>
      <c r="N491" t="str">
        <f>equip.xml!P495</f>
        <v>10000_1002_35000,30000_30001_1,30000_30002_1,30000_30003_1</v>
      </c>
    </row>
    <row r="492" spans="1:14">
      <c r="A492" s="1" t="str">
        <f>equip.xml!A496</f>
        <v>20351050</v>
      </c>
      <c r="B492" s="1">
        <f>equip.xml!B496</f>
        <v>1</v>
      </c>
      <c r="C492" s="1" t="str">
        <f>equip.xml!C496</f>
        <v>水晶剑</v>
      </c>
      <c r="D492" s="1" t="str">
        <f>equip.xml!D496</f>
        <v>主手武器</v>
      </c>
      <c r="E492" s="1">
        <f>equip.xml!E496</f>
        <v>5</v>
      </c>
      <c r="F492" s="1">
        <f>equip.xml!F496</f>
        <v>2</v>
      </c>
      <c r="G492" s="1">
        <f>equip.xml!G496</f>
        <v>35</v>
      </c>
      <c r="H492" s="1" t="str">
        <f>equip.xml!H496</f>
        <v>1,1001</v>
      </c>
      <c r="I492" s="1">
        <f>equip.xml!J496</f>
        <v>10</v>
      </c>
      <c r="J492" s="1">
        <f>equip.xml!K496</f>
        <v>0</v>
      </c>
      <c r="K492" s="1">
        <f>equip.xml!L496</f>
        <v>0</v>
      </c>
      <c r="L492" s="1" t="str">
        <f>equip.xml!M496</f>
        <v>103_443_443,104_886_886</v>
      </c>
      <c r="M492" s="7" t="str">
        <f>equip.xml!Q496</f>
        <v>equipment/1114.png</v>
      </c>
      <c r="N492" t="str">
        <f>equip.xml!P496</f>
        <v>10000_1002_35000,30000_30001_1,30000_30002_1,30000_30003_1</v>
      </c>
    </row>
    <row r="493" spans="1:14">
      <c r="A493" s="1" t="str">
        <f>equip.xml!A497</f>
        <v>20351051</v>
      </c>
      <c r="B493" s="1">
        <f>equip.xml!B497</f>
        <v>0</v>
      </c>
      <c r="C493" s="1" t="str">
        <f>equip.xml!C497</f>
        <v>军刀</v>
      </c>
      <c r="D493" s="1" t="str">
        <f>equip.xml!D497</f>
        <v>主手武器</v>
      </c>
      <c r="E493" s="1">
        <f>equip.xml!E497</f>
        <v>5</v>
      </c>
      <c r="F493" s="1">
        <f>equip.xml!F497</f>
        <v>2</v>
      </c>
      <c r="G493" s="1">
        <f>equip.xml!G497</f>
        <v>35</v>
      </c>
      <c r="H493" s="1" t="str">
        <f>equip.xml!H497</f>
        <v>1,1001</v>
      </c>
      <c r="I493" s="1">
        <f>equip.xml!J497</f>
        <v>10</v>
      </c>
      <c r="J493" s="1">
        <f>equip.xml!K497</f>
        <v>0</v>
      </c>
      <c r="K493" s="1">
        <f>equip.xml!L497</f>
        <v>0</v>
      </c>
      <c r="L493" s="1" t="str">
        <f>equip.xml!M497</f>
        <v>103_533_533,104_1066_1066</v>
      </c>
      <c r="M493" s="7" t="str">
        <f>equip.xml!Q497</f>
        <v>equipment/1101.png</v>
      </c>
      <c r="N493" t="str">
        <f>equip.xml!P497</f>
        <v>10000_1002_35000,30000_30001_1,30000_30002_1,30000_30003_1</v>
      </c>
    </row>
    <row r="494" spans="1:14">
      <c r="A494" s="1" t="str">
        <f>equip.xml!A498</f>
        <v>20351060</v>
      </c>
      <c r="B494" s="1">
        <f>equip.xml!B498</f>
        <v>1</v>
      </c>
      <c r="C494" s="1" t="str">
        <f>equip.xml!C498</f>
        <v>符记盾牌</v>
      </c>
      <c r="D494" s="1" t="str">
        <f>equip.xml!D498</f>
        <v>副手武器</v>
      </c>
      <c r="E494" s="1">
        <f>equip.xml!E498</f>
        <v>6</v>
      </c>
      <c r="F494" s="1">
        <f>equip.xml!F498</f>
        <v>2</v>
      </c>
      <c r="G494" s="1">
        <f>equip.xml!G498</f>
        <v>35</v>
      </c>
      <c r="H494" s="1" t="str">
        <f>equip.xml!H498</f>
        <v>1,1001</v>
      </c>
      <c r="I494" s="1">
        <f>equip.xml!J498</f>
        <v>10</v>
      </c>
      <c r="J494" s="1">
        <f>equip.xml!K498</f>
        <v>0</v>
      </c>
      <c r="K494" s="1">
        <f>equip.xml!L498</f>
        <v>0</v>
      </c>
      <c r="L494" s="1" t="str">
        <f>equip.xml!M498</f>
        <v>105_676_676</v>
      </c>
      <c r="M494" s="7" t="str">
        <f>equip.xml!Q498</f>
        <v>equipment/2108.png</v>
      </c>
      <c r="N494" t="str">
        <f>equip.xml!P498</f>
        <v>10000_1002_35000,30000_30001_1,30000_30002_1,30000_30003_1</v>
      </c>
    </row>
    <row r="495" spans="1:14">
      <c r="A495" s="1" t="str">
        <f>equip.xml!A499</f>
        <v>20351061</v>
      </c>
      <c r="B495" s="1">
        <f>equip.xml!B499</f>
        <v>1</v>
      </c>
      <c r="C495" s="1" t="str">
        <f>equip.xml!C499</f>
        <v>秩序盾牌</v>
      </c>
      <c r="D495" s="1" t="str">
        <f>equip.xml!D499</f>
        <v>副手武器</v>
      </c>
      <c r="E495" s="1">
        <f>equip.xml!E499</f>
        <v>6</v>
      </c>
      <c r="F495" s="1">
        <f>equip.xml!F499</f>
        <v>2</v>
      </c>
      <c r="G495" s="1">
        <f>equip.xml!G499</f>
        <v>35</v>
      </c>
      <c r="H495" s="1" t="str">
        <f>equip.xml!H499</f>
        <v>1,1001</v>
      </c>
      <c r="I495" s="1">
        <f>equip.xml!J499</f>
        <v>10</v>
      </c>
      <c r="J495" s="1">
        <f>equip.xml!K499</f>
        <v>0</v>
      </c>
      <c r="K495" s="1">
        <f>equip.xml!L499</f>
        <v>0</v>
      </c>
      <c r="L495" s="1" t="str">
        <f>equip.xml!M499</f>
        <v>105_758_758</v>
      </c>
      <c r="M495" s="7" t="str">
        <f>equip.xml!Q499</f>
        <v>equipment/2117.png</v>
      </c>
      <c r="N495" t="str">
        <f>equip.xml!P499</f>
        <v>10000_1002_35000,30000_30001_1,30000_30002_1,30000_30003_1</v>
      </c>
    </row>
    <row r="496" spans="1:14">
      <c r="A496" s="1" t="str">
        <f>equip.xml!A500</f>
        <v>20352050</v>
      </c>
      <c r="B496" s="1">
        <f>equip.xml!B500</f>
        <v>1</v>
      </c>
      <c r="C496" s="1" t="str">
        <f>equip.xml!C500</f>
        <v>风语者弯弓</v>
      </c>
      <c r="D496" s="1" t="str">
        <f>equip.xml!D500</f>
        <v>主手武器</v>
      </c>
      <c r="E496" s="1">
        <f>equip.xml!E500</f>
        <v>5</v>
      </c>
      <c r="F496" s="1">
        <f>equip.xml!F500</f>
        <v>2</v>
      </c>
      <c r="G496" s="1">
        <f>equip.xml!G500</f>
        <v>35</v>
      </c>
      <c r="H496" s="1" t="str">
        <f>equip.xml!H500</f>
        <v>2,1002</v>
      </c>
      <c r="I496" s="1">
        <f>equip.xml!J500</f>
        <v>10</v>
      </c>
      <c r="J496" s="1">
        <f>equip.xml!K500</f>
        <v>0</v>
      </c>
      <c r="K496" s="1">
        <f>equip.xml!L500</f>
        <v>0</v>
      </c>
      <c r="L496" s="1" t="str">
        <f>equip.xml!M500</f>
        <v>103_443_443,104_886_886</v>
      </c>
      <c r="M496" s="7" t="str">
        <f>equip.xml!Q500</f>
        <v>equipment/1213.png</v>
      </c>
      <c r="N496" t="str">
        <f>equip.xml!P500</f>
        <v>10000_1002_35000,30000_30001_1,30000_30002_1,30000_30003_1</v>
      </c>
    </row>
    <row r="497" spans="1:14">
      <c r="A497" s="1" t="str">
        <f>equip.xml!A501</f>
        <v>20352051</v>
      </c>
      <c r="B497" s="1">
        <f>equip.xml!B501</f>
        <v>0</v>
      </c>
      <c r="C497" s="1" t="str">
        <f>equip.xml!C501</f>
        <v>棘木弓</v>
      </c>
      <c r="D497" s="1" t="str">
        <f>equip.xml!D501</f>
        <v>主手武器</v>
      </c>
      <c r="E497" s="1">
        <f>equip.xml!E501</f>
        <v>5</v>
      </c>
      <c r="F497" s="1">
        <f>equip.xml!F501</f>
        <v>2</v>
      </c>
      <c r="G497" s="1">
        <f>equip.xml!G501</f>
        <v>35</v>
      </c>
      <c r="H497" s="1" t="str">
        <f>equip.xml!H501</f>
        <v>2,1002</v>
      </c>
      <c r="I497" s="1">
        <f>equip.xml!J501</f>
        <v>10</v>
      </c>
      <c r="J497" s="1">
        <f>equip.xml!K501</f>
        <v>0</v>
      </c>
      <c r="K497" s="1">
        <f>equip.xml!L501</f>
        <v>0</v>
      </c>
      <c r="L497" s="1" t="str">
        <f>equip.xml!M501</f>
        <v>103_533_533,104_1066_1066</v>
      </c>
      <c r="M497" s="7" t="str">
        <f>equip.xml!Q501</f>
        <v>equipment/1201.png</v>
      </c>
      <c r="N497" t="str">
        <f>equip.xml!P501</f>
        <v>10000_1002_35000,30000_30001_1,30000_30002_1,30000_30003_1</v>
      </c>
    </row>
    <row r="498" spans="1:14">
      <c r="A498" s="1" t="str">
        <f>equip.xml!A502</f>
        <v>20352060</v>
      </c>
      <c r="B498" s="1">
        <f>equip.xml!B502</f>
        <v>1</v>
      </c>
      <c r="C498" s="1" t="str">
        <f>equip.xml!C502</f>
        <v>游侠箭筒</v>
      </c>
      <c r="D498" s="1" t="str">
        <f>equip.xml!D502</f>
        <v>副手武器</v>
      </c>
      <c r="E498" s="1">
        <f>equip.xml!E502</f>
        <v>6</v>
      </c>
      <c r="F498" s="1">
        <f>equip.xml!F502</f>
        <v>2</v>
      </c>
      <c r="G498" s="1">
        <f>equip.xml!G502</f>
        <v>35</v>
      </c>
      <c r="H498" s="1" t="str">
        <f>equip.xml!H502</f>
        <v>2,1002</v>
      </c>
      <c r="I498" s="1">
        <f>equip.xml!J502</f>
        <v>10</v>
      </c>
      <c r="J498" s="1">
        <f>equip.xml!K502</f>
        <v>0</v>
      </c>
      <c r="K498" s="1">
        <f>equip.xml!L502</f>
        <v>0</v>
      </c>
      <c r="L498" s="1" t="str">
        <f>equip.xml!M502</f>
        <v>108_676_676</v>
      </c>
      <c r="M498" s="7" t="str">
        <f>equip.xml!Q502</f>
        <v>equipment/2208.png</v>
      </c>
      <c r="N498" t="str">
        <f>equip.xml!P502</f>
        <v>10000_1002_35000,30000_30001_1,30000_30002_1,30000_30003_1</v>
      </c>
    </row>
    <row r="499" spans="1:14">
      <c r="A499" s="1" t="str">
        <f>equip.xml!A503</f>
        <v>20352061</v>
      </c>
      <c r="B499" s="1">
        <f>equip.xml!B503</f>
        <v>1</v>
      </c>
      <c r="C499" s="1" t="str">
        <f>equip.xml!C503</f>
        <v>风行者箭筒</v>
      </c>
      <c r="D499" s="1" t="str">
        <f>equip.xml!D503</f>
        <v>副手武器</v>
      </c>
      <c r="E499" s="1">
        <f>equip.xml!E503</f>
        <v>6</v>
      </c>
      <c r="F499" s="1">
        <f>equip.xml!F503</f>
        <v>2</v>
      </c>
      <c r="G499" s="1">
        <f>equip.xml!G503</f>
        <v>35</v>
      </c>
      <c r="H499" s="1" t="str">
        <f>equip.xml!H503</f>
        <v>2,1002</v>
      </c>
      <c r="I499" s="1">
        <f>equip.xml!J503</f>
        <v>10</v>
      </c>
      <c r="J499" s="1">
        <f>equip.xml!K503</f>
        <v>0</v>
      </c>
      <c r="K499" s="1">
        <f>equip.xml!L503</f>
        <v>0</v>
      </c>
      <c r="L499" s="1" t="str">
        <f>equip.xml!M503</f>
        <v>108_758_758</v>
      </c>
      <c r="M499" s="7" t="str">
        <f>equip.xml!Q503</f>
        <v>equipment/2201.png</v>
      </c>
      <c r="N499" t="str">
        <f>equip.xml!P503</f>
        <v>10000_1002_35000,30000_30001_1,30000_30002_1,30000_30003_1</v>
      </c>
    </row>
    <row r="500" spans="1:14">
      <c r="A500" s="1" t="str">
        <f>equip.xml!A504</f>
        <v>20353050</v>
      </c>
      <c r="B500" s="1">
        <f>equip.xml!B504</f>
        <v>1</v>
      </c>
      <c r="C500" s="1" t="str">
        <f>equip.xml!C504</f>
        <v>聚能之杖</v>
      </c>
      <c r="D500" s="1" t="str">
        <f>equip.xml!D504</f>
        <v>主手武器</v>
      </c>
      <c r="E500" s="1">
        <f>equip.xml!E504</f>
        <v>5</v>
      </c>
      <c r="F500" s="1">
        <f>equip.xml!F504</f>
        <v>2</v>
      </c>
      <c r="G500" s="1">
        <f>equip.xml!G504</f>
        <v>35</v>
      </c>
      <c r="H500" s="1" t="str">
        <f>equip.xml!H504</f>
        <v>3,1003</v>
      </c>
      <c r="I500" s="1">
        <f>equip.xml!J504</f>
        <v>10</v>
      </c>
      <c r="J500" s="1">
        <f>equip.xml!K504</f>
        <v>0</v>
      </c>
      <c r="K500" s="1">
        <f>equip.xml!L504</f>
        <v>0</v>
      </c>
      <c r="L500" s="1" t="str">
        <f>equip.xml!M504</f>
        <v>103_443_443,104_886_886</v>
      </c>
      <c r="M500" s="7" t="str">
        <f>equip.xml!Q504</f>
        <v>equipment/1314.png</v>
      </c>
      <c r="N500" t="str">
        <f>equip.xml!P504</f>
        <v>10000_1002_35000,30000_30001_1,30000_30002_1,30000_30003_1</v>
      </c>
    </row>
    <row r="501" spans="1:14">
      <c r="A501" s="1" t="str">
        <f>equip.xml!A505</f>
        <v>20353051</v>
      </c>
      <c r="B501" s="1">
        <f>equip.xml!B505</f>
        <v>0</v>
      </c>
      <c r="C501" s="1" t="str">
        <f>equip.xml!C505</f>
        <v>学徒法杖</v>
      </c>
      <c r="D501" s="1" t="str">
        <f>equip.xml!D505</f>
        <v>主手武器</v>
      </c>
      <c r="E501" s="1">
        <f>equip.xml!E505</f>
        <v>5</v>
      </c>
      <c r="F501" s="1">
        <f>equip.xml!F505</f>
        <v>2</v>
      </c>
      <c r="G501" s="1">
        <f>equip.xml!G505</f>
        <v>35</v>
      </c>
      <c r="H501" s="1" t="str">
        <f>equip.xml!H505</f>
        <v>3,1003</v>
      </c>
      <c r="I501" s="1">
        <f>equip.xml!J505</f>
        <v>10</v>
      </c>
      <c r="J501" s="1">
        <f>equip.xml!K505</f>
        <v>0</v>
      </c>
      <c r="K501" s="1">
        <f>equip.xml!L505</f>
        <v>0</v>
      </c>
      <c r="L501" s="1" t="str">
        <f>equip.xml!M505</f>
        <v>103_533_533,104_1066_1066</v>
      </c>
      <c r="M501" s="7" t="str">
        <f>equip.xml!Q505</f>
        <v>equipment/1301.png</v>
      </c>
      <c r="N501" t="str">
        <f>equip.xml!P505</f>
        <v>10000_1002_35000,30000_30001_1,30000_30002_1,30000_30003_1</v>
      </c>
    </row>
    <row r="502" spans="1:14">
      <c r="A502" s="1" t="str">
        <f>equip.xml!A506</f>
        <v>20353060</v>
      </c>
      <c r="B502" s="1">
        <f>equip.xml!B506</f>
        <v>1</v>
      </c>
      <c r="C502" s="1" t="str">
        <f>equip.xml!C506</f>
        <v>召唤魔典</v>
      </c>
      <c r="D502" s="1" t="str">
        <f>equip.xml!D506</f>
        <v>副手武器</v>
      </c>
      <c r="E502" s="1">
        <f>equip.xml!E506</f>
        <v>6</v>
      </c>
      <c r="F502" s="1">
        <f>equip.xml!F506</f>
        <v>2</v>
      </c>
      <c r="G502" s="1">
        <f>equip.xml!G506</f>
        <v>35</v>
      </c>
      <c r="H502" s="1" t="str">
        <f>equip.xml!H506</f>
        <v>3,1003</v>
      </c>
      <c r="I502" s="1">
        <f>equip.xml!J506</f>
        <v>10</v>
      </c>
      <c r="J502" s="1">
        <f>equip.xml!K506</f>
        <v>0</v>
      </c>
      <c r="K502" s="1">
        <f>equip.xml!L506</f>
        <v>0</v>
      </c>
      <c r="L502" s="1" t="str">
        <f>equip.xml!M506</f>
        <v>102_1040_1040</v>
      </c>
      <c r="M502" s="7" t="str">
        <f>equip.xml!Q506</f>
        <v>equipment/2308.png</v>
      </c>
      <c r="N502" t="str">
        <f>equip.xml!P506</f>
        <v>10000_1002_35000,30000_30001_1,30000_30002_1,30000_30003_1</v>
      </c>
    </row>
    <row r="503" spans="1:14">
      <c r="A503" s="1" t="str">
        <f>equip.xml!A507</f>
        <v>20353061</v>
      </c>
      <c r="B503" s="1">
        <f>equip.xml!B507</f>
        <v>1</v>
      </c>
      <c r="C503" s="1" t="str">
        <f>equip.xml!C507</f>
        <v>大法师之书</v>
      </c>
      <c r="D503" s="1" t="str">
        <f>equip.xml!D507</f>
        <v>副手武器</v>
      </c>
      <c r="E503" s="1">
        <f>equip.xml!E507</f>
        <v>6</v>
      </c>
      <c r="F503" s="1">
        <f>equip.xml!F507</f>
        <v>2</v>
      </c>
      <c r="G503" s="1">
        <f>equip.xml!G507</f>
        <v>35</v>
      </c>
      <c r="H503" s="1" t="str">
        <f>equip.xml!H507</f>
        <v>3,1003</v>
      </c>
      <c r="I503" s="1">
        <f>equip.xml!J507</f>
        <v>10</v>
      </c>
      <c r="J503" s="1">
        <f>equip.xml!K507</f>
        <v>0</v>
      </c>
      <c r="K503" s="1">
        <f>equip.xml!L507</f>
        <v>0</v>
      </c>
      <c r="L503" s="1" t="str">
        <f>equip.xml!M507</f>
        <v>102_1120_1120</v>
      </c>
      <c r="M503" s="7" t="str">
        <f>equip.xml!Q507</f>
        <v>equipment/2314.png</v>
      </c>
      <c r="N503" t="str">
        <f>equip.xml!P507</f>
        <v>10000_1002_35000,30000_30001_1,30000_30002_1,30000_30003_1</v>
      </c>
    </row>
    <row r="504" spans="1:14">
      <c r="A504" s="1" t="str">
        <f>equip.xml!A508</f>
        <v>20350040</v>
      </c>
      <c r="B504" s="1">
        <f>equip.xml!B508</f>
        <v>1</v>
      </c>
      <c r="C504" s="1" t="str">
        <f>equip.xml!C508</f>
        <v>蛮兽胸甲</v>
      </c>
      <c r="D504" s="1" t="str">
        <f>equip.xml!D508</f>
        <v>胸甲</v>
      </c>
      <c r="E504" s="1">
        <f>equip.xml!E508</f>
        <v>4</v>
      </c>
      <c r="F504" s="1">
        <f>equip.xml!F508</f>
        <v>2</v>
      </c>
      <c r="G504" s="1">
        <f>equip.xml!G508</f>
        <v>35</v>
      </c>
      <c r="H504" s="1">
        <f>equip.xml!H508</f>
        <v>0</v>
      </c>
      <c r="I504" s="1">
        <f>equip.xml!J508</f>
        <v>10</v>
      </c>
      <c r="J504" s="1">
        <f>equip.xml!K508</f>
        <v>0</v>
      </c>
      <c r="K504" s="1">
        <f>equip.xml!L508</f>
        <v>0</v>
      </c>
      <c r="L504" s="1" t="str">
        <f>equip.xml!M508</f>
        <v>105_293_293</v>
      </c>
      <c r="M504" s="7" t="str">
        <f>equip.xml!Q508</f>
        <v>equipment/5011.png</v>
      </c>
      <c r="N504" t="str">
        <f>equip.xml!P508</f>
        <v>10000_1002_35000,30000_30001_1,30000_30002_1,30000_30003_1</v>
      </c>
    </row>
    <row r="505" spans="1:14">
      <c r="A505" s="1" t="str">
        <f>equip.xml!A509</f>
        <v>20350041</v>
      </c>
      <c r="B505" s="1">
        <f>equip.xml!B509</f>
        <v>1</v>
      </c>
      <c r="C505" s="1" t="str">
        <f>equip.xml!C509</f>
        <v>魔鳞外衣</v>
      </c>
      <c r="D505" s="1" t="str">
        <f>equip.xml!D509</f>
        <v>胸甲</v>
      </c>
      <c r="E505" s="1">
        <f>equip.xml!E509</f>
        <v>4</v>
      </c>
      <c r="F505" s="1">
        <f>equip.xml!F509</f>
        <v>2</v>
      </c>
      <c r="G505" s="1">
        <f>equip.xml!G509</f>
        <v>35</v>
      </c>
      <c r="H505" s="1">
        <f>equip.xml!H509</f>
        <v>0</v>
      </c>
      <c r="I505" s="1">
        <f>equip.xml!J509</f>
        <v>10</v>
      </c>
      <c r="J505" s="1">
        <f>equip.xml!K509</f>
        <v>0</v>
      </c>
      <c r="K505" s="1">
        <f>equip.xml!L509</f>
        <v>0</v>
      </c>
      <c r="L505" s="1" t="str">
        <f>equip.xml!M509</f>
        <v>105_375_375</v>
      </c>
      <c r="M505" s="7" t="str">
        <f>equip.xml!Q509</f>
        <v>equipment/5001.png</v>
      </c>
      <c r="N505" t="str">
        <f>equip.xml!P509</f>
        <v>10000_1002_35000,30000_30001_1,30000_30002_1,30000_30003_1</v>
      </c>
    </row>
    <row r="506" spans="1:14">
      <c r="A506" s="1" t="str">
        <f>equip.xml!A510</f>
        <v>20350070</v>
      </c>
      <c r="B506" s="1">
        <f>equip.xml!B510</f>
        <v>1</v>
      </c>
      <c r="C506" s="1" t="str">
        <f>equip.xml!C510</f>
        <v>残忍腿甲</v>
      </c>
      <c r="D506" s="1" t="str">
        <f>equip.xml!D510</f>
        <v>护腿</v>
      </c>
      <c r="E506" s="1">
        <f>equip.xml!E510</f>
        <v>7</v>
      </c>
      <c r="F506" s="1">
        <f>equip.xml!F510</f>
        <v>2</v>
      </c>
      <c r="G506" s="1">
        <f>equip.xml!G510</f>
        <v>35</v>
      </c>
      <c r="H506" s="1">
        <f>equip.xml!H510</f>
        <v>0</v>
      </c>
      <c r="I506" s="1">
        <f>equip.xml!J510</f>
        <v>10</v>
      </c>
      <c r="J506" s="1">
        <f>equip.xml!K510</f>
        <v>0</v>
      </c>
      <c r="K506" s="1">
        <f>equip.xml!L510</f>
        <v>0</v>
      </c>
      <c r="L506" s="1" t="str">
        <f>equip.xml!M510</f>
        <v>105_293_293</v>
      </c>
      <c r="M506" s="7" t="str">
        <f>equip.xml!Q510</f>
        <v>equipment/7008.png</v>
      </c>
      <c r="N506" t="str">
        <f>equip.xml!P510</f>
        <v>10000_1002_35000,30000_30001_1,30000_30002_1,30000_30003_1</v>
      </c>
    </row>
    <row r="507" spans="1:14">
      <c r="A507" s="1" t="str">
        <f>equip.xml!A511</f>
        <v>20350071</v>
      </c>
      <c r="B507" s="1">
        <f>equip.xml!B511</f>
        <v>0</v>
      </c>
      <c r="C507" s="1" t="str">
        <f>equip.xml!C511</f>
        <v>学徒短裤</v>
      </c>
      <c r="D507" s="1" t="str">
        <f>equip.xml!D511</f>
        <v>护腿</v>
      </c>
      <c r="E507" s="1">
        <f>equip.xml!E511</f>
        <v>7</v>
      </c>
      <c r="F507" s="1">
        <f>equip.xml!F511</f>
        <v>2</v>
      </c>
      <c r="G507" s="1">
        <f>equip.xml!G511</f>
        <v>35</v>
      </c>
      <c r="H507" s="1">
        <f>equip.xml!H511</f>
        <v>0</v>
      </c>
      <c r="I507" s="1">
        <f>equip.xml!J511</f>
        <v>10</v>
      </c>
      <c r="J507" s="1">
        <f>equip.xml!K511</f>
        <v>0</v>
      </c>
      <c r="K507" s="1">
        <f>equip.xml!L511</f>
        <v>0</v>
      </c>
      <c r="L507" s="1" t="str">
        <f>equip.xml!M511</f>
        <v>105_331_331</v>
      </c>
      <c r="M507" s="7" t="str">
        <f>equip.xml!Q511</f>
        <v>equipment/7001.png</v>
      </c>
      <c r="N507" t="str">
        <f>equip.xml!P511</f>
        <v>10000_1002_35000,30000_30001_1,30000_30002_1,30000_30003_1</v>
      </c>
    </row>
    <row r="508" spans="1:14">
      <c r="A508" s="1" t="str">
        <f>equip.xml!A512</f>
        <v>20400010</v>
      </c>
      <c r="B508" s="1">
        <f>equip.xml!B512</f>
        <v>1</v>
      </c>
      <c r="C508" s="1" t="str">
        <f>equip.xml!C512</f>
        <v>烈焰头罩</v>
      </c>
      <c r="D508" s="1" t="str">
        <f>equip.xml!D512</f>
        <v>头盔</v>
      </c>
      <c r="E508" s="1">
        <f>equip.xml!E512</f>
        <v>1</v>
      </c>
      <c r="F508" s="1">
        <f>equip.xml!F512</f>
        <v>2</v>
      </c>
      <c r="G508" s="1">
        <f>equip.xml!G512</f>
        <v>40</v>
      </c>
      <c r="H508" s="1">
        <f>equip.xml!H512</f>
        <v>0</v>
      </c>
      <c r="I508" s="1">
        <f>equip.xml!J512</f>
        <v>10</v>
      </c>
      <c r="J508" s="1">
        <f>equip.xml!K512</f>
        <v>0</v>
      </c>
      <c r="K508" s="1">
        <f>equip.xml!L512</f>
        <v>0</v>
      </c>
      <c r="L508" s="1" t="str">
        <f>equip.xml!M512</f>
        <v>106_751_751</v>
      </c>
      <c r="M508" s="7" t="str">
        <f>equip.xml!Q512</f>
        <v>equipment/3007.png</v>
      </c>
      <c r="N508" t="str">
        <f>equip.xml!P512</f>
        <v>10000_1002_40000,30000_30001_1,30000_30002_1,30000_30003_1</v>
      </c>
    </row>
    <row r="509" spans="1:14">
      <c r="A509" s="1" t="str">
        <f>equip.xml!A513</f>
        <v>20400020</v>
      </c>
      <c r="B509" s="1">
        <f>equip.xml!B513</f>
        <v>1</v>
      </c>
      <c r="C509" s="1" t="str">
        <f>equip.xml!C513</f>
        <v>龙纹戒指</v>
      </c>
      <c r="D509" s="1" t="str">
        <f>equip.xml!D513</f>
        <v>戒指</v>
      </c>
      <c r="E509" s="1">
        <f>equip.xml!E513</f>
        <v>2</v>
      </c>
      <c r="F509" s="1">
        <f>equip.xml!F513</f>
        <v>2</v>
      </c>
      <c r="G509" s="1">
        <f>equip.xml!G513</f>
        <v>40</v>
      </c>
      <c r="H509" s="1">
        <f>equip.xml!H513</f>
        <v>0</v>
      </c>
      <c r="I509" s="1">
        <f>equip.xml!J513</f>
        <v>10</v>
      </c>
      <c r="J509" s="1">
        <f>equip.xml!K513</f>
        <v>0</v>
      </c>
      <c r="K509" s="1">
        <f>equip.xml!L513</f>
        <v>0</v>
      </c>
      <c r="L509" s="1" t="str">
        <f>equip.xml!M513</f>
        <v>102_740_740</v>
      </c>
      <c r="M509" s="7" t="str">
        <f>equip.xml!Q513</f>
        <v>equipment/14007.png</v>
      </c>
      <c r="N509" t="str">
        <f>equip.xml!P513</f>
        <v>10000_1002_40000,30000_30001_1,30000_30002_1,30000_30003_1</v>
      </c>
    </row>
    <row r="510" spans="1:14">
      <c r="A510" s="1" t="str">
        <f>equip.xml!A514</f>
        <v>20400030</v>
      </c>
      <c r="B510" s="1">
        <f>equip.xml!B514</f>
        <v>1</v>
      </c>
      <c r="C510" s="1" t="str">
        <f>equip.xml!C514</f>
        <v>力量腰带</v>
      </c>
      <c r="D510" s="1" t="str">
        <f>equip.xml!D514</f>
        <v>腰带</v>
      </c>
      <c r="E510" s="1">
        <f>equip.xml!E514</f>
        <v>3</v>
      </c>
      <c r="F510" s="1">
        <f>equip.xml!F514</f>
        <v>2</v>
      </c>
      <c r="G510" s="1">
        <f>equip.xml!G514</f>
        <v>40</v>
      </c>
      <c r="H510" s="1">
        <f>equip.xml!H514</f>
        <v>0</v>
      </c>
      <c r="I510" s="1">
        <f>equip.xml!J514</f>
        <v>10</v>
      </c>
      <c r="J510" s="1">
        <f>equip.xml!K514</f>
        <v>0</v>
      </c>
      <c r="K510" s="1">
        <f>equip.xml!L514</f>
        <v>0</v>
      </c>
      <c r="L510" s="1" t="str">
        <f>equip.xml!M514</f>
        <v>101_6720_6720</v>
      </c>
      <c r="M510" s="7" t="str">
        <f>equip.xml!Q514</f>
        <v>equipment/6007.png</v>
      </c>
      <c r="N510" t="str">
        <f>equip.xml!P514</f>
        <v>10000_1002_40000,30000_30001_1,30000_30002_1,30000_30003_1</v>
      </c>
    </row>
    <row r="511" spans="1:14">
      <c r="A511" s="1" t="str">
        <f>equip.xml!A515</f>
        <v>20400080</v>
      </c>
      <c r="B511" s="1">
        <f>equip.xml!B515</f>
        <v>1</v>
      </c>
      <c r="C511" s="1" t="str">
        <f>equip.xml!C515</f>
        <v>征战之靴</v>
      </c>
      <c r="D511" s="1" t="str">
        <f>equip.xml!D515</f>
        <v>鞋子</v>
      </c>
      <c r="E511" s="1">
        <f>equip.xml!E515</f>
        <v>8</v>
      </c>
      <c r="F511" s="1">
        <f>equip.xml!F515</f>
        <v>2</v>
      </c>
      <c r="G511" s="1">
        <f>equip.xml!G515</f>
        <v>40</v>
      </c>
      <c r="H511" s="1">
        <f>equip.xml!H515</f>
        <v>0</v>
      </c>
      <c r="I511" s="1">
        <f>equip.xml!J515</f>
        <v>10</v>
      </c>
      <c r="J511" s="1">
        <f>equip.xml!K515</f>
        <v>0</v>
      </c>
      <c r="K511" s="1">
        <f>equip.xml!L515</f>
        <v>0</v>
      </c>
      <c r="L511" s="1" t="str">
        <f>equip.xml!M515</f>
        <v>110_108_108</v>
      </c>
      <c r="M511" s="7" t="str">
        <f>equip.xml!Q515</f>
        <v>equipment/8007.png</v>
      </c>
      <c r="N511" t="str">
        <f>equip.xml!P515</f>
        <v>10000_1002_40000,30000_30001_1,30000_30002_1,30000_30003_1</v>
      </c>
    </row>
    <row r="512" spans="1:14">
      <c r="A512" s="1" t="str">
        <f>equip.xml!A516</f>
        <v>20400090</v>
      </c>
      <c r="B512" s="1">
        <f>equip.xml!B516</f>
        <v>1</v>
      </c>
      <c r="C512" s="1" t="str">
        <f>equip.xml!C516</f>
        <v>重拳手套</v>
      </c>
      <c r="D512" s="1" t="str">
        <f>equip.xml!D516</f>
        <v>手套</v>
      </c>
      <c r="E512" s="1">
        <f>equip.xml!E516</f>
        <v>9</v>
      </c>
      <c r="F512" s="1">
        <f>equip.xml!F516</f>
        <v>2</v>
      </c>
      <c r="G512" s="1">
        <f>equip.xml!G516</f>
        <v>40</v>
      </c>
      <c r="H512" s="1">
        <f>equip.xml!H516</f>
        <v>0</v>
      </c>
      <c r="I512" s="1">
        <f>equip.xml!J516</f>
        <v>10</v>
      </c>
      <c r="J512" s="1">
        <f>equip.xml!K516</f>
        <v>0</v>
      </c>
      <c r="K512" s="1">
        <f>equip.xml!L516</f>
        <v>0</v>
      </c>
      <c r="L512" s="1" t="str">
        <f>equip.xml!M516</f>
        <v>108_880_880</v>
      </c>
      <c r="M512" s="7" t="str">
        <f>equip.xml!Q516</f>
        <v>equipment/10007.png</v>
      </c>
      <c r="N512" t="str">
        <f>equip.xml!P516</f>
        <v>10000_1002_40000,30000_30001_1,30000_30002_1,30000_30003_1</v>
      </c>
    </row>
    <row r="513" spans="1:14">
      <c r="A513" s="1" t="str">
        <f>equip.xml!A517</f>
        <v>20400100</v>
      </c>
      <c r="B513" s="1">
        <f>equip.xml!B517</f>
        <v>0</v>
      </c>
      <c r="C513" s="1" t="str">
        <f>equip.xml!C517</f>
        <v>贝壳项链</v>
      </c>
      <c r="D513" s="1" t="str">
        <f>equip.xml!D517</f>
        <v>项链</v>
      </c>
      <c r="E513" s="1">
        <f>equip.xml!E517</f>
        <v>10</v>
      </c>
      <c r="F513" s="1">
        <f>equip.xml!F517</f>
        <v>2</v>
      </c>
      <c r="G513" s="1">
        <f>equip.xml!G517</f>
        <v>40</v>
      </c>
      <c r="H513" s="1">
        <f>equip.xml!H517</f>
        <v>0</v>
      </c>
      <c r="I513" s="1">
        <f>equip.xml!J517</f>
        <v>10</v>
      </c>
      <c r="J513" s="1">
        <f>equip.xml!K517</f>
        <v>0</v>
      </c>
      <c r="K513" s="1">
        <f>equip.xml!L517</f>
        <v>0</v>
      </c>
      <c r="L513" s="1" t="str">
        <f>equip.xml!M517</f>
        <v>107_542_542</v>
      </c>
      <c r="M513" s="7" t="str">
        <f>equip.xml!Q517</f>
        <v>equipment/12001.png</v>
      </c>
      <c r="N513" t="str">
        <f>equip.xml!P517</f>
        <v>10000_1002_40000,30000_30001_1,30000_30002_1,30000_30003_1</v>
      </c>
    </row>
    <row r="514" spans="1:14">
      <c r="A514" s="1" t="str">
        <f>equip.xml!A518</f>
        <v>20401050</v>
      </c>
      <c r="B514" s="1">
        <f>equip.xml!B518</f>
        <v>1</v>
      </c>
      <c r="C514" s="1" t="str">
        <f>equip.xml!C518</f>
        <v>魔铁巨剑</v>
      </c>
      <c r="D514" s="1" t="str">
        <f>equip.xml!D518</f>
        <v>主手武器</v>
      </c>
      <c r="E514" s="1">
        <f>equip.xml!E518</f>
        <v>5</v>
      </c>
      <c r="F514" s="1">
        <f>equip.xml!F518</f>
        <v>2</v>
      </c>
      <c r="G514" s="1">
        <f>equip.xml!G518</f>
        <v>40</v>
      </c>
      <c r="H514" s="1" t="str">
        <f>equip.xml!H518</f>
        <v>1,1001</v>
      </c>
      <c r="I514" s="1">
        <f>equip.xml!J518</f>
        <v>10</v>
      </c>
      <c r="J514" s="1">
        <f>equip.xml!K518</f>
        <v>0</v>
      </c>
      <c r="K514" s="1">
        <f>equip.xml!L518</f>
        <v>0</v>
      </c>
      <c r="L514" s="1" t="str">
        <f>equip.xml!M518</f>
        <v>103_670_670,104_1340_1340</v>
      </c>
      <c r="M514" s="7" t="str">
        <f>equip.xml!Q518</f>
        <v>equipment/1115.png</v>
      </c>
      <c r="N514" t="str">
        <f>equip.xml!P518</f>
        <v>10000_1002_40000,30000_30001_1,30000_30002_1,30000_30003_1</v>
      </c>
    </row>
    <row r="515" spans="1:14">
      <c r="A515" s="1" t="str">
        <f>equip.xml!A519</f>
        <v>20401051</v>
      </c>
      <c r="B515" s="1">
        <f>equip.xml!B519</f>
        <v>1</v>
      </c>
      <c r="C515" s="1" t="str">
        <f>equip.xml!C519</f>
        <v>破咒之刃</v>
      </c>
      <c r="D515" s="1" t="str">
        <f>equip.xml!D519</f>
        <v>主手武器</v>
      </c>
      <c r="E515" s="1">
        <f>equip.xml!E519</f>
        <v>5</v>
      </c>
      <c r="F515" s="1">
        <f>equip.xml!F519</f>
        <v>2</v>
      </c>
      <c r="G515" s="1">
        <f>equip.xml!G519</f>
        <v>40</v>
      </c>
      <c r="H515" s="1" t="str">
        <f>equip.xml!H519</f>
        <v>1,1001</v>
      </c>
      <c r="I515" s="1">
        <f>equip.xml!J519</f>
        <v>10</v>
      </c>
      <c r="J515" s="1">
        <f>equip.xml!K519</f>
        <v>0</v>
      </c>
      <c r="K515" s="1">
        <f>equip.xml!L519</f>
        <v>0</v>
      </c>
      <c r="L515" s="1" t="str">
        <f>equip.xml!M519</f>
        <v>103_743_743,104_1486_1486</v>
      </c>
      <c r="M515" s="7" t="str">
        <f>equip.xml!Q519</f>
        <v>equipment/1116.png</v>
      </c>
      <c r="N515" t="str">
        <f>equip.xml!P519</f>
        <v>10000_1002_40000,30000_30001_1,30000_30002_1,30000_30003_1</v>
      </c>
    </row>
    <row r="516" spans="1:14">
      <c r="A516" s="1" t="str">
        <f>equip.xml!A520</f>
        <v>20401060</v>
      </c>
      <c r="B516" s="1">
        <f>equip.xml!B520</f>
        <v>1</v>
      </c>
      <c r="C516" s="1" t="str">
        <f>equip.xml!C520</f>
        <v>洛阿巨盾</v>
      </c>
      <c r="D516" s="1" t="str">
        <f>equip.xml!D520</f>
        <v>副手武器</v>
      </c>
      <c r="E516" s="1">
        <f>equip.xml!E520</f>
        <v>6</v>
      </c>
      <c r="F516" s="1">
        <f>equip.xml!F520</f>
        <v>2</v>
      </c>
      <c r="G516" s="1">
        <f>equip.xml!G520</f>
        <v>40</v>
      </c>
      <c r="H516" s="1" t="str">
        <f>equip.xml!H520</f>
        <v>1,1001</v>
      </c>
      <c r="I516" s="1">
        <f>equip.xml!J520</f>
        <v>10</v>
      </c>
      <c r="J516" s="1">
        <f>equip.xml!K520</f>
        <v>0</v>
      </c>
      <c r="K516" s="1">
        <f>equip.xml!L520</f>
        <v>0</v>
      </c>
      <c r="L516" s="1" t="str">
        <f>equip.xml!M520</f>
        <v>105_880_880</v>
      </c>
      <c r="M516" s="7" t="str">
        <f>equip.xml!Q520</f>
        <v>equipment/2109.png</v>
      </c>
      <c r="N516" t="str">
        <f>equip.xml!P520</f>
        <v>10000_1002_40000,30000_30001_1,30000_30002_1,30000_30003_1</v>
      </c>
    </row>
    <row r="517" spans="1:14">
      <c r="A517" s="1" t="str">
        <f>equip.xml!A521</f>
        <v>20401061</v>
      </c>
      <c r="B517" s="1">
        <f>equip.xml!B521</f>
        <v>0</v>
      </c>
      <c r="C517" s="1" t="str">
        <f>equip.xml!C521</f>
        <v>尖头盾</v>
      </c>
      <c r="D517" s="1" t="str">
        <f>equip.xml!D521</f>
        <v>副手武器</v>
      </c>
      <c r="E517" s="1">
        <f>equip.xml!E521</f>
        <v>6</v>
      </c>
      <c r="F517" s="1">
        <f>equip.xml!F521</f>
        <v>2</v>
      </c>
      <c r="G517" s="1">
        <f>equip.xml!G521</f>
        <v>40</v>
      </c>
      <c r="H517" s="1" t="str">
        <f>equip.xml!H521</f>
        <v>1,1001</v>
      </c>
      <c r="I517" s="1">
        <f>equip.xml!J521</f>
        <v>10</v>
      </c>
      <c r="J517" s="1">
        <f>equip.xml!K521</f>
        <v>0</v>
      </c>
      <c r="K517" s="1">
        <f>equip.xml!L521</f>
        <v>0</v>
      </c>
      <c r="L517" s="1" t="str">
        <f>equip.xml!M521</f>
        <v>105_1029_1029</v>
      </c>
      <c r="M517" s="7" t="str">
        <f>equip.xml!Q521</f>
        <v>equipment/2101.png</v>
      </c>
      <c r="N517" t="str">
        <f>equip.xml!P521</f>
        <v>10000_1002_40000,30000_30001_1,30000_30002_1,30000_30003_1</v>
      </c>
    </row>
    <row r="518" spans="1:14">
      <c r="A518" s="1" t="str">
        <f>equip.xml!A522</f>
        <v>20402050</v>
      </c>
      <c r="B518" s="1">
        <f>equip.xml!B522</f>
        <v>1</v>
      </c>
      <c r="C518" s="1" t="str">
        <f>equip.xml!C522</f>
        <v>强击之弓</v>
      </c>
      <c r="D518" s="1" t="str">
        <f>equip.xml!D522</f>
        <v>主手武器</v>
      </c>
      <c r="E518" s="1">
        <f>equip.xml!E522</f>
        <v>5</v>
      </c>
      <c r="F518" s="1">
        <f>equip.xml!F522</f>
        <v>2</v>
      </c>
      <c r="G518" s="1">
        <f>equip.xml!G522</f>
        <v>40</v>
      </c>
      <c r="H518" s="1" t="str">
        <f>equip.xml!H522</f>
        <v>2,1002</v>
      </c>
      <c r="I518" s="1">
        <f>equip.xml!J522</f>
        <v>10</v>
      </c>
      <c r="J518" s="1">
        <f>equip.xml!K522</f>
        <v>0</v>
      </c>
      <c r="K518" s="1">
        <f>equip.xml!L522</f>
        <v>0</v>
      </c>
      <c r="L518" s="1" t="str">
        <f>equip.xml!M522</f>
        <v>103_670_670,104_1340_1340</v>
      </c>
      <c r="M518" s="7" t="str">
        <f>equip.xml!Q522</f>
        <v>equipment/1216.png</v>
      </c>
      <c r="N518" t="str">
        <f>equip.xml!P522</f>
        <v>10000_1002_40000,30000_30001_1,30000_30002_1,30000_30003_1</v>
      </c>
    </row>
    <row r="519" spans="1:14">
      <c r="A519" s="1" t="str">
        <f>equip.xml!A523</f>
        <v>20402051</v>
      </c>
      <c r="B519" s="1">
        <f>equip.xml!B523</f>
        <v>1</v>
      </c>
      <c r="C519" s="1" t="str">
        <f>equip.xml!C523</f>
        <v>羽月长弓</v>
      </c>
      <c r="D519" s="1" t="str">
        <f>equip.xml!D523</f>
        <v>主手武器</v>
      </c>
      <c r="E519" s="1">
        <f>equip.xml!E523</f>
        <v>5</v>
      </c>
      <c r="F519" s="1">
        <f>equip.xml!F523</f>
        <v>2</v>
      </c>
      <c r="G519" s="1">
        <f>equip.xml!G523</f>
        <v>40</v>
      </c>
      <c r="H519" s="1" t="str">
        <f>equip.xml!H523</f>
        <v>2,1002</v>
      </c>
      <c r="I519" s="1">
        <f>equip.xml!J523</f>
        <v>10</v>
      </c>
      <c r="J519" s="1">
        <f>equip.xml!K523</f>
        <v>0</v>
      </c>
      <c r="K519" s="1">
        <f>equip.xml!L523</f>
        <v>0</v>
      </c>
      <c r="L519" s="1" t="str">
        <f>equip.xml!M523</f>
        <v>103_743_743,104_1486_1486</v>
      </c>
      <c r="M519" s="7" t="str">
        <f>equip.xml!Q523</f>
        <v>equipment/1214.png</v>
      </c>
      <c r="N519" t="str">
        <f>equip.xml!P523</f>
        <v>10000_1002_40000,30000_30001_1,30000_30002_1,30000_30003_1</v>
      </c>
    </row>
    <row r="520" spans="1:14">
      <c r="A520" s="1" t="str">
        <f>equip.xml!A524</f>
        <v>20402060</v>
      </c>
      <c r="B520" s="1">
        <f>equip.xml!B524</f>
        <v>1</v>
      </c>
      <c r="C520" s="1" t="str">
        <f>equip.xml!C524</f>
        <v>风怒箭筒</v>
      </c>
      <c r="D520" s="1" t="str">
        <f>equip.xml!D524</f>
        <v>副手武器</v>
      </c>
      <c r="E520" s="1">
        <f>equip.xml!E524</f>
        <v>6</v>
      </c>
      <c r="F520" s="1">
        <f>equip.xml!F524</f>
        <v>2</v>
      </c>
      <c r="G520" s="1">
        <f>equip.xml!G524</f>
        <v>40</v>
      </c>
      <c r="H520" s="1" t="str">
        <f>equip.xml!H524</f>
        <v>2,1002</v>
      </c>
      <c r="I520" s="1">
        <f>equip.xml!J524</f>
        <v>10</v>
      </c>
      <c r="J520" s="1">
        <f>equip.xml!K524</f>
        <v>0</v>
      </c>
      <c r="K520" s="1">
        <f>equip.xml!L524</f>
        <v>0</v>
      </c>
      <c r="L520" s="1" t="str">
        <f>equip.xml!M524</f>
        <v>108_880_880</v>
      </c>
      <c r="M520" s="7" t="str">
        <f>equip.xml!Q524</f>
        <v>equipment/2209.png</v>
      </c>
      <c r="N520" t="str">
        <f>equip.xml!P524</f>
        <v>10000_1002_40000,30000_30001_1,30000_30002_1,30000_30003_1</v>
      </c>
    </row>
    <row r="521" spans="1:14">
      <c r="A521" s="1" t="str">
        <f>equip.xml!A525</f>
        <v>20402061</v>
      </c>
      <c r="B521" s="1">
        <f>equip.xml!B525</f>
        <v>0</v>
      </c>
      <c r="C521" s="1" t="str">
        <f>equip.xml!C525</f>
        <v>箭筒</v>
      </c>
      <c r="D521" s="1" t="str">
        <f>equip.xml!D525</f>
        <v>副手武器</v>
      </c>
      <c r="E521" s="1">
        <f>equip.xml!E525</f>
        <v>6</v>
      </c>
      <c r="F521" s="1">
        <f>equip.xml!F525</f>
        <v>2</v>
      </c>
      <c r="G521" s="1">
        <f>equip.xml!G525</f>
        <v>40</v>
      </c>
      <c r="H521" s="1" t="str">
        <f>equip.xml!H525</f>
        <v>2,1002</v>
      </c>
      <c r="I521" s="1">
        <f>equip.xml!J525</f>
        <v>10</v>
      </c>
      <c r="J521" s="1">
        <f>equip.xml!K525</f>
        <v>0</v>
      </c>
      <c r="K521" s="1">
        <f>equip.xml!L525</f>
        <v>0</v>
      </c>
      <c r="L521" s="1" t="str">
        <f>equip.xml!M525</f>
        <v>108_1029_1029</v>
      </c>
      <c r="M521" s="7" t="str">
        <f>equip.xml!Q525</f>
        <v>equipment/2201.png</v>
      </c>
      <c r="N521" t="str">
        <f>equip.xml!P525</f>
        <v>10000_1002_40000,30000_30001_1,30000_30002_1,30000_30003_1</v>
      </c>
    </row>
    <row r="522" spans="1:14">
      <c r="A522" s="1" t="str">
        <f>equip.xml!A526</f>
        <v>20403050</v>
      </c>
      <c r="B522" s="1">
        <f>equip.xml!B526</f>
        <v>1</v>
      </c>
      <c r="C522" s="1" t="str">
        <f>equip.xml!C526</f>
        <v>符文魔杖</v>
      </c>
      <c r="D522" s="1" t="str">
        <f>equip.xml!D526</f>
        <v>主手武器</v>
      </c>
      <c r="E522" s="1">
        <f>equip.xml!E526</f>
        <v>5</v>
      </c>
      <c r="F522" s="1">
        <f>equip.xml!F526</f>
        <v>2</v>
      </c>
      <c r="G522" s="1">
        <f>equip.xml!G526</f>
        <v>40</v>
      </c>
      <c r="H522" s="1" t="str">
        <f>equip.xml!H526</f>
        <v>3,1003</v>
      </c>
      <c r="I522" s="1">
        <f>equip.xml!J526</f>
        <v>10</v>
      </c>
      <c r="J522" s="1">
        <f>equip.xml!K526</f>
        <v>0</v>
      </c>
      <c r="K522" s="1">
        <f>equip.xml!L526</f>
        <v>0</v>
      </c>
      <c r="L522" s="1" t="str">
        <f>equip.xml!M526</f>
        <v>103_670_670,104_1340_1340</v>
      </c>
      <c r="M522" s="7" t="str">
        <f>equip.xml!Q526</f>
        <v>equipment/1317.png</v>
      </c>
      <c r="N522" t="str">
        <f>equip.xml!P526</f>
        <v>10000_1002_40000,30000_30001_1,30000_30002_1,30000_30003_1</v>
      </c>
    </row>
    <row r="523" spans="1:14">
      <c r="A523" s="1" t="str">
        <f>equip.xml!A527</f>
        <v>20403051</v>
      </c>
      <c r="B523" s="1">
        <f>equip.xml!B527</f>
        <v>1</v>
      </c>
      <c r="C523" s="1" t="str">
        <f>equip.xml!C527</f>
        <v>真理之杖</v>
      </c>
      <c r="D523" s="1" t="str">
        <f>equip.xml!D527</f>
        <v>主手武器</v>
      </c>
      <c r="E523" s="1">
        <f>equip.xml!E527</f>
        <v>5</v>
      </c>
      <c r="F523" s="1">
        <f>equip.xml!F527</f>
        <v>2</v>
      </c>
      <c r="G523" s="1">
        <f>equip.xml!G527</f>
        <v>40</v>
      </c>
      <c r="H523" s="1" t="str">
        <f>equip.xml!H527</f>
        <v>3,1003</v>
      </c>
      <c r="I523" s="1">
        <f>equip.xml!J527</f>
        <v>10</v>
      </c>
      <c r="J523" s="1">
        <f>equip.xml!K527</f>
        <v>0</v>
      </c>
      <c r="K523" s="1">
        <f>equip.xml!L527</f>
        <v>0</v>
      </c>
      <c r="L523" s="1" t="str">
        <f>equip.xml!M527</f>
        <v>103_743_743,104_1486_1486</v>
      </c>
      <c r="M523" s="7" t="str">
        <f>equip.xml!Q527</f>
        <v>equipment/1315.png</v>
      </c>
      <c r="N523" t="str">
        <f>equip.xml!P527</f>
        <v>10000_1002_40000,30000_30001_1,30000_30002_1,30000_30003_1</v>
      </c>
    </row>
    <row r="524" spans="1:14">
      <c r="A524" s="1" t="str">
        <f>equip.xml!A528</f>
        <v>20403060</v>
      </c>
      <c r="B524" s="1">
        <f>equip.xml!B528</f>
        <v>1</v>
      </c>
      <c r="C524" s="1" t="str">
        <f>equip.xml!C528</f>
        <v>附魔秘典</v>
      </c>
      <c r="D524" s="1" t="str">
        <f>equip.xml!D528</f>
        <v>副手武器</v>
      </c>
      <c r="E524" s="1">
        <f>equip.xml!E528</f>
        <v>6</v>
      </c>
      <c r="F524" s="1">
        <f>equip.xml!F528</f>
        <v>2</v>
      </c>
      <c r="G524" s="1">
        <f>equip.xml!G528</f>
        <v>40</v>
      </c>
      <c r="H524" s="1" t="str">
        <f>equip.xml!H528</f>
        <v>3,1003</v>
      </c>
      <c r="I524" s="1">
        <f>equip.xml!J528</f>
        <v>10</v>
      </c>
      <c r="J524" s="1">
        <f>equip.xml!K528</f>
        <v>0</v>
      </c>
      <c r="K524" s="1">
        <f>equip.xml!L528</f>
        <v>0</v>
      </c>
      <c r="L524" s="1" t="str">
        <f>equip.xml!M528</f>
        <v>102_1240_1240</v>
      </c>
      <c r="M524" s="7" t="str">
        <f>equip.xml!Q528</f>
        <v>equipment/2309.png</v>
      </c>
      <c r="N524" t="str">
        <f>equip.xml!P528</f>
        <v>10000_1002_40000,30000_30001_1,30000_30002_1,30000_30003_1</v>
      </c>
    </row>
    <row r="525" spans="1:14">
      <c r="A525" s="1" t="str">
        <f>equip.xml!A529</f>
        <v>20403061</v>
      </c>
      <c r="B525" s="1">
        <f>equip.xml!B529</f>
        <v>0</v>
      </c>
      <c r="C525" s="1" t="str">
        <f>equip.xml!C529</f>
        <v>法术指南</v>
      </c>
      <c r="D525" s="1" t="str">
        <f>equip.xml!D529</f>
        <v>副手武器</v>
      </c>
      <c r="E525" s="1">
        <f>equip.xml!E529</f>
        <v>6</v>
      </c>
      <c r="F525" s="1">
        <f>equip.xml!F529</f>
        <v>2</v>
      </c>
      <c r="G525" s="1">
        <f>equip.xml!G529</f>
        <v>40</v>
      </c>
      <c r="H525" s="1" t="str">
        <f>equip.xml!H529</f>
        <v>3,1003</v>
      </c>
      <c r="I525" s="1">
        <f>equip.xml!J529</f>
        <v>10</v>
      </c>
      <c r="J525" s="1">
        <f>equip.xml!K529</f>
        <v>0</v>
      </c>
      <c r="K525" s="1">
        <f>equip.xml!L529</f>
        <v>0</v>
      </c>
      <c r="L525" s="1" t="str">
        <f>equip.xml!M529</f>
        <v>102_1029_1029</v>
      </c>
      <c r="M525" s="7" t="str">
        <f>equip.xml!Q529</f>
        <v>equipment/2301.png</v>
      </c>
      <c r="N525" t="str">
        <f>equip.xml!P529</f>
        <v>10000_1002_40000,30000_30001_1,30000_30002_1,30000_30003_1</v>
      </c>
    </row>
    <row r="526" spans="1:14">
      <c r="A526" s="1" t="str">
        <f>equip.xml!A530</f>
        <v>20400040</v>
      </c>
      <c r="B526" s="1">
        <f>equip.xml!B530</f>
        <v>1</v>
      </c>
      <c r="C526" s="1" t="str">
        <f>equip.xml!C530</f>
        <v>瑟银护甲</v>
      </c>
      <c r="D526" s="1" t="str">
        <f>equip.xml!D530</f>
        <v>胸甲</v>
      </c>
      <c r="E526" s="1">
        <f>equip.xml!E530</f>
        <v>4</v>
      </c>
      <c r="F526" s="1">
        <f>equip.xml!F530</f>
        <v>2</v>
      </c>
      <c r="G526" s="1">
        <f>equip.xml!G530</f>
        <v>40</v>
      </c>
      <c r="H526" s="1">
        <f>equip.xml!H530</f>
        <v>0</v>
      </c>
      <c r="I526" s="1">
        <f>equip.xml!J530</f>
        <v>10</v>
      </c>
      <c r="J526" s="1">
        <f>equip.xml!K530</f>
        <v>0</v>
      </c>
      <c r="K526" s="1">
        <f>equip.xml!L530</f>
        <v>0</v>
      </c>
      <c r="L526" s="1" t="str">
        <f>equip.xml!M530</f>
        <v>105_497_497</v>
      </c>
      <c r="M526" s="7" t="str">
        <f>equip.xml!Q530</f>
        <v>equipment/5012.png</v>
      </c>
      <c r="N526" t="str">
        <f>equip.xml!P530</f>
        <v>10000_1002_40000,30000_30001_1,30000_30002_1,30000_30003_1</v>
      </c>
    </row>
    <row r="527" spans="1:14">
      <c r="A527" s="1" t="str">
        <f>equip.xml!A531</f>
        <v>20400041</v>
      </c>
      <c r="B527" s="1">
        <f>equip.xml!B531</f>
        <v>0</v>
      </c>
      <c r="C527" s="1" t="str">
        <f>equip.xml!C531</f>
        <v>新兵外套</v>
      </c>
      <c r="D527" s="1" t="str">
        <f>equip.xml!D531</f>
        <v>胸甲</v>
      </c>
      <c r="E527" s="1">
        <f>equip.xml!E531</f>
        <v>4</v>
      </c>
      <c r="F527" s="1">
        <f>equip.xml!F531</f>
        <v>2</v>
      </c>
      <c r="G527" s="1">
        <f>equip.xml!G531</f>
        <v>40</v>
      </c>
      <c r="H527" s="1">
        <f>equip.xml!H531</f>
        <v>0</v>
      </c>
      <c r="I527" s="1">
        <f>equip.xml!J531</f>
        <v>10</v>
      </c>
      <c r="J527" s="1">
        <f>equip.xml!K531</f>
        <v>0</v>
      </c>
      <c r="K527" s="1">
        <f>equip.xml!L531</f>
        <v>0</v>
      </c>
      <c r="L527" s="1" t="str">
        <f>equip.xml!M531</f>
        <v>105_549_549</v>
      </c>
      <c r="M527" s="7" t="str">
        <f>equip.xml!Q531</f>
        <v>equipment/5001.png</v>
      </c>
      <c r="N527" t="str">
        <f>equip.xml!P531</f>
        <v>10000_1002_40000,30000_30001_1,30000_30002_1,30000_30003_1</v>
      </c>
    </row>
    <row r="528" spans="1:14">
      <c r="A528" s="1" t="str">
        <f>equip.xml!A532</f>
        <v>20400070</v>
      </c>
      <c r="B528" s="1">
        <f>equip.xml!B532</f>
        <v>1</v>
      </c>
      <c r="C528" s="1" t="str">
        <f>equip.xml!C532</f>
        <v>巨熊护腿</v>
      </c>
      <c r="D528" s="1" t="str">
        <f>equip.xml!D532</f>
        <v>护腿</v>
      </c>
      <c r="E528" s="1">
        <f>equip.xml!E532</f>
        <v>7</v>
      </c>
      <c r="F528" s="1">
        <f>equip.xml!F532</f>
        <v>2</v>
      </c>
      <c r="G528" s="1">
        <f>equip.xml!G532</f>
        <v>40</v>
      </c>
      <c r="H528" s="1">
        <f>equip.xml!H532</f>
        <v>0</v>
      </c>
      <c r="I528" s="1">
        <f>equip.xml!J532</f>
        <v>10</v>
      </c>
      <c r="J528" s="1">
        <f>equip.xml!K532</f>
        <v>0</v>
      </c>
      <c r="K528" s="1">
        <f>equip.xml!L532</f>
        <v>0</v>
      </c>
      <c r="L528" s="1" t="str">
        <f>equip.xml!M532</f>
        <v>105_387_387</v>
      </c>
      <c r="M528" s="7" t="str">
        <f>equip.xml!Q532</f>
        <v>equipment/7009.png</v>
      </c>
      <c r="N528" t="str">
        <f>equip.xml!P532</f>
        <v>10000_1002_40000,30000_30001_1,30000_30002_1,30000_30003_1</v>
      </c>
    </row>
    <row r="529" spans="1:14">
      <c r="A529" s="1" t="str">
        <f>equip.xml!A533</f>
        <v>20400071</v>
      </c>
      <c r="B529" s="1">
        <f>equip.xml!B533</f>
        <v>0</v>
      </c>
      <c r="C529" s="1" t="str">
        <f>equip.xml!C533</f>
        <v>学徒短裤</v>
      </c>
      <c r="D529" s="1" t="str">
        <f>equip.xml!D533</f>
        <v>护腿</v>
      </c>
      <c r="E529" s="1">
        <f>equip.xml!E533</f>
        <v>7</v>
      </c>
      <c r="F529" s="1">
        <f>equip.xml!F533</f>
        <v>2</v>
      </c>
      <c r="G529" s="1">
        <f>equip.xml!G533</f>
        <v>40</v>
      </c>
      <c r="H529" s="1">
        <f>equip.xml!H533</f>
        <v>0</v>
      </c>
      <c r="I529" s="1">
        <f>equip.xml!J533</f>
        <v>10</v>
      </c>
      <c r="J529" s="1">
        <f>equip.xml!K533</f>
        <v>0</v>
      </c>
      <c r="K529" s="1">
        <f>equip.xml!L533</f>
        <v>0</v>
      </c>
      <c r="L529" s="1" t="str">
        <f>equip.xml!M533</f>
        <v>105_431_431</v>
      </c>
      <c r="M529" s="7" t="str">
        <f>equip.xml!Q533</f>
        <v>equipment/7001.png</v>
      </c>
      <c r="N529" t="str">
        <f>equip.xml!P533</f>
        <v>10000_1002_40000,30000_30001_1,30000_30002_1,30000_30003_1</v>
      </c>
    </row>
    <row r="530" spans="1:14">
      <c r="A530" s="1" t="str">
        <f>equip.xml!A534</f>
        <v>20450010</v>
      </c>
      <c r="B530" s="1">
        <f>equip.xml!B534</f>
        <v>0</v>
      </c>
      <c r="C530" s="1" t="str">
        <f>equip.xml!C534</f>
        <v>战争头盔</v>
      </c>
      <c r="D530" s="1" t="str">
        <f>equip.xml!D534</f>
        <v>头盔</v>
      </c>
      <c r="E530" s="1">
        <f>equip.xml!E534</f>
        <v>1</v>
      </c>
      <c r="F530" s="1">
        <f>equip.xml!F534</f>
        <v>2</v>
      </c>
      <c r="G530" s="1">
        <f>equip.xml!G534</f>
        <v>45</v>
      </c>
      <c r="H530" s="1">
        <f>equip.xml!H534</f>
        <v>0</v>
      </c>
      <c r="I530" s="1">
        <f>equip.xml!J534</f>
        <v>10</v>
      </c>
      <c r="J530" s="1">
        <f>equip.xml!K534</f>
        <v>0</v>
      </c>
      <c r="K530" s="1">
        <f>equip.xml!L534</f>
        <v>0</v>
      </c>
      <c r="L530" s="1" t="str">
        <f>equip.xml!M534</f>
        <v>106_751_751</v>
      </c>
      <c r="M530" s="7" t="str">
        <f>equip.xml!Q534</f>
        <v>equipment/3001.png</v>
      </c>
      <c r="N530" t="str">
        <f>equip.xml!P534</f>
        <v>10000_1002_45000,30000_30001_1,30000_30002_1,30000_30003_1</v>
      </c>
    </row>
    <row r="531" spans="1:14">
      <c r="A531" s="1" t="str">
        <f>equip.xml!A535</f>
        <v>20450020</v>
      </c>
      <c r="B531" s="1">
        <f>equip.xml!B535</f>
        <v>0</v>
      </c>
      <c r="C531" s="1" t="str">
        <f>equip.xml!C535</f>
        <v>金戒指</v>
      </c>
      <c r="D531" s="1" t="str">
        <f>equip.xml!D535</f>
        <v>戒指</v>
      </c>
      <c r="E531" s="1">
        <f>equip.xml!E535</f>
        <v>2</v>
      </c>
      <c r="F531" s="1">
        <f>equip.xml!F535</f>
        <v>2</v>
      </c>
      <c r="G531" s="1">
        <f>equip.xml!G535</f>
        <v>45</v>
      </c>
      <c r="H531" s="1">
        <f>equip.xml!H535</f>
        <v>0</v>
      </c>
      <c r="I531" s="1">
        <f>equip.xml!J535</f>
        <v>10</v>
      </c>
      <c r="J531" s="1">
        <f>equip.xml!K535</f>
        <v>0</v>
      </c>
      <c r="K531" s="1">
        <f>equip.xml!L535</f>
        <v>0</v>
      </c>
      <c r="L531" s="1" t="str">
        <f>equip.xml!M535</f>
        <v>102_740_740</v>
      </c>
      <c r="M531" s="7" t="str">
        <f>equip.xml!Q535</f>
        <v>equipment/14001.png</v>
      </c>
      <c r="N531" t="str">
        <f>equip.xml!P535</f>
        <v>10000_1002_45000,30000_30001_1,30000_30002_1,30000_30003_1</v>
      </c>
    </row>
    <row r="532" spans="1:14">
      <c r="A532" s="1" t="str">
        <f>equip.xml!A536</f>
        <v>20450030</v>
      </c>
      <c r="B532" s="1">
        <f>equip.xml!B536</f>
        <v>1</v>
      </c>
      <c r="C532" s="1" t="str">
        <f>equip.xml!C536</f>
        <v>督军腰带</v>
      </c>
      <c r="D532" s="1" t="str">
        <f>equip.xml!D536</f>
        <v>腰带</v>
      </c>
      <c r="E532" s="1">
        <f>equip.xml!E536</f>
        <v>3</v>
      </c>
      <c r="F532" s="1">
        <f>equip.xml!F536</f>
        <v>2</v>
      </c>
      <c r="G532" s="1">
        <f>equip.xml!G536</f>
        <v>45</v>
      </c>
      <c r="H532" s="1">
        <f>equip.xml!H536</f>
        <v>0</v>
      </c>
      <c r="I532" s="1">
        <f>equip.xml!J536</f>
        <v>10</v>
      </c>
      <c r="J532" s="1">
        <f>equip.xml!K536</f>
        <v>0</v>
      </c>
      <c r="K532" s="1">
        <f>equip.xml!L536</f>
        <v>0</v>
      </c>
      <c r="L532" s="1" t="str">
        <f>equip.xml!M536</f>
        <v>101_8840_8840</v>
      </c>
      <c r="M532" s="7" t="str">
        <f>equip.xml!Q536</f>
        <v>equipment/6008.png</v>
      </c>
      <c r="N532" t="str">
        <f>equip.xml!P536</f>
        <v>10000_1002_45000,30000_30001_1,30000_30002_1,30000_30003_1</v>
      </c>
    </row>
    <row r="533" spans="1:14">
      <c r="A533" s="1" t="str">
        <f>equip.xml!A537</f>
        <v>20450080</v>
      </c>
      <c r="B533" s="1">
        <f>equip.xml!B537</f>
        <v>1</v>
      </c>
      <c r="C533" s="1" t="str">
        <f>equip.xml!C537</f>
        <v>浩劫长靴</v>
      </c>
      <c r="D533" s="1" t="str">
        <f>equip.xml!D537</f>
        <v>鞋子</v>
      </c>
      <c r="E533" s="1">
        <f>equip.xml!E537</f>
        <v>8</v>
      </c>
      <c r="F533" s="1">
        <f>equip.xml!F537</f>
        <v>2</v>
      </c>
      <c r="G533" s="1">
        <f>equip.xml!G537</f>
        <v>45</v>
      </c>
      <c r="H533" s="1">
        <f>equip.xml!H537</f>
        <v>0</v>
      </c>
      <c r="I533" s="1">
        <f>equip.xml!J537</f>
        <v>10</v>
      </c>
      <c r="J533" s="1">
        <f>equip.xml!K537</f>
        <v>0</v>
      </c>
      <c r="K533" s="1">
        <f>equip.xml!L537</f>
        <v>0</v>
      </c>
      <c r="L533" s="1" t="str">
        <f>equip.xml!M537</f>
        <v>110_137_137</v>
      </c>
      <c r="M533" s="7" t="str">
        <f>equip.xml!Q537</f>
        <v>equipment/8008.png</v>
      </c>
      <c r="N533" t="str">
        <f>equip.xml!P537</f>
        <v>10000_1002_45000,30000_30001_1,30000_30002_1,30000_30003_1</v>
      </c>
    </row>
    <row r="534" spans="1:14">
      <c r="A534" s="1" t="str">
        <f>equip.xml!A538</f>
        <v>20450090</v>
      </c>
      <c r="B534" s="1">
        <f>equip.xml!B538</f>
        <v>1</v>
      </c>
      <c r="C534" s="1" t="str">
        <f>equip.xml!C538</f>
        <v>愤怒护手</v>
      </c>
      <c r="D534" s="1" t="str">
        <f>equip.xml!D538</f>
        <v>手套</v>
      </c>
      <c r="E534" s="1">
        <f>equip.xml!E538</f>
        <v>9</v>
      </c>
      <c r="F534" s="1">
        <f>equip.xml!F538</f>
        <v>2</v>
      </c>
      <c r="G534" s="1">
        <f>equip.xml!G538</f>
        <v>45</v>
      </c>
      <c r="H534" s="1">
        <f>equip.xml!H538</f>
        <v>0</v>
      </c>
      <c r="I534" s="1">
        <f>equip.xml!J538</f>
        <v>10</v>
      </c>
      <c r="J534" s="1">
        <f>equip.xml!K538</f>
        <v>0</v>
      </c>
      <c r="K534" s="1">
        <f>equip.xml!L538</f>
        <v>0</v>
      </c>
      <c r="L534" s="1" t="str">
        <f>equip.xml!M538</f>
        <v>108_1255_1255</v>
      </c>
      <c r="M534" s="7" t="str">
        <f>equip.xml!Q538</f>
        <v>equipment/10008.png</v>
      </c>
      <c r="N534" t="str">
        <f>equip.xml!P538</f>
        <v>10000_1002_45000,30000_30001_1,30000_30002_1,30000_30003_1</v>
      </c>
    </row>
    <row r="535" spans="1:14">
      <c r="A535" s="1" t="str">
        <f>equip.xml!A539</f>
        <v>20450100</v>
      </c>
      <c r="B535" s="1">
        <f>equip.xml!B539</f>
        <v>1</v>
      </c>
      <c r="C535" s="1" t="str">
        <f>equip.xml!C539</f>
        <v>新月项链</v>
      </c>
      <c r="D535" s="1" t="str">
        <f>equip.xml!D539</f>
        <v>项链</v>
      </c>
      <c r="E535" s="1">
        <f>equip.xml!E539</f>
        <v>10</v>
      </c>
      <c r="F535" s="1">
        <f>equip.xml!F539</f>
        <v>2</v>
      </c>
      <c r="G535" s="1">
        <f>equip.xml!G539</f>
        <v>45</v>
      </c>
      <c r="H535" s="1">
        <f>equip.xml!H539</f>
        <v>0</v>
      </c>
      <c r="I535" s="1">
        <f>equip.xml!J539</f>
        <v>10</v>
      </c>
      <c r="J535" s="1">
        <f>equip.xml!K539</f>
        <v>0</v>
      </c>
      <c r="K535" s="1">
        <f>equip.xml!L539</f>
        <v>0</v>
      </c>
      <c r="L535" s="1" t="str">
        <f>equip.xml!M539</f>
        <v>107_751_751</v>
      </c>
      <c r="M535" s="7" t="str">
        <f>equip.xml!Q539</f>
        <v>equipment/12007.png</v>
      </c>
      <c r="N535" t="str">
        <f>equip.xml!P539</f>
        <v>10000_1002_45000,30000_30001_1,30000_30002_1,30000_30003_1</v>
      </c>
    </row>
    <row r="536" spans="1:14">
      <c r="A536" s="1" t="str">
        <f>equip.xml!A540</f>
        <v>20451050</v>
      </c>
      <c r="B536" s="1">
        <f>equip.xml!B540</f>
        <v>1</v>
      </c>
      <c r="C536" s="1" t="str">
        <f>equip.xml!C540</f>
        <v>龙纹之刃</v>
      </c>
      <c r="D536" s="1" t="str">
        <f>equip.xml!D540</f>
        <v>主手武器</v>
      </c>
      <c r="E536" s="1">
        <f>equip.xml!E540</f>
        <v>5</v>
      </c>
      <c r="F536" s="1">
        <f>equip.xml!F540</f>
        <v>2</v>
      </c>
      <c r="G536" s="1">
        <f>equip.xml!G540</f>
        <v>45</v>
      </c>
      <c r="H536" s="1" t="str">
        <f>equip.xml!H540</f>
        <v>1,1001</v>
      </c>
      <c r="I536" s="1">
        <f>equip.xml!J540</f>
        <v>10</v>
      </c>
      <c r="J536" s="1">
        <f>equip.xml!K540</f>
        <v>0</v>
      </c>
      <c r="K536" s="1">
        <f>equip.xml!L540</f>
        <v>0</v>
      </c>
      <c r="L536" s="1" t="str">
        <f>equip.xml!M540</f>
        <v>103_854_854,104_1708_1708</v>
      </c>
      <c r="M536" s="7" t="str">
        <f>equip.xml!Q540</f>
        <v>equipment/1117.png</v>
      </c>
      <c r="N536" t="str">
        <f>equip.xml!P540</f>
        <v>10000_1002_45000,30000_30001_1,30000_30002_1,30000_30003_1</v>
      </c>
    </row>
    <row r="537" spans="1:14">
      <c r="A537" s="1" t="str">
        <f>equip.xml!A541</f>
        <v>20451051</v>
      </c>
      <c r="B537" s="1">
        <f>equip.xml!B541</f>
        <v>0</v>
      </c>
      <c r="C537" s="1" t="str">
        <f>equip.xml!C541</f>
        <v>军刀</v>
      </c>
      <c r="D537" s="1" t="str">
        <f>equip.xml!D541</f>
        <v>主手武器</v>
      </c>
      <c r="E537" s="1">
        <f>equip.xml!E541</f>
        <v>5</v>
      </c>
      <c r="F537" s="1">
        <f>equip.xml!F541</f>
        <v>2</v>
      </c>
      <c r="G537" s="1">
        <f>equip.xml!G541</f>
        <v>45</v>
      </c>
      <c r="H537" s="1" t="str">
        <f>equip.xml!H541</f>
        <v>1,1001</v>
      </c>
      <c r="I537" s="1">
        <f>equip.xml!J541</f>
        <v>10</v>
      </c>
      <c r="J537" s="1">
        <f>equip.xml!K541</f>
        <v>0</v>
      </c>
      <c r="K537" s="1">
        <f>equip.xml!L541</f>
        <v>0</v>
      </c>
      <c r="L537" s="1" t="str">
        <f>equip.xml!M541</f>
        <v>103_951_951,104_1902_1902</v>
      </c>
      <c r="M537" s="7" t="str">
        <f>equip.xml!Q541</f>
        <v>equipment/1101.png</v>
      </c>
      <c r="N537" t="str">
        <f>equip.xml!P541</f>
        <v>10000_1002_45000,30000_30001_1,30000_30002_1,30000_30003_1</v>
      </c>
    </row>
    <row r="538" spans="1:14">
      <c r="A538" s="1" t="str">
        <f>equip.xml!A542</f>
        <v>20451060</v>
      </c>
      <c r="B538" s="1">
        <f>equip.xml!B542</f>
        <v>1</v>
      </c>
      <c r="C538" s="1" t="str">
        <f>equip.xml!C542</f>
        <v>正义壁垒</v>
      </c>
      <c r="D538" s="1" t="str">
        <f>equip.xml!D542</f>
        <v>副手武器</v>
      </c>
      <c r="E538" s="1">
        <f>equip.xml!E542</f>
        <v>6</v>
      </c>
      <c r="F538" s="1">
        <f>equip.xml!F542</f>
        <v>2</v>
      </c>
      <c r="G538" s="1">
        <f>equip.xml!G542</f>
        <v>45</v>
      </c>
      <c r="H538" s="1" t="str">
        <f>equip.xml!H542</f>
        <v>1,1001</v>
      </c>
      <c r="I538" s="1">
        <f>equip.xml!J542</f>
        <v>10</v>
      </c>
      <c r="J538" s="1">
        <f>equip.xml!K542</f>
        <v>0</v>
      </c>
      <c r="K538" s="1">
        <f>equip.xml!L542</f>
        <v>0</v>
      </c>
      <c r="L538" s="1" t="str">
        <f>equip.xml!M542</f>
        <v>105_1253_1253</v>
      </c>
      <c r="M538" s="7" t="str">
        <f>equip.xml!Q542</f>
        <v>equipment/2110.png</v>
      </c>
      <c r="N538" t="str">
        <f>equip.xml!P542</f>
        <v>10000_1002_45000,30000_30001_1,30000_30002_1,30000_30003_1</v>
      </c>
    </row>
    <row r="539" spans="1:14">
      <c r="A539" s="1" t="str">
        <f>equip.xml!A543</f>
        <v>20451061</v>
      </c>
      <c r="B539" s="1">
        <f>equip.xml!B543</f>
        <v>0</v>
      </c>
      <c r="C539" s="1" t="str">
        <f>equip.xml!C543</f>
        <v>尖头盾</v>
      </c>
      <c r="D539" s="1" t="str">
        <f>equip.xml!D543</f>
        <v>副手武器</v>
      </c>
      <c r="E539" s="1">
        <f>equip.xml!E543</f>
        <v>6</v>
      </c>
      <c r="F539" s="1">
        <f>equip.xml!F543</f>
        <v>2</v>
      </c>
      <c r="G539" s="1">
        <f>equip.xml!G543</f>
        <v>45</v>
      </c>
      <c r="H539" s="1" t="str">
        <f>equip.xml!H543</f>
        <v>1,1001</v>
      </c>
      <c r="I539" s="1">
        <f>equip.xml!J543</f>
        <v>10</v>
      </c>
      <c r="J539" s="1">
        <f>equip.xml!K543</f>
        <v>0</v>
      </c>
      <c r="K539" s="1">
        <f>equip.xml!L543</f>
        <v>0</v>
      </c>
      <c r="L539" s="1" t="str">
        <f>equip.xml!M543</f>
        <v>105_1312_1312</v>
      </c>
      <c r="M539" s="7" t="str">
        <f>equip.xml!Q543</f>
        <v>equipment/2101.png</v>
      </c>
      <c r="N539" t="str">
        <f>equip.xml!P543</f>
        <v>10000_1002_45000,30000_30001_1,30000_30002_1,30000_30003_1</v>
      </c>
    </row>
    <row r="540" spans="1:14">
      <c r="A540" s="1" t="str">
        <f>equip.xml!A544</f>
        <v>20452050</v>
      </c>
      <c r="B540" s="1">
        <f>equip.xml!B544</f>
        <v>1</v>
      </c>
      <c r="C540" s="1" t="str">
        <f>equip.xml!C544</f>
        <v>霜语长弓</v>
      </c>
      <c r="D540" s="1" t="str">
        <f>equip.xml!D544</f>
        <v>主手武器</v>
      </c>
      <c r="E540" s="1">
        <f>equip.xml!E544</f>
        <v>5</v>
      </c>
      <c r="F540" s="1">
        <f>equip.xml!F544</f>
        <v>2</v>
      </c>
      <c r="G540" s="1">
        <f>equip.xml!G544</f>
        <v>45</v>
      </c>
      <c r="H540" s="1" t="str">
        <f>equip.xml!H544</f>
        <v>2,1002</v>
      </c>
      <c r="I540" s="1">
        <f>equip.xml!J544</f>
        <v>10</v>
      </c>
      <c r="J540" s="1">
        <f>equip.xml!K544</f>
        <v>0</v>
      </c>
      <c r="K540" s="1">
        <f>equip.xml!L544</f>
        <v>0</v>
      </c>
      <c r="L540" s="1" t="str">
        <f>equip.xml!M544</f>
        <v>103_854_854,104_1708_1708</v>
      </c>
      <c r="M540" s="7" t="str">
        <f>equip.xml!Q544</f>
        <v>equipment/1217.png</v>
      </c>
      <c r="N540" t="str">
        <f>equip.xml!P544</f>
        <v>10000_1002_45000,30000_30001_1,30000_30002_1,30000_30003_1</v>
      </c>
    </row>
    <row r="541" spans="1:14">
      <c r="A541" s="1" t="str">
        <f>equip.xml!A545</f>
        <v>20452051</v>
      </c>
      <c r="B541" s="1">
        <f>equip.xml!B545</f>
        <v>0</v>
      </c>
      <c r="C541" s="1" t="str">
        <f>equip.xml!C545</f>
        <v>棘木弓</v>
      </c>
      <c r="D541" s="1" t="str">
        <f>equip.xml!D545</f>
        <v>主手武器</v>
      </c>
      <c r="E541" s="1">
        <f>equip.xml!E545</f>
        <v>5</v>
      </c>
      <c r="F541" s="1">
        <f>equip.xml!F545</f>
        <v>2</v>
      </c>
      <c r="G541" s="1">
        <f>equip.xml!G545</f>
        <v>45</v>
      </c>
      <c r="H541" s="1" t="str">
        <f>equip.xml!H545</f>
        <v>2,1002</v>
      </c>
      <c r="I541" s="1">
        <f>equip.xml!J545</f>
        <v>10</v>
      </c>
      <c r="J541" s="1">
        <f>equip.xml!K545</f>
        <v>0</v>
      </c>
      <c r="K541" s="1">
        <f>equip.xml!L545</f>
        <v>0</v>
      </c>
      <c r="L541" s="1" t="str">
        <f>equip.xml!M545</f>
        <v>103_951_951,104_1902_1902</v>
      </c>
      <c r="M541" s="7" t="str">
        <f>equip.xml!Q545</f>
        <v>equipment/1201.png</v>
      </c>
      <c r="N541" t="str">
        <f>equip.xml!P545</f>
        <v>10000_1002_45000,30000_30001_1,30000_30002_1,30000_30003_1</v>
      </c>
    </row>
    <row r="542" spans="1:14">
      <c r="A542" s="1" t="str">
        <f>equip.xml!A546</f>
        <v>20452060</v>
      </c>
      <c r="B542" s="1">
        <f>equip.xml!B546</f>
        <v>1</v>
      </c>
      <c r="C542" s="1" t="str">
        <f>equip.xml!C546</f>
        <v>月沐箭筒</v>
      </c>
      <c r="D542" s="1" t="str">
        <f>equip.xml!D546</f>
        <v>副手武器</v>
      </c>
      <c r="E542" s="1">
        <f>equip.xml!E546</f>
        <v>6</v>
      </c>
      <c r="F542" s="1">
        <f>equip.xml!F546</f>
        <v>2</v>
      </c>
      <c r="G542" s="1">
        <f>equip.xml!G546</f>
        <v>45</v>
      </c>
      <c r="H542" s="1" t="str">
        <f>equip.xml!H546</f>
        <v>2,1002</v>
      </c>
      <c r="I542" s="1">
        <f>equip.xml!J546</f>
        <v>10</v>
      </c>
      <c r="J542" s="1">
        <f>equip.xml!K546</f>
        <v>0</v>
      </c>
      <c r="K542" s="1">
        <f>equip.xml!L546</f>
        <v>0</v>
      </c>
      <c r="L542" s="1" t="str">
        <f>equip.xml!M546</f>
        <v>108_1253_1253</v>
      </c>
      <c r="M542" s="7" t="str">
        <f>equip.xml!Q546</f>
        <v>equipment/2211.png</v>
      </c>
      <c r="N542" t="str">
        <f>equip.xml!P546</f>
        <v>10000_1002_45000,30000_30001_1,30000_30002_1,30000_30003_1</v>
      </c>
    </row>
    <row r="543" spans="1:14">
      <c r="A543" s="1" t="str">
        <f>equip.xml!A547</f>
        <v>20452061</v>
      </c>
      <c r="B543" s="1">
        <f>equip.xml!B547</f>
        <v>0</v>
      </c>
      <c r="C543" s="1" t="str">
        <f>equip.xml!C547</f>
        <v>箭筒</v>
      </c>
      <c r="D543" s="1" t="str">
        <f>equip.xml!D547</f>
        <v>副手武器</v>
      </c>
      <c r="E543" s="1">
        <f>equip.xml!E547</f>
        <v>6</v>
      </c>
      <c r="F543" s="1">
        <f>equip.xml!F547</f>
        <v>2</v>
      </c>
      <c r="G543" s="1">
        <f>equip.xml!G547</f>
        <v>45</v>
      </c>
      <c r="H543" s="1" t="str">
        <f>equip.xml!H547</f>
        <v>2,1002</v>
      </c>
      <c r="I543" s="1">
        <f>equip.xml!J547</f>
        <v>10</v>
      </c>
      <c r="J543" s="1">
        <f>equip.xml!K547</f>
        <v>0</v>
      </c>
      <c r="K543" s="1">
        <f>equip.xml!L547</f>
        <v>0</v>
      </c>
      <c r="L543" s="1" t="str">
        <f>equip.xml!M547</f>
        <v>108_1312_1312</v>
      </c>
      <c r="M543" s="7" t="str">
        <f>equip.xml!Q547</f>
        <v>equipment/2201.png</v>
      </c>
      <c r="N543" t="str">
        <f>equip.xml!P547</f>
        <v>10000_1002_45000,30000_30001_1,30000_30002_1,30000_30003_1</v>
      </c>
    </row>
    <row r="544" spans="1:14">
      <c r="A544" s="1" t="str">
        <f>equip.xml!A548</f>
        <v>20453050</v>
      </c>
      <c r="B544" s="1">
        <f>equip.xml!B548</f>
        <v>1</v>
      </c>
      <c r="C544" s="1" t="str">
        <f>equip.xml!C548</f>
        <v>皇权之杖</v>
      </c>
      <c r="D544" s="1" t="str">
        <f>equip.xml!D548</f>
        <v>主手武器</v>
      </c>
      <c r="E544" s="1">
        <f>equip.xml!E548</f>
        <v>5</v>
      </c>
      <c r="F544" s="1">
        <f>equip.xml!F548</f>
        <v>2</v>
      </c>
      <c r="G544" s="1">
        <f>equip.xml!G548</f>
        <v>45</v>
      </c>
      <c r="H544" s="1" t="str">
        <f>equip.xml!H548</f>
        <v>3,1003</v>
      </c>
      <c r="I544" s="1">
        <f>equip.xml!J548</f>
        <v>10</v>
      </c>
      <c r="J544" s="1">
        <f>equip.xml!K548</f>
        <v>0</v>
      </c>
      <c r="K544" s="1">
        <f>equip.xml!L548</f>
        <v>0</v>
      </c>
      <c r="L544" s="1" t="str">
        <f>equip.xml!M548</f>
        <v>103_854_854,104_1708_1708</v>
      </c>
      <c r="M544" s="7" t="str">
        <f>equip.xml!Q548</f>
        <v>equipment/1316.png</v>
      </c>
      <c r="N544" t="str">
        <f>equip.xml!P548</f>
        <v>10000_1002_45000,30000_30001_1,30000_30002_1,30000_30003_1</v>
      </c>
    </row>
    <row r="545" spans="1:14">
      <c r="A545" s="1" t="str">
        <f>equip.xml!A549</f>
        <v>20453051</v>
      </c>
      <c r="B545" s="1">
        <f>equip.xml!B549</f>
        <v>1</v>
      </c>
      <c r="C545" s="1" t="str">
        <f>equip.xml!C549</f>
        <v>圣晶权杖</v>
      </c>
      <c r="D545" s="1" t="str">
        <f>equip.xml!D549</f>
        <v>主手武器</v>
      </c>
      <c r="E545" s="1">
        <f>equip.xml!E549</f>
        <v>5</v>
      </c>
      <c r="F545" s="1">
        <f>equip.xml!F549</f>
        <v>2</v>
      </c>
      <c r="G545" s="1">
        <f>equip.xml!G549</f>
        <v>45</v>
      </c>
      <c r="H545" s="1" t="str">
        <f>equip.xml!H549</f>
        <v>3,1003</v>
      </c>
      <c r="I545" s="1">
        <f>equip.xml!J549</f>
        <v>10</v>
      </c>
      <c r="J545" s="1">
        <f>equip.xml!K549</f>
        <v>0</v>
      </c>
      <c r="K545" s="1">
        <f>equip.xml!L549</f>
        <v>0</v>
      </c>
      <c r="L545" s="1" t="str">
        <f>equip.xml!M549</f>
        <v>103_951_951,104_1902_1902</v>
      </c>
      <c r="M545" s="7" t="str">
        <f>equip.xml!Q549</f>
        <v>equipment/1318.png</v>
      </c>
      <c r="N545" t="str">
        <f>equip.xml!P549</f>
        <v>10000_1002_45000,30000_30001_1,30000_30002_1,30000_30003_1</v>
      </c>
    </row>
    <row r="546" spans="1:14">
      <c r="A546" s="1" t="str">
        <f>equip.xml!A550</f>
        <v>20453060</v>
      </c>
      <c r="B546" s="1">
        <f>equip.xml!B550</f>
        <v>1</v>
      </c>
      <c r="C546" s="1" t="str">
        <f>equip.xml!C550</f>
        <v>占卜魔典</v>
      </c>
      <c r="D546" s="1" t="str">
        <f>equip.xml!D550</f>
        <v>副手武器</v>
      </c>
      <c r="E546" s="1">
        <f>equip.xml!E550</f>
        <v>6</v>
      </c>
      <c r="F546" s="1">
        <f>equip.xml!F550</f>
        <v>2</v>
      </c>
      <c r="G546" s="1">
        <f>equip.xml!G550</f>
        <v>45</v>
      </c>
      <c r="H546" s="1" t="str">
        <f>equip.xml!H550</f>
        <v>3,1003</v>
      </c>
      <c r="I546" s="1">
        <f>equip.xml!J550</f>
        <v>10</v>
      </c>
      <c r="J546" s="1">
        <f>equip.xml!K550</f>
        <v>0</v>
      </c>
      <c r="K546" s="1">
        <f>equip.xml!L550</f>
        <v>0</v>
      </c>
      <c r="L546" s="1" t="str">
        <f>equip.xml!M550</f>
        <v>102_1320_1320</v>
      </c>
      <c r="M546" s="7" t="str">
        <f>equip.xml!Q550</f>
        <v>equipment/2310.png</v>
      </c>
      <c r="N546" t="str">
        <f>equip.xml!P550</f>
        <v>10000_1002_45000,30000_30001_1,30000_30002_1,30000_30003_1</v>
      </c>
    </row>
    <row r="547" spans="1:14">
      <c r="A547" s="1" t="str">
        <f>equip.xml!A551</f>
        <v>20453061</v>
      </c>
      <c r="B547" s="1">
        <f>equip.xml!B551</f>
        <v>0</v>
      </c>
      <c r="C547" s="1" t="str">
        <f>equip.xml!C551</f>
        <v>法术指南</v>
      </c>
      <c r="D547" s="1" t="str">
        <f>equip.xml!D551</f>
        <v>副手武器</v>
      </c>
      <c r="E547" s="1">
        <f>equip.xml!E551</f>
        <v>6</v>
      </c>
      <c r="F547" s="1">
        <f>equip.xml!F551</f>
        <v>2</v>
      </c>
      <c r="G547" s="1">
        <f>equip.xml!G551</f>
        <v>45</v>
      </c>
      <c r="H547" s="1" t="str">
        <f>equip.xml!H551</f>
        <v>3,1003</v>
      </c>
      <c r="I547" s="1">
        <f>equip.xml!J551</f>
        <v>10</v>
      </c>
      <c r="J547" s="1">
        <f>equip.xml!K551</f>
        <v>0</v>
      </c>
      <c r="K547" s="1">
        <f>equip.xml!L551</f>
        <v>0</v>
      </c>
      <c r="L547" s="1" t="str">
        <f>equip.xml!M551</f>
        <v>102_1312_1312</v>
      </c>
      <c r="M547" s="7" t="str">
        <f>equip.xml!Q551</f>
        <v>equipment/2301.png</v>
      </c>
      <c r="N547" t="str">
        <f>equip.xml!P551</f>
        <v>10000_1002_45000,30000_30001_1,30000_30002_1,30000_30003_1</v>
      </c>
    </row>
    <row r="548" spans="1:14">
      <c r="A548" s="1" t="str">
        <f>equip.xml!A552</f>
        <v>20450040</v>
      </c>
      <c r="B548" s="1">
        <f>equip.xml!B552</f>
        <v>1</v>
      </c>
      <c r="C548" s="1" t="str">
        <f>equip.xml!C552</f>
        <v>执政官胸甲</v>
      </c>
      <c r="D548" s="1" t="str">
        <f>equip.xml!D552</f>
        <v>胸甲</v>
      </c>
      <c r="E548" s="1">
        <f>equip.xml!E552</f>
        <v>4</v>
      </c>
      <c r="F548" s="1">
        <f>equip.xml!F552</f>
        <v>2</v>
      </c>
      <c r="G548" s="1">
        <f>equip.xml!G552</f>
        <v>45</v>
      </c>
      <c r="H548" s="1">
        <f>equip.xml!H552</f>
        <v>0</v>
      </c>
      <c r="I548" s="1">
        <f>equip.xml!J552</f>
        <v>10</v>
      </c>
      <c r="J548" s="1">
        <f>equip.xml!K552</f>
        <v>0</v>
      </c>
      <c r="K548" s="1">
        <f>equip.xml!L552</f>
        <v>0</v>
      </c>
      <c r="L548" s="1" t="str">
        <f>equip.xml!M552</f>
        <v>105_628_628</v>
      </c>
      <c r="M548" s="7" t="str">
        <f>equip.xml!Q552</f>
        <v>equipment/5013.png</v>
      </c>
      <c r="N548" t="str">
        <f>equip.xml!P552</f>
        <v>10000_1002_45000,30000_30001_1,30000_30002_1,30000_30003_1</v>
      </c>
    </row>
    <row r="549" spans="1:14">
      <c r="A549" s="1" t="str">
        <f>equip.xml!A553</f>
        <v>20450041</v>
      </c>
      <c r="B549" s="1">
        <f>equip.xml!B553</f>
        <v>1</v>
      </c>
      <c r="C549" s="1" t="str">
        <f>equip.xml!C553</f>
        <v>军团胸甲</v>
      </c>
      <c r="D549" s="1" t="str">
        <f>equip.xml!D553</f>
        <v>胸甲</v>
      </c>
      <c r="E549" s="1">
        <f>equip.xml!E553</f>
        <v>4</v>
      </c>
      <c r="F549" s="1">
        <f>equip.xml!F553</f>
        <v>2</v>
      </c>
      <c r="G549" s="1">
        <f>equip.xml!G553</f>
        <v>45</v>
      </c>
      <c r="H549" s="1">
        <f>equip.xml!H553</f>
        <v>0</v>
      </c>
      <c r="I549" s="1">
        <f>equip.xml!J553</f>
        <v>10</v>
      </c>
      <c r="J549" s="1">
        <f>equip.xml!K553</f>
        <v>0</v>
      </c>
      <c r="K549" s="1">
        <f>equip.xml!L553</f>
        <v>0</v>
      </c>
      <c r="L549" s="1" t="str">
        <f>equip.xml!M553</f>
        <v>105_689_689</v>
      </c>
      <c r="M549" s="7" t="str">
        <f>equip.xml!Q553</f>
        <v>equipment/5014.png</v>
      </c>
      <c r="N549" t="str">
        <f>equip.xml!P553</f>
        <v>10000_1002_45000,30000_30001_1,30000_30002_1,30000_30003_1</v>
      </c>
    </row>
    <row r="550" spans="1:14">
      <c r="A550" s="1" t="str">
        <f>equip.xml!A554</f>
        <v>20450070</v>
      </c>
      <c r="B550" s="1">
        <f>equip.xml!B554</f>
        <v>1</v>
      </c>
      <c r="C550" s="1" t="str">
        <f>equip.xml!C554</f>
        <v>冰铸腿铠</v>
      </c>
      <c r="D550" s="1" t="str">
        <f>equip.xml!D554</f>
        <v>护腿</v>
      </c>
      <c r="E550" s="1">
        <f>equip.xml!E554</f>
        <v>7</v>
      </c>
      <c r="F550" s="1">
        <f>equip.xml!F554</f>
        <v>2</v>
      </c>
      <c r="G550" s="1">
        <f>equip.xml!G554</f>
        <v>45</v>
      </c>
      <c r="H550" s="1">
        <f>equip.xml!H554</f>
        <v>0</v>
      </c>
      <c r="I550" s="1">
        <f>equip.xml!J554</f>
        <v>10</v>
      </c>
      <c r="J550" s="1">
        <f>equip.xml!K554</f>
        <v>0</v>
      </c>
      <c r="K550" s="1">
        <f>equip.xml!L554</f>
        <v>0</v>
      </c>
      <c r="L550" s="1" t="str">
        <f>equip.xml!M554</f>
        <v>105_497_497</v>
      </c>
      <c r="M550" s="7" t="str">
        <f>equip.xml!Q554</f>
        <v>equipment/7011.png</v>
      </c>
      <c r="N550" t="str">
        <f>equip.xml!P554</f>
        <v>10000_1002_45000,30000_30001_1,30000_30002_1,30000_30003_1</v>
      </c>
    </row>
    <row r="551" spans="1:14">
      <c r="A551" s="1" t="str">
        <f>equip.xml!A555</f>
        <v>20450071</v>
      </c>
      <c r="B551" s="1">
        <f>equip.xml!B555</f>
        <v>1</v>
      </c>
      <c r="C551" s="1" t="str">
        <f>equip.xml!C555</f>
        <v>织灵护腿</v>
      </c>
      <c r="D551" s="1" t="str">
        <f>equip.xml!D555</f>
        <v>护腿</v>
      </c>
      <c r="E551" s="1">
        <f>equip.xml!E555</f>
        <v>7</v>
      </c>
      <c r="F551" s="1">
        <f>equip.xml!F555</f>
        <v>2</v>
      </c>
      <c r="G551" s="1">
        <f>equip.xml!G555</f>
        <v>45</v>
      </c>
      <c r="H551" s="1">
        <f>equip.xml!H555</f>
        <v>0</v>
      </c>
      <c r="I551" s="1">
        <f>equip.xml!J555</f>
        <v>10</v>
      </c>
      <c r="J551" s="1">
        <f>equip.xml!K555</f>
        <v>0</v>
      </c>
      <c r="K551" s="1">
        <f>equip.xml!L555</f>
        <v>0</v>
      </c>
      <c r="L551" s="1" t="str">
        <f>equip.xml!M555</f>
        <v>105_549_549</v>
      </c>
      <c r="M551" s="7" t="str">
        <f>equip.xml!Q555</f>
        <v>equipment/7010.png</v>
      </c>
      <c r="N551" t="str">
        <f>equip.xml!P555</f>
        <v>10000_1002_45000,30000_30001_1,30000_30002_1,30000_30003_1</v>
      </c>
    </row>
    <row r="552" spans="1:14">
      <c r="A552" s="1" t="str">
        <f>equip.xml!A556</f>
        <v>20500010</v>
      </c>
      <c r="B552" s="1">
        <f>equip.xml!B556</f>
        <v>1</v>
      </c>
      <c r="C552" s="1" t="str">
        <f>equip.xml!C556</f>
        <v>战痕头盔</v>
      </c>
      <c r="D552" s="1" t="str">
        <f>equip.xml!D556</f>
        <v>头盔</v>
      </c>
      <c r="E552" s="1">
        <f>equip.xml!E556</f>
        <v>1</v>
      </c>
      <c r="F552" s="1">
        <f>equip.xml!F556</f>
        <v>2</v>
      </c>
      <c r="G552" s="1">
        <f>equip.xml!G556</f>
        <v>50</v>
      </c>
      <c r="H552" s="1">
        <f>equip.xml!H556</f>
        <v>0</v>
      </c>
      <c r="I552" s="1">
        <f>equip.xml!J556</f>
        <v>10</v>
      </c>
      <c r="J552" s="1">
        <f>equip.xml!K556</f>
        <v>0</v>
      </c>
      <c r="K552" s="1">
        <f>equip.xml!L556</f>
        <v>0</v>
      </c>
      <c r="L552" s="1" t="str">
        <f>equip.xml!M556</f>
        <v>106_1000_1000</v>
      </c>
      <c r="M552" s="7" t="str">
        <f>equip.xml!Q556</f>
        <v>equipment/3008.png</v>
      </c>
      <c r="N552" t="str">
        <f>equip.xml!P556</f>
        <v>10000_1002_50000,30000_30001_1,30000_30002_1,30000_30003_1</v>
      </c>
    </row>
    <row r="553" spans="1:14">
      <c r="A553" s="1" t="str">
        <f>equip.xml!A557</f>
        <v>20500020</v>
      </c>
      <c r="B553" s="1">
        <f>equip.xml!B557</f>
        <v>1</v>
      </c>
      <c r="C553" s="1" t="str">
        <f>equip.xml!C557</f>
        <v>灵风之戒</v>
      </c>
      <c r="D553" s="1" t="str">
        <f>equip.xml!D557</f>
        <v>戒指</v>
      </c>
      <c r="E553" s="1">
        <f>equip.xml!E557</f>
        <v>2</v>
      </c>
      <c r="F553" s="1">
        <f>equip.xml!F557</f>
        <v>2</v>
      </c>
      <c r="G553" s="1">
        <f>equip.xml!G557</f>
        <v>50</v>
      </c>
      <c r="H553" s="1">
        <f>equip.xml!H557</f>
        <v>0</v>
      </c>
      <c r="I553" s="1">
        <f>equip.xml!J557</f>
        <v>10</v>
      </c>
      <c r="J553" s="1">
        <f>equip.xml!K557</f>
        <v>0</v>
      </c>
      <c r="K553" s="1">
        <f>equip.xml!L557</f>
        <v>0</v>
      </c>
      <c r="L553" s="1" t="str">
        <f>equip.xml!M557</f>
        <v>102_975_975</v>
      </c>
      <c r="M553" s="7" t="str">
        <f>equip.xml!Q557</f>
        <v>equipment/14008.png</v>
      </c>
      <c r="N553" t="str">
        <f>equip.xml!P557</f>
        <v>10000_1002_50000,30000_30001_1,30000_30002_1,30000_30003_1</v>
      </c>
    </row>
    <row r="554" spans="1:14">
      <c r="A554" s="1" t="str">
        <f>equip.xml!A558</f>
        <v>20500030</v>
      </c>
      <c r="B554" s="1">
        <f>equip.xml!B558</f>
        <v>1</v>
      </c>
      <c r="C554" s="1" t="str">
        <f>equip.xml!C558</f>
        <v>生命腰带</v>
      </c>
      <c r="D554" s="1" t="str">
        <f>equip.xml!D558</f>
        <v>腰带</v>
      </c>
      <c r="E554" s="1">
        <f>equip.xml!E558</f>
        <v>3</v>
      </c>
      <c r="F554" s="1">
        <f>equip.xml!F558</f>
        <v>2</v>
      </c>
      <c r="G554" s="1">
        <f>equip.xml!G558</f>
        <v>50</v>
      </c>
      <c r="H554" s="1">
        <f>equip.xml!H558</f>
        <v>0</v>
      </c>
      <c r="I554" s="1">
        <f>equip.xml!J558</f>
        <v>10</v>
      </c>
      <c r="J554" s="1">
        <f>equip.xml!K558</f>
        <v>0</v>
      </c>
      <c r="K554" s="1">
        <f>equip.xml!L558</f>
        <v>0</v>
      </c>
      <c r="L554" s="1" t="str">
        <f>equip.xml!M558</f>
        <v>101_11560_11560</v>
      </c>
      <c r="M554" s="7" t="str">
        <f>equip.xml!Q558</f>
        <v>equipment/6009.png</v>
      </c>
      <c r="N554" t="str">
        <f>equip.xml!P558</f>
        <v>10000_1002_50000,30000_30001_1,30000_30002_1,30000_30003_1</v>
      </c>
    </row>
    <row r="555" spans="1:14">
      <c r="A555" s="1" t="str">
        <f>equip.xml!A559</f>
        <v>20500080</v>
      </c>
      <c r="B555" s="1">
        <f>equip.xml!B559</f>
        <v>0</v>
      </c>
      <c r="C555" s="1" t="str">
        <f>equip.xml!C559</f>
        <v>龙鳞护胫</v>
      </c>
      <c r="D555" s="1" t="str">
        <f>equip.xml!D559</f>
        <v>鞋子</v>
      </c>
      <c r="E555" s="1">
        <f>equip.xml!E559</f>
        <v>8</v>
      </c>
      <c r="F555" s="1">
        <f>equip.xml!F559</f>
        <v>2</v>
      </c>
      <c r="G555" s="1">
        <f>equip.xml!G559</f>
        <v>50</v>
      </c>
      <c r="H555" s="1">
        <f>equip.xml!H559</f>
        <v>0</v>
      </c>
      <c r="I555" s="1">
        <f>equip.xml!J559</f>
        <v>10</v>
      </c>
      <c r="J555" s="1">
        <f>equip.xml!K559</f>
        <v>0</v>
      </c>
      <c r="K555" s="1">
        <f>equip.xml!L559</f>
        <v>0</v>
      </c>
      <c r="L555" s="1" t="str">
        <f>equip.xml!M559</f>
        <v>110_172_172</v>
      </c>
      <c r="M555" s="7" t="str">
        <f>equip.xml!Q559</f>
        <v>equipment/8001.png</v>
      </c>
      <c r="N555" t="str">
        <f>equip.xml!P559</f>
        <v>10000_1002_50000,30000_30001_1,30000_30002_1,30000_30003_1</v>
      </c>
    </row>
    <row r="556" spans="1:14">
      <c r="A556" s="1" t="str">
        <f>equip.xml!A560</f>
        <v>20500090</v>
      </c>
      <c r="B556" s="1">
        <f>equip.xml!B560</f>
        <v>1</v>
      </c>
      <c r="C556" s="1" t="str">
        <f>equip.xml!C560</f>
        <v>血拳手套</v>
      </c>
      <c r="D556" s="1" t="str">
        <f>equip.xml!D560</f>
        <v>手套</v>
      </c>
      <c r="E556" s="1">
        <f>equip.xml!E560</f>
        <v>9</v>
      </c>
      <c r="F556" s="1">
        <f>equip.xml!F560</f>
        <v>2</v>
      </c>
      <c r="G556" s="1">
        <f>equip.xml!G560</f>
        <v>50</v>
      </c>
      <c r="H556" s="1">
        <f>equip.xml!H560</f>
        <v>0</v>
      </c>
      <c r="I556" s="1">
        <f>equip.xml!J560</f>
        <v>10</v>
      </c>
      <c r="J556" s="1">
        <f>equip.xml!K560</f>
        <v>0</v>
      </c>
      <c r="K556" s="1">
        <f>equip.xml!L560</f>
        <v>0</v>
      </c>
      <c r="L556" s="1" t="str">
        <f>equip.xml!M560</f>
        <v>108_1726_1726</v>
      </c>
      <c r="M556" s="7" t="str">
        <f>equip.xml!Q560</f>
        <v>equipment/10009.png</v>
      </c>
      <c r="N556" t="str">
        <f>equip.xml!P560</f>
        <v>10000_1002_50000,30000_30001_1,30000_30002_1,30000_30003_1</v>
      </c>
    </row>
    <row r="557" spans="1:14">
      <c r="A557" s="1" t="str">
        <f>equip.xml!A561</f>
        <v>20500100</v>
      </c>
      <c r="B557" s="1">
        <f>equip.xml!B561</f>
        <v>1</v>
      </c>
      <c r="C557" s="1" t="str">
        <f>equip.xml!C561</f>
        <v>誓言护坠</v>
      </c>
      <c r="D557" s="1" t="str">
        <f>equip.xml!D561</f>
        <v>项链</v>
      </c>
      <c r="E557" s="1">
        <f>equip.xml!E561</f>
        <v>10</v>
      </c>
      <c r="F557" s="1">
        <f>equip.xml!F561</f>
        <v>2</v>
      </c>
      <c r="G557" s="1">
        <f>equip.xml!G561</f>
        <v>50</v>
      </c>
      <c r="H557" s="1">
        <f>equip.xml!H561</f>
        <v>0</v>
      </c>
      <c r="I557" s="1">
        <f>equip.xml!J561</f>
        <v>10</v>
      </c>
      <c r="J557" s="1">
        <f>equip.xml!K561</f>
        <v>0</v>
      </c>
      <c r="K557" s="1">
        <f>equip.xml!L561</f>
        <v>0</v>
      </c>
      <c r="L557" s="1" t="str">
        <f>equip.xml!M561</f>
        <v>107_1000_1000</v>
      </c>
      <c r="M557" s="7" t="str">
        <f>equip.xml!Q561</f>
        <v>equipment/12008.png</v>
      </c>
      <c r="N557" t="str">
        <f>equip.xml!P561</f>
        <v>10000_1002_50000,30000_30001_1,30000_30002_1,30000_30003_1</v>
      </c>
    </row>
    <row r="558" spans="1:14">
      <c r="A558" s="1" t="str">
        <f>equip.xml!A562</f>
        <v>20501050</v>
      </c>
      <c r="B558" s="1">
        <f>equip.xml!B562</f>
        <v>1</v>
      </c>
      <c r="C558" s="1" t="str">
        <f>equip.xml!C562</f>
        <v>黎明之刃</v>
      </c>
      <c r="D558" s="1" t="str">
        <f>equip.xml!D562</f>
        <v>主手武器</v>
      </c>
      <c r="E558" s="1">
        <f>equip.xml!E562</f>
        <v>5</v>
      </c>
      <c r="F558" s="1">
        <f>equip.xml!F562</f>
        <v>2</v>
      </c>
      <c r="G558" s="1">
        <f>equip.xml!G562</f>
        <v>50</v>
      </c>
      <c r="H558" s="1" t="str">
        <f>equip.xml!H562</f>
        <v>1,1001</v>
      </c>
      <c r="I558" s="1">
        <f>equip.xml!J562</f>
        <v>10</v>
      </c>
      <c r="J558" s="1">
        <f>equip.xml!K562</f>
        <v>0</v>
      </c>
      <c r="K558" s="1">
        <f>equip.xml!L562</f>
        <v>0</v>
      </c>
      <c r="L558" s="1" t="str">
        <f>equip.xml!M562</f>
        <v>103_1097_1097,104_2194_2194</v>
      </c>
      <c r="M558" s="7" t="str">
        <f>equip.xml!Q562</f>
        <v>equipment/1119.png</v>
      </c>
      <c r="N558" t="str">
        <f>equip.xml!P562</f>
        <v>10000_1002_50000,30000_30001_1,30000_30002_1,30000_30003_1</v>
      </c>
    </row>
    <row r="559" spans="1:14">
      <c r="A559" s="1" t="str">
        <f>equip.xml!A563</f>
        <v>20501051</v>
      </c>
      <c r="B559" s="1">
        <f>equip.xml!B563</f>
        <v>1</v>
      </c>
      <c r="C559" s="1" t="str">
        <f>equip.xml!C563</f>
        <v>放逐者之刃</v>
      </c>
      <c r="D559" s="1" t="str">
        <f>equip.xml!D563</f>
        <v>主手武器</v>
      </c>
      <c r="E559" s="1">
        <f>equip.xml!E563</f>
        <v>5</v>
      </c>
      <c r="F559" s="1">
        <f>equip.xml!F563</f>
        <v>2</v>
      </c>
      <c r="G559" s="1">
        <f>equip.xml!G563</f>
        <v>50</v>
      </c>
      <c r="H559" s="1" t="str">
        <f>equip.xml!H563</f>
        <v>1,1001</v>
      </c>
      <c r="I559" s="1">
        <f>equip.xml!J563</f>
        <v>10</v>
      </c>
      <c r="J559" s="1">
        <f>equip.xml!K563</f>
        <v>0</v>
      </c>
      <c r="K559" s="1">
        <f>equip.xml!L563</f>
        <v>0</v>
      </c>
      <c r="L559" s="1" t="str">
        <f>equip.xml!M563</f>
        <v>103_1222_1222,104_2444_2444</v>
      </c>
      <c r="M559" s="7" t="str">
        <f>equip.xml!Q563</f>
        <v>equipment/1120.png</v>
      </c>
      <c r="N559" t="str">
        <f>equip.xml!P563</f>
        <v>10000_1002_50000,30000_30001_1,30000_30002_1,30000_30003_1</v>
      </c>
    </row>
    <row r="560" spans="1:14">
      <c r="A560" s="1" t="str">
        <f>equip.xml!A564</f>
        <v>20501060</v>
      </c>
      <c r="B560" s="1">
        <f>equip.xml!B564</f>
        <v>1</v>
      </c>
      <c r="C560" s="1" t="str">
        <f>equip.xml!C564</f>
        <v>魂祭之盾</v>
      </c>
      <c r="D560" s="1" t="str">
        <f>equip.xml!D564</f>
        <v>副手武器</v>
      </c>
      <c r="E560" s="1">
        <f>equip.xml!E564</f>
        <v>6</v>
      </c>
      <c r="F560" s="1">
        <f>equip.xml!F564</f>
        <v>2</v>
      </c>
      <c r="G560" s="1">
        <f>equip.xml!G564</f>
        <v>50</v>
      </c>
      <c r="H560" s="1" t="str">
        <f>equip.xml!H564</f>
        <v>1,1001</v>
      </c>
      <c r="I560" s="1">
        <f>equip.xml!J564</f>
        <v>10</v>
      </c>
      <c r="J560" s="1">
        <f>equip.xml!K564</f>
        <v>0</v>
      </c>
      <c r="K560" s="1">
        <f>equip.xml!L564</f>
        <v>0</v>
      </c>
      <c r="L560" s="1" t="str">
        <f>equip.xml!M564</f>
        <v>105_1401_1401</v>
      </c>
      <c r="M560" s="7" t="str">
        <f>equip.xml!Q564</f>
        <v>equipment/2111.png</v>
      </c>
      <c r="N560" t="str">
        <f>equip.xml!P564</f>
        <v>10000_1002_50000,30000_30001_1,30000_30002_1,30000_30003_1</v>
      </c>
    </row>
    <row r="561" spans="1:14">
      <c r="A561" s="1" t="str">
        <f>equip.xml!A565</f>
        <v>20501061</v>
      </c>
      <c r="B561" s="1">
        <f>equip.xml!B565</f>
        <v>1</v>
      </c>
      <c r="C561" s="1" t="str">
        <f>equip.xml!C565</f>
        <v>氪金大盾</v>
      </c>
      <c r="D561" s="1" t="str">
        <f>equip.xml!D565</f>
        <v>副手武器</v>
      </c>
      <c r="E561" s="1">
        <f>equip.xml!E565</f>
        <v>6</v>
      </c>
      <c r="F561" s="1">
        <f>equip.xml!F565</f>
        <v>2</v>
      </c>
      <c r="G561" s="1">
        <f>equip.xml!G565</f>
        <v>50</v>
      </c>
      <c r="H561" s="1" t="str">
        <f>equip.xml!H565</f>
        <v>1,1001</v>
      </c>
      <c r="I561" s="1">
        <f>equip.xml!J565</f>
        <v>10</v>
      </c>
      <c r="J561" s="1">
        <f>equip.xml!K565</f>
        <v>0</v>
      </c>
      <c r="K561" s="1">
        <f>equip.xml!L565</f>
        <v>0</v>
      </c>
      <c r="L561" s="1" t="str">
        <f>equip.xml!M565</f>
        <v>105_1633_1633</v>
      </c>
      <c r="M561" s="7" t="str">
        <f>equip.xml!Q565</f>
        <v>equipment/2112.png</v>
      </c>
      <c r="N561" t="str">
        <f>equip.xml!P565</f>
        <v>10000_1002_50000,30000_30001_1,30000_30002_1,30000_30003_1</v>
      </c>
    </row>
    <row r="562" spans="1:14">
      <c r="A562" s="1" t="str">
        <f>equip.xml!A566</f>
        <v>20502050</v>
      </c>
      <c r="B562" s="1">
        <f>equip.xml!B566</f>
        <v>1</v>
      </c>
      <c r="C562" s="1" t="str">
        <f>equip.xml!C566</f>
        <v>觅心者长弓</v>
      </c>
      <c r="D562" s="1" t="str">
        <f>equip.xml!D566</f>
        <v>主手武器</v>
      </c>
      <c r="E562" s="1">
        <f>equip.xml!E566</f>
        <v>5</v>
      </c>
      <c r="F562" s="1">
        <f>equip.xml!F566</f>
        <v>2</v>
      </c>
      <c r="G562" s="1">
        <f>equip.xml!G566</f>
        <v>50</v>
      </c>
      <c r="H562" s="1" t="str">
        <f>equip.xml!H566</f>
        <v>2,1002</v>
      </c>
      <c r="I562" s="1">
        <f>equip.xml!J566</f>
        <v>10</v>
      </c>
      <c r="J562" s="1">
        <f>equip.xml!K566</f>
        <v>0</v>
      </c>
      <c r="K562" s="1">
        <f>equip.xml!L566</f>
        <v>0</v>
      </c>
      <c r="L562" s="1" t="str">
        <f>equip.xml!M566</f>
        <v>103_1097_1097,104_2194_2194</v>
      </c>
      <c r="M562" s="7" t="str">
        <f>equip.xml!Q566</f>
        <v>equipment/1218.png</v>
      </c>
      <c r="N562" t="str">
        <f>equip.xml!P566</f>
        <v>10000_1002_50000,30000_30001_1,30000_30002_1,30000_30003_1</v>
      </c>
    </row>
    <row r="563" spans="1:14">
      <c r="A563" s="1" t="str">
        <f>equip.xml!A567</f>
        <v>20502051</v>
      </c>
      <c r="B563" s="1">
        <f>equip.xml!B567</f>
        <v>1</v>
      </c>
      <c r="C563" s="1" t="str">
        <f>equip.xml!C567</f>
        <v>阳炎之弓</v>
      </c>
      <c r="D563" s="1" t="str">
        <f>equip.xml!D567</f>
        <v>主手武器</v>
      </c>
      <c r="E563" s="1">
        <f>equip.xml!E567</f>
        <v>5</v>
      </c>
      <c r="F563" s="1">
        <f>equip.xml!F567</f>
        <v>2</v>
      </c>
      <c r="G563" s="1">
        <f>equip.xml!G567</f>
        <v>50</v>
      </c>
      <c r="H563" s="1" t="str">
        <f>equip.xml!H567</f>
        <v>2,1002</v>
      </c>
      <c r="I563" s="1">
        <f>equip.xml!J567</f>
        <v>10</v>
      </c>
      <c r="J563" s="1">
        <f>equip.xml!K567</f>
        <v>0</v>
      </c>
      <c r="K563" s="1">
        <f>equip.xml!L567</f>
        <v>0</v>
      </c>
      <c r="L563" s="1" t="str">
        <f>equip.xml!M567</f>
        <v>103_1222_1222,104_2444_2444</v>
      </c>
      <c r="M563" s="7" t="str">
        <f>equip.xml!Q567</f>
        <v>equipment/1221.png</v>
      </c>
      <c r="N563" t="str">
        <f>equip.xml!P567</f>
        <v>10000_1002_50000,30000_30001_1,30000_30002_1,30000_30003_1</v>
      </c>
    </row>
    <row r="564" spans="1:14">
      <c r="A564" s="1" t="str">
        <f>equip.xml!A568</f>
        <v>20502060</v>
      </c>
      <c r="B564" s="1">
        <f>equip.xml!B568</f>
        <v>1</v>
      </c>
      <c r="C564" s="1" t="str">
        <f>equip.xml!C568</f>
        <v>黑骨箭袋</v>
      </c>
      <c r="D564" s="1" t="str">
        <f>equip.xml!D568</f>
        <v>副手武器</v>
      </c>
      <c r="E564" s="1">
        <f>equip.xml!E568</f>
        <v>6</v>
      </c>
      <c r="F564" s="1">
        <f>equip.xml!F568</f>
        <v>2</v>
      </c>
      <c r="G564" s="1">
        <f>equip.xml!G568</f>
        <v>50</v>
      </c>
      <c r="H564" s="1" t="str">
        <f>equip.xml!H568</f>
        <v>2,1002</v>
      </c>
      <c r="I564" s="1">
        <f>equip.xml!J568</f>
        <v>10</v>
      </c>
      <c r="J564" s="1">
        <f>equip.xml!K568</f>
        <v>0</v>
      </c>
      <c r="K564" s="1">
        <f>equip.xml!L568</f>
        <v>0</v>
      </c>
      <c r="L564" s="1" t="str">
        <f>equip.xml!M568</f>
        <v>108_1401_1401</v>
      </c>
      <c r="M564" s="7" t="str">
        <f>equip.xml!Q568</f>
        <v>equipment/2210.png</v>
      </c>
      <c r="N564" t="str">
        <f>equip.xml!P568</f>
        <v>10000_1002_50000,30000_30001_1,30000_30002_1,30000_30003_1</v>
      </c>
    </row>
    <row r="565" spans="1:14">
      <c r="A565" s="1" t="str">
        <f>equip.xml!A569</f>
        <v>20502061</v>
      </c>
      <c r="B565" s="1">
        <f>equip.xml!B569</f>
        <v>1</v>
      </c>
      <c r="C565" s="1" t="str">
        <f>equip.xml!C569</f>
        <v>符文箭筒</v>
      </c>
      <c r="D565" s="1" t="str">
        <f>equip.xml!D569</f>
        <v>副手武器</v>
      </c>
      <c r="E565" s="1">
        <f>equip.xml!E569</f>
        <v>6</v>
      </c>
      <c r="F565" s="1">
        <f>equip.xml!F569</f>
        <v>2</v>
      </c>
      <c r="G565" s="1">
        <f>equip.xml!G569</f>
        <v>50</v>
      </c>
      <c r="H565" s="1" t="str">
        <f>equip.xml!H569</f>
        <v>2,1002</v>
      </c>
      <c r="I565" s="1">
        <f>equip.xml!J569</f>
        <v>10</v>
      </c>
      <c r="J565" s="1">
        <f>equip.xml!K569</f>
        <v>0</v>
      </c>
      <c r="K565" s="1">
        <f>equip.xml!L569</f>
        <v>0</v>
      </c>
      <c r="L565" s="1" t="str">
        <f>equip.xml!M569</f>
        <v>108_1633_1633</v>
      </c>
      <c r="M565" s="7" t="str">
        <f>equip.xml!Q569</f>
        <v>equipment/2212.png</v>
      </c>
      <c r="N565" t="str">
        <f>equip.xml!P569</f>
        <v>10000_1002_50000,30000_30001_1,30000_30002_1,30000_30003_1</v>
      </c>
    </row>
    <row r="566" spans="1:14">
      <c r="A566" s="1" t="str">
        <f>equip.xml!A570</f>
        <v>20503050</v>
      </c>
      <c r="B566" s="1">
        <f>equip.xml!B570</f>
        <v>1</v>
      </c>
      <c r="C566" s="1" t="str">
        <f>equip.xml!C570</f>
        <v>虚灵法杖</v>
      </c>
      <c r="D566" s="1" t="str">
        <f>equip.xml!D570</f>
        <v>主手武器</v>
      </c>
      <c r="E566" s="1">
        <f>equip.xml!E570</f>
        <v>5</v>
      </c>
      <c r="F566" s="1">
        <f>equip.xml!F570</f>
        <v>2</v>
      </c>
      <c r="G566" s="1">
        <f>equip.xml!G570</f>
        <v>50</v>
      </c>
      <c r="H566" s="1" t="str">
        <f>equip.xml!H570</f>
        <v>3,1003</v>
      </c>
      <c r="I566" s="1">
        <f>equip.xml!J570</f>
        <v>10</v>
      </c>
      <c r="J566" s="1">
        <f>equip.xml!K570</f>
        <v>0</v>
      </c>
      <c r="K566" s="1">
        <f>equip.xml!L570</f>
        <v>0</v>
      </c>
      <c r="L566" s="1" t="str">
        <f>equip.xml!M570</f>
        <v>103_1097_1097,104_2194_2194</v>
      </c>
      <c r="M566" s="7" t="str">
        <f>equip.xml!Q570</f>
        <v>equipment/1319.png</v>
      </c>
      <c r="N566" t="str">
        <f>equip.xml!P570</f>
        <v>10000_1002_50000,30000_30001_1,30000_30002_1,30000_30003_1</v>
      </c>
    </row>
    <row r="567" spans="1:14">
      <c r="A567" s="1" t="str">
        <f>equip.xml!A571</f>
        <v>20503051</v>
      </c>
      <c r="B567" s="1">
        <f>equip.xml!B571</f>
        <v>1</v>
      </c>
      <c r="C567" s="1" t="str">
        <f>equip.xml!C571</f>
        <v>恒光巨杖</v>
      </c>
      <c r="D567" s="1" t="str">
        <f>equip.xml!D571</f>
        <v>主手武器</v>
      </c>
      <c r="E567" s="1">
        <f>equip.xml!E571</f>
        <v>5</v>
      </c>
      <c r="F567" s="1">
        <f>equip.xml!F571</f>
        <v>2</v>
      </c>
      <c r="G567" s="1">
        <f>equip.xml!G571</f>
        <v>50</v>
      </c>
      <c r="H567" s="1" t="str">
        <f>equip.xml!H571</f>
        <v>3,1003</v>
      </c>
      <c r="I567" s="1">
        <f>equip.xml!J571</f>
        <v>10</v>
      </c>
      <c r="J567" s="1">
        <f>equip.xml!K571</f>
        <v>0</v>
      </c>
      <c r="K567" s="1">
        <f>equip.xml!L571</f>
        <v>0</v>
      </c>
      <c r="L567" s="1" t="str">
        <f>equip.xml!M571</f>
        <v>103_1222_1222,104_2444_2444</v>
      </c>
      <c r="M567" s="7" t="str">
        <f>equip.xml!Q571</f>
        <v>equipment/1320.png</v>
      </c>
      <c r="N567" t="str">
        <f>equip.xml!P571</f>
        <v>10000_1002_50000,30000_30001_1,30000_30002_1,30000_30003_1</v>
      </c>
    </row>
    <row r="568" spans="1:14">
      <c r="A568" s="1" t="str">
        <f>equip.xml!A572</f>
        <v>20503060</v>
      </c>
      <c r="B568" s="1">
        <f>equip.xml!B572</f>
        <v>1</v>
      </c>
      <c r="C568" s="1" t="str">
        <f>equip.xml!C572</f>
        <v>幻术之书</v>
      </c>
      <c r="D568" s="1" t="str">
        <f>equip.xml!D572</f>
        <v>副手武器</v>
      </c>
      <c r="E568" s="1">
        <f>equip.xml!E572</f>
        <v>6</v>
      </c>
      <c r="F568" s="1">
        <f>equip.xml!F572</f>
        <v>2</v>
      </c>
      <c r="G568" s="1">
        <f>equip.xml!G572</f>
        <v>50</v>
      </c>
      <c r="H568" s="1" t="str">
        <f>equip.xml!H572</f>
        <v>3,1003</v>
      </c>
      <c r="I568" s="1">
        <f>equip.xml!J572</f>
        <v>10</v>
      </c>
      <c r="J568" s="1">
        <f>equip.xml!K572</f>
        <v>0</v>
      </c>
      <c r="K568" s="1">
        <f>equip.xml!L572</f>
        <v>0</v>
      </c>
      <c r="L568" s="1" t="str">
        <f>equip.xml!M572</f>
        <v>102_1440_1440</v>
      </c>
      <c r="M568" s="7" t="str">
        <f>equip.xml!Q572</f>
        <v>equipment/2311.png</v>
      </c>
      <c r="N568" t="str">
        <f>equip.xml!P572</f>
        <v>10000_1002_50000,30000_30001_1,30000_30002_1,30000_30003_1</v>
      </c>
    </row>
    <row r="569" spans="1:14">
      <c r="A569" s="1" t="str">
        <f>equip.xml!A573</f>
        <v>20503061</v>
      </c>
      <c r="B569" s="1">
        <f>equip.xml!B573</f>
        <v>1</v>
      </c>
      <c r="C569" s="1" t="str">
        <f>equip.xml!C573</f>
        <v>护咒之书</v>
      </c>
      <c r="D569" s="1" t="str">
        <f>equip.xml!D573</f>
        <v>副手武器</v>
      </c>
      <c r="E569" s="1">
        <f>equip.xml!E573</f>
        <v>6</v>
      </c>
      <c r="F569" s="1">
        <f>equip.xml!F573</f>
        <v>2</v>
      </c>
      <c r="G569" s="1">
        <f>equip.xml!G573</f>
        <v>50</v>
      </c>
      <c r="H569" s="1" t="str">
        <f>equip.xml!H573</f>
        <v>3,1003</v>
      </c>
      <c r="I569" s="1">
        <f>equip.xml!J573</f>
        <v>10</v>
      </c>
      <c r="J569" s="1">
        <f>equip.xml!K573</f>
        <v>0</v>
      </c>
      <c r="K569" s="1">
        <f>equip.xml!L573</f>
        <v>0</v>
      </c>
      <c r="L569" s="1" t="str">
        <f>equip.xml!M573</f>
        <v>102_1633_1633</v>
      </c>
      <c r="M569" s="7" t="str">
        <f>equip.xml!Q573</f>
        <v>equipment/2312.png</v>
      </c>
      <c r="N569" t="str">
        <f>equip.xml!P573</f>
        <v>10000_1002_50000,30000_30001_1,30000_30002_1,30000_30003_1</v>
      </c>
    </row>
    <row r="570" spans="1:14">
      <c r="A570" s="1" t="str">
        <f>equip.xml!A574</f>
        <v>20500040</v>
      </c>
      <c r="B570" s="1">
        <f>equip.xml!B574</f>
        <v>0</v>
      </c>
      <c r="C570" s="1" t="str">
        <f>equip.xml!C574</f>
        <v>新兵外套</v>
      </c>
      <c r="D570" s="1" t="str">
        <f>equip.xml!D574</f>
        <v>胸甲</v>
      </c>
      <c r="E570" s="1">
        <f>equip.xml!E574</f>
        <v>4</v>
      </c>
      <c r="F570" s="1">
        <f>equip.xml!F574</f>
        <v>2</v>
      </c>
      <c r="G570" s="1">
        <f>equip.xml!G574</f>
        <v>50</v>
      </c>
      <c r="H570" s="1">
        <f>equip.xml!H574</f>
        <v>0</v>
      </c>
      <c r="I570" s="1">
        <f>equip.xml!J574</f>
        <v>10</v>
      </c>
      <c r="J570" s="1">
        <f>equip.xml!K574</f>
        <v>0</v>
      </c>
      <c r="K570" s="1">
        <f>equip.xml!L574</f>
        <v>0</v>
      </c>
      <c r="L570" s="1" t="str">
        <f>equip.xml!M574</f>
        <v>105_780_780</v>
      </c>
      <c r="M570" s="7" t="str">
        <f>equip.xml!Q574</f>
        <v>equipment/5001.png</v>
      </c>
      <c r="N570" t="str">
        <f>equip.xml!P574</f>
        <v>10000_1002_50000,30000_30001_1,30000_30002_1,30000_30003_1</v>
      </c>
    </row>
    <row r="571" spans="1:14">
      <c r="A571" s="1" t="str">
        <f>equip.xml!A575</f>
        <v>20500041</v>
      </c>
      <c r="B571" s="1">
        <f>equip.xml!B575</f>
        <v>0</v>
      </c>
      <c r="C571" s="1" t="str">
        <f>equip.xml!C575</f>
        <v>新兵外套</v>
      </c>
      <c r="D571" s="1" t="str">
        <f>equip.xml!D575</f>
        <v>胸甲</v>
      </c>
      <c r="E571" s="1">
        <f>equip.xml!E575</f>
        <v>4</v>
      </c>
      <c r="F571" s="1">
        <f>equip.xml!F575</f>
        <v>2</v>
      </c>
      <c r="G571" s="1">
        <f>equip.xml!G575</f>
        <v>50</v>
      </c>
      <c r="H571" s="1">
        <f>equip.xml!H575</f>
        <v>0</v>
      </c>
      <c r="I571" s="1">
        <f>equip.xml!J575</f>
        <v>10</v>
      </c>
      <c r="J571" s="1">
        <f>equip.xml!K575</f>
        <v>0</v>
      </c>
      <c r="K571" s="1">
        <f>equip.xml!L575</f>
        <v>0</v>
      </c>
      <c r="L571" s="1" t="str">
        <f>equip.xml!M575</f>
        <v>105_929_929</v>
      </c>
      <c r="M571" s="7" t="str">
        <f>equip.xml!Q575</f>
        <v>equipment/5001.png</v>
      </c>
      <c r="N571" t="str">
        <f>equip.xml!P575</f>
        <v>10000_1002_50000,30000_30001_1,30000_30002_1,30000_30003_1</v>
      </c>
    </row>
    <row r="572" spans="1:14">
      <c r="A572" s="1" t="str">
        <f>equip.xml!A576</f>
        <v>20500070</v>
      </c>
      <c r="B572" s="1">
        <f>equip.xml!B576</f>
        <v>1</v>
      </c>
      <c r="C572" s="1" t="str">
        <f>equip.xml!C576</f>
        <v>凯旋腿甲</v>
      </c>
      <c r="D572" s="1" t="str">
        <f>equip.xml!D576</f>
        <v>护腿</v>
      </c>
      <c r="E572" s="1">
        <f>equip.xml!E576</f>
        <v>7</v>
      </c>
      <c r="F572" s="1">
        <f>equip.xml!F576</f>
        <v>2</v>
      </c>
      <c r="G572" s="1">
        <f>equip.xml!G576</f>
        <v>50</v>
      </c>
      <c r="H572" s="1">
        <f>equip.xml!H576</f>
        <v>0</v>
      </c>
      <c r="I572" s="1">
        <f>equip.xml!J576</f>
        <v>10</v>
      </c>
      <c r="J572" s="1">
        <f>equip.xml!K576</f>
        <v>0</v>
      </c>
      <c r="K572" s="1">
        <f>equip.xml!L576</f>
        <v>0</v>
      </c>
      <c r="L572" s="1" t="str">
        <f>equip.xml!M576</f>
        <v>105_628_628</v>
      </c>
      <c r="M572" s="7" t="str">
        <f>equip.xml!Q576</f>
        <v>equipment/7012.png</v>
      </c>
      <c r="N572" t="str">
        <f>equip.xml!P576</f>
        <v>10000_1002_50000,30000_30001_1,30000_30002_1,30000_30003_1</v>
      </c>
    </row>
    <row r="573" spans="1:14">
      <c r="A573" s="1" t="str">
        <f>equip.xml!A577</f>
        <v>20500071</v>
      </c>
      <c r="B573" s="1">
        <f>equip.xml!B577</f>
        <v>0</v>
      </c>
      <c r="C573" s="1" t="str">
        <f>equip.xml!C577</f>
        <v>学徒短裤</v>
      </c>
      <c r="D573" s="1" t="str">
        <f>equip.xml!D577</f>
        <v>护腿</v>
      </c>
      <c r="E573" s="1">
        <f>equip.xml!E577</f>
        <v>7</v>
      </c>
      <c r="F573" s="1">
        <f>equip.xml!F577</f>
        <v>2</v>
      </c>
      <c r="G573" s="1">
        <f>equip.xml!G577</f>
        <v>50</v>
      </c>
      <c r="H573" s="1">
        <f>equip.xml!H577</f>
        <v>0</v>
      </c>
      <c r="I573" s="1">
        <f>equip.xml!J577</f>
        <v>10</v>
      </c>
      <c r="J573" s="1">
        <f>equip.xml!K577</f>
        <v>0</v>
      </c>
      <c r="K573" s="1">
        <f>equip.xml!L577</f>
        <v>0</v>
      </c>
      <c r="L573" s="1" t="str">
        <f>equip.xml!M577</f>
        <v>105_689_689</v>
      </c>
      <c r="M573" s="7" t="str">
        <f>equip.xml!Q577</f>
        <v>equipment/7001.png</v>
      </c>
      <c r="N573" t="str">
        <f>equip.xml!P577</f>
        <v>10000_1002_50000,30000_30001_1,30000_30002_1,30000_30003_1</v>
      </c>
    </row>
    <row r="574" spans="1:14">
      <c r="A574" s="1" t="str">
        <f>equip.xml!A578</f>
        <v>20550010</v>
      </c>
      <c r="B574" s="1">
        <f>equip.xml!B578</f>
        <v>1</v>
      </c>
      <c r="C574" s="1" t="str">
        <f>equip.xml!C578</f>
        <v>银月头盔</v>
      </c>
      <c r="D574" s="1" t="str">
        <f>equip.xml!D578</f>
        <v>头盔</v>
      </c>
      <c r="E574" s="1">
        <f>equip.xml!E578</f>
        <v>1</v>
      </c>
      <c r="F574" s="1">
        <f>equip.xml!F578</f>
        <v>2</v>
      </c>
      <c r="G574" s="1">
        <f>equip.xml!G578</f>
        <v>55</v>
      </c>
      <c r="H574" s="1">
        <f>equip.xml!H578</f>
        <v>0</v>
      </c>
      <c r="I574" s="1">
        <f>equip.xml!J578</f>
        <v>10</v>
      </c>
      <c r="J574" s="1">
        <f>equip.xml!K578</f>
        <v>0</v>
      </c>
      <c r="K574" s="1">
        <f>equip.xml!L578</f>
        <v>0</v>
      </c>
      <c r="L574" s="1" t="str">
        <f>equip.xml!M578</f>
        <v>106_1291_1291</v>
      </c>
      <c r="M574" s="7" t="str">
        <f>equip.xml!Q578</f>
        <v>equipment/3009.png</v>
      </c>
      <c r="N574" t="str">
        <f>equip.xml!P578</f>
        <v>10000_1002_55000,30000_30001_1,30000_30002_1,30000_30003_1</v>
      </c>
    </row>
    <row r="575" spans="1:14">
      <c r="A575" s="1" t="str">
        <f>equip.xml!A579</f>
        <v>20550020</v>
      </c>
      <c r="B575" s="1">
        <f>equip.xml!B579</f>
        <v>1</v>
      </c>
      <c r="C575" s="1" t="str">
        <f>equip.xml!C579</f>
        <v>镇魂之戒</v>
      </c>
      <c r="D575" s="1" t="str">
        <f>equip.xml!D579</f>
        <v>戒指</v>
      </c>
      <c r="E575" s="1">
        <f>equip.xml!E579</f>
        <v>2</v>
      </c>
      <c r="F575" s="1">
        <f>equip.xml!F579</f>
        <v>2</v>
      </c>
      <c r="G575" s="1">
        <f>equip.xml!G579</f>
        <v>55</v>
      </c>
      <c r="H575" s="1">
        <f>equip.xml!H579</f>
        <v>0</v>
      </c>
      <c r="I575" s="1">
        <f>equip.xml!J579</f>
        <v>10</v>
      </c>
      <c r="J575" s="1">
        <f>equip.xml!K579</f>
        <v>0</v>
      </c>
      <c r="K575" s="1">
        <f>equip.xml!L579</f>
        <v>0</v>
      </c>
      <c r="L575" s="1" t="str">
        <f>equip.xml!M579</f>
        <v>102_1080_1080</v>
      </c>
      <c r="M575" s="7" t="str">
        <f>equip.xml!Q579</f>
        <v>equipment/14009.png</v>
      </c>
      <c r="N575" t="str">
        <f>equip.xml!P579</f>
        <v>10000_1002_55000,30000_30001_1,30000_30002_1,30000_30003_1</v>
      </c>
    </row>
    <row r="576" spans="1:14">
      <c r="A576" s="1" t="str">
        <f>equip.xml!A580</f>
        <v>20550030</v>
      </c>
      <c r="B576" s="1">
        <f>equip.xml!B580</f>
        <v>0</v>
      </c>
      <c r="C576" s="1" t="str">
        <f>equip.xml!C580</f>
        <v>魔鳞腰带</v>
      </c>
      <c r="D576" s="1" t="str">
        <f>equip.xml!D580</f>
        <v>腰带</v>
      </c>
      <c r="E576" s="1">
        <f>equip.xml!E580</f>
        <v>3</v>
      </c>
      <c r="F576" s="1">
        <f>equip.xml!F580</f>
        <v>2</v>
      </c>
      <c r="G576" s="1">
        <f>equip.xml!G580</f>
        <v>55</v>
      </c>
      <c r="H576" s="1">
        <f>equip.xml!H580</f>
        <v>0</v>
      </c>
      <c r="I576" s="1">
        <f>equip.xml!J580</f>
        <v>10</v>
      </c>
      <c r="J576" s="1">
        <f>equip.xml!K580</f>
        <v>0</v>
      </c>
      <c r="K576" s="1">
        <f>equip.xml!L580</f>
        <v>0</v>
      </c>
      <c r="L576" s="1" t="str">
        <f>equip.xml!M580</f>
        <v>101_13920_13920</v>
      </c>
      <c r="M576" s="7" t="str">
        <f>equip.xml!Q580</f>
        <v>equipment/6001.png</v>
      </c>
      <c r="N576" t="str">
        <f>equip.xml!P580</f>
        <v>10000_1002_55000,30000_30001_1,30000_30002_1,30000_30003_1</v>
      </c>
    </row>
    <row r="577" spans="1:14">
      <c r="A577" s="1" t="str">
        <f>equip.xml!A581</f>
        <v>20550080</v>
      </c>
      <c r="B577" s="1">
        <f>equip.xml!B581</f>
        <v>1</v>
      </c>
      <c r="C577" s="1" t="str">
        <f>equip.xml!C581</f>
        <v>天行者之靴</v>
      </c>
      <c r="D577" s="1" t="str">
        <f>equip.xml!D581</f>
        <v>鞋子</v>
      </c>
      <c r="E577" s="1">
        <f>equip.xml!E581</f>
        <v>8</v>
      </c>
      <c r="F577" s="1">
        <f>equip.xml!F581</f>
        <v>2</v>
      </c>
      <c r="G577" s="1">
        <f>equip.xml!G581</f>
        <v>55</v>
      </c>
      <c r="H577" s="1">
        <f>equip.xml!H581</f>
        <v>0</v>
      </c>
      <c r="I577" s="1">
        <f>equip.xml!J581</f>
        <v>10</v>
      </c>
      <c r="J577" s="1">
        <f>equip.xml!K581</f>
        <v>0</v>
      </c>
      <c r="K577" s="1">
        <f>equip.xml!L581</f>
        <v>0</v>
      </c>
      <c r="L577" s="1" t="str">
        <f>equip.xml!M581</f>
        <v>110_219_219</v>
      </c>
      <c r="M577" s="7" t="str">
        <f>equip.xml!Q581</f>
        <v>equipment/8009.png</v>
      </c>
      <c r="N577" t="str">
        <f>equip.xml!P581</f>
        <v>10000_1002_55000,30000_30001_1,30000_30002_1,30000_30003_1</v>
      </c>
    </row>
    <row r="578" spans="1:14">
      <c r="A578" s="1" t="str">
        <f>equip.xml!A582</f>
        <v>20550090</v>
      </c>
      <c r="B578" s="1">
        <f>equip.xml!B582</f>
        <v>0</v>
      </c>
      <c r="C578" s="1" t="str">
        <f>equip.xml!C582</f>
        <v>轻布手套</v>
      </c>
      <c r="D578" s="1" t="str">
        <f>equip.xml!D582</f>
        <v>手套</v>
      </c>
      <c r="E578" s="1">
        <f>equip.xml!E582</f>
        <v>9</v>
      </c>
      <c r="F578" s="1">
        <f>equip.xml!F582</f>
        <v>2</v>
      </c>
      <c r="G578" s="1">
        <f>equip.xml!G582</f>
        <v>55</v>
      </c>
      <c r="H578" s="1">
        <f>equip.xml!H582</f>
        <v>0</v>
      </c>
      <c r="I578" s="1">
        <f>equip.xml!J582</f>
        <v>10</v>
      </c>
      <c r="J578" s="1">
        <f>equip.xml!K582</f>
        <v>0</v>
      </c>
      <c r="K578" s="1">
        <f>equip.xml!L582</f>
        <v>0</v>
      </c>
      <c r="L578" s="1" t="str">
        <f>equip.xml!M582</f>
        <v>108_1726_1726</v>
      </c>
      <c r="M578" s="7" t="str">
        <f>equip.xml!Q582</f>
        <v>equipment/10001.png</v>
      </c>
      <c r="N578" t="str">
        <f>equip.xml!P582</f>
        <v>10000_1002_55000,30000_30001_1,30000_30002_1,30000_30003_1</v>
      </c>
    </row>
    <row r="579" spans="1:14">
      <c r="A579" s="1" t="str">
        <f>equip.xml!A583</f>
        <v>20550100</v>
      </c>
      <c r="B579" s="1">
        <f>equip.xml!B583</f>
        <v>1</v>
      </c>
      <c r="C579" s="1" t="str">
        <f>equip.xml!C583</f>
        <v>遗忘石坠</v>
      </c>
      <c r="D579" s="1" t="str">
        <f>equip.xml!D583</f>
        <v>项链</v>
      </c>
      <c r="E579" s="1">
        <f>equip.xml!E583</f>
        <v>10</v>
      </c>
      <c r="F579" s="1">
        <f>equip.xml!F583</f>
        <v>2</v>
      </c>
      <c r="G579" s="1">
        <f>equip.xml!G583</f>
        <v>55</v>
      </c>
      <c r="H579" s="1">
        <f>equip.xml!H583</f>
        <v>0</v>
      </c>
      <c r="I579" s="1">
        <f>equip.xml!J583</f>
        <v>10</v>
      </c>
      <c r="J579" s="1">
        <f>equip.xml!K583</f>
        <v>0</v>
      </c>
      <c r="K579" s="1">
        <f>equip.xml!L583</f>
        <v>0</v>
      </c>
      <c r="L579" s="1" t="str">
        <f>equip.xml!M583</f>
        <v>107_1291_1291</v>
      </c>
      <c r="M579" s="7" t="str">
        <f>equip.xml!Q583</f>
        <v>equipment/12009.png</v>
      </c>
      <c r="N579" t="str">
        <f>equip.xml!P583</f>
        <v>10000_1002_55000,30000_30001_1,30000_30002_1,30000_30003_1</v>
      </c>
    </row>
    <row r="580" spans="1:14">
      <c r="A580" s="1" t="str">
        <f>equip.xml!A584</f>
        <v>20551050</v>
      </c>
      <c r="B580" s="1">
        <f>equip.xml!B584</f>
        <v>1</v>
      </c>
      <c r="C580" s="1" t="str">
        <f>equip.xml!C584</f>
        <v>噬魂符剑</v>
      </c>
      <c r="D580" s="1" t="str">
        <f>equip.xml!D584</f>
        <v>主手武器</v>
      </c>
      <c r="E580" s="1">
        <f>equip.xml!E584</f>
        <v>5</v>
      </c>
      <c r="F580" s="1">
        <f>equip.xml!F584</f>
        <v>2</v>
      </c>
      <c r="G580" s="1">
        <f>equip.xml!G584</f>
        <v>55</v>
      </c>
      <c r="H580" s="1" t="str">
        <f>equip.xml!H584</f>
        <v>1,1001</v>
      </c>
      <c r="I580" s="1">
        <f>equip.xml!J584</f>
        <v>10</v>
      </c>
      <c r="J580" s="1">
        <f>equip.xml!K584</f>
        <v>0</v>
      </c>
      <c r="K580" s="1">
        <f>equip.xml!L584</f>
        <v>0</v>
      </c>
      <c r="L580" s="1" t="str">
        <f>equip.xml!M584</f>
        <v>103_1409_1409,104_2818_2818</v>
      </c>
      <c r="M580" s="7" t="str">
        <f>equip.xml!Q584</f>
        <v>equipment/1121.png</v>
      </c>
      <c r="N580" t="str">
        <f>equip.xml!P584</f>
        <v>10000_1002_55000,30000_30001_1,30000_30002_1,30000_30003_1</v>
      </c>
    </row>
    <row r="581" spans="1:14">
      <c r="A581" s="1" t="str">
        <f>equip.xml!A585</f>
        <v>20551051</v>
      </c>
      <c r="B581" s="1">
        <f>equip.xml!B585</f>
        <v>0</v>
      </c>
      <c r="C581" s="1" t="str">
        <f>equip.xml!C585</f>
        <v>军刀</v>
      </c>
      <c r="D581" s="1" t="str">
        <f>equip.xml!D585</f>
        <v>主手武器</v>
      </c>
      <c r="E581" s="1">
        <f>equip.xml!E585</f>
        <v>5</v>
      </c>
      <c r="F581" s="1">
        <f>equip.xml!F585</f>
        <v>2</v>
      </c>
      <c r="G581" s="1">
        <f>equip.xml!G585</f>
        <v>55</v>
      </c>
      <c r="H581" s="1" t="str">
        <f>equip.xml!H585</f>
        <v>1,1001</v>
      </c>
      <c r="I581" s="1">
        <f>equip.xml!J585</f>
        <v>10</v>
      </c>
      <c r="J581" s="1">
        <f>equip.xml!K585</f>
        <v>0</v>
      </c>
      <c r="K581" s="1">
        <f>equip.xml!L585</f>
        <v>0</v>
      </c>
      <c r="L581" s="1" t="str">
        <f>equip.xml!M585</f>
        <v>103_1648_1648,104_3296_3296</v>
      </c>
      <c r="M581" s="7" t="str">
        <f>equip.xml!Q585</f>
        <v>equipment/1101.png</v>
      </c>
      <c r="N581" t="str">
        <f>equip.xml!P585</f>
        <v>10000_1002_55000,30000_30001_1,30000_30002_1,30000_30003_1</v>
      </c>
    </row>
    <row r="582" spans="1:14">
      <c r="A582" s="1" t="str">
        <f>equip.xml!A586</f>
        <v>20551060</v>
      </c>
      <c r="B582" s="1">
        <f>equip.xml!B586</f>
        <v>1</v>
      </c>
      <c r="C582" s="1" t="str">
        <f>equip.xml!C586</f>
        <v>反射壁垒</v>
      </c>
      <c r="D582" s="1" t="str">
        <f>equip.xml!D586</f>
        <v>副手武器</v>
      </c>
      <c r="E582" s="1">
        <f>equip.xml!E586</f>
        <v>6</v>
      </c>
      <c r="F582" s="1">
        <f>equip.xml!F586</f>
        <v>2</v>
      </c>
      <c r="G582" s="1">
        <f>equip.xml!G586</f>
        <v>55</v>
      </c>
      <c r="H582" s="1" t="str">
        <f>equip.xml!H586</f>
        <v>1,1001</v>
      </c>
      <c r="I582" s="1">
        <f>equip.xml!J586</f>
        <v>10</v>
      </c>
      <c r="J582" s="1">
        <f>equip.xml!K586</f>
        <v>0</v>
      </c>
      <c r="K582" s="1">
        <f>equip.xml!L586</f>
        <v>0</v>
      </c>
      <c r="L582" s="1" t="str">
        <f>equip.xml!M586</f>
        <v>105_1981_1981</v>
      </c>
      <c r="M582" s="7" t="str">
        <f>equip.xml!Q586</f>
        <v>equipment/2113.png</v>
      </c>
      <c r="N582" t="str">
        <f>equip.xml!P586</f>
        <v>10000_1002_55000,30000_30001_1,30000_30002_1,30000_30003_1</v>
      </c>
    </row>
    <row r="583" spans="1:14">
      <c r="A583" s="1" t="str">
        <f>equip.xml!A587</f>
        <v>20551061</v>
      </c>
      <c r="B583" s="1">
        <f>equip.xml!B587</f>
        <v>1</v>
      </c>
      <c r="C583" s="1" t="str">
        <f>equip.xml!C587</f>
        <v>巨龙之盾</v>
      </c>
      <c r="D583" s="1" t="str">
        <f>equip.xml!D587</f>
        <v>副手武器</v>
      </c>
      <c r="E583" s="1">
        <f>equip.xml!E587</f>
        <v>6</v>
      </c>
      <c r="F583" s="1">
        <f>equip.xml!F587</f>
        <v>2</v>
      </c>
      <c r="G583" s="1">
        <f>equip.xml!G587</f>
        <v>55</v>
      </c>
      <c r="H583" s="1" t="str">
        <f>equip.xml!H587</f>
        <v>1,1001</v>
      </c>
      <c r="I583" s="1">
        <f>equip.xml!J587</f>
        <v>10</v>
      </c>
      <c r="J583" s="1">
        <f>equip.xml!K587</f>
        <v>0</v>
      </c>
      <c r="K583" s="1">
        <f>equip.xml!L587</f>
        <v>0</v>
      </c>
      <c r="L583" s="1" t="str">
        <f>equip.xml!M587</f>
        <v>105_2195_2195</v>
      </c>
      <c r="M583" s="7" t="str">
        <f>equip.xml!Q587</f>
        <v>equipment/2114.png</v>
      </c>
      <c r="N583" t="str">
        <f>equip.xml!P587</f>
        <v>10000_1002_55000,30000_30001_1,30000_30002_1,30000_30003_1</v>
      </c>
    </row>
    <row r="584" spans="1:14">
      <c r="A584" s="1" t="str">
        <f>equip.xml!A588</f>
        <v>20552050</v>
      </c>
      <c r="B584" s="1">
        <f>equip.xml!B588</f>
        <v>1</v>
      </c>
      <c r="C584" s="1" t="str">
        <f>equip.xml!C588</f>
        <v>魂击长弓</v>
      </c>
      <c r="D584" s="1" t="str">
        <f>equip.xml!D588</f>
        <v>主手武器</v>
      </c>
      <c r="E584" s="1">
        <f>equip.xml!E588</f>
        <v>5</v>
      </c>
      <c r="F584" s="1">
        <f>equip.xml!F588</f>
        <v>2</v>
      </c>
      <c r="G584" s="1">
        <f>equip.xml!G588</f>
        <v>55</v>
      </c>
      <c r="H584" s="1" t="str">
        <f>equip.xml!H588</f>
        <v>2,1002</v>
      </c>
      <c r="I584" s="1">
        <f>equip.xml!J588</f>
        <v>10</v>
      </c>
      <c r="J584" s="1">
        <f>equip.xml!K588</f>
        <v>0</v>
      </c>
      <c r="K584" s="1">
        <f>equip.xml!L588</f>
        <v>0</v>
      </c>
      <c r="L584" s="1" t="str">
        <f>equip.xml!M588</f>
        <v>103_1409_1409,104_2818_2818</v>
      </c>
      <c r="M584" s="7" t="str">
        <f>equip.xml!Q588</f>
        <v>equipment/1218.png</v>
      </c>
      <c r="N584" t="str">
        <f>equip.xml!P588</f>
        <v>10000_1002_55000,30000_30001_1,30000_30002_1,30000_30003_1</v>
      </c>
    </row>
    <row r="585" spans="1:14">
      <c r="A585" s="1" t="str">
        <f>equip.xml!A589</f>
        <v>20552051</v>
      </c>
      <c r="B585" s="1">
        <f>equip.xml!B589</f>
        <v>0</v>
      </c>
      <c r="C585" s="1" t="str">
        <f>equip.xml!C589</f>
        <v>棘木弓</v>
      </c>
      <c r="D585" s="1" t="str">
        <f>equip.xml!D589</f>
        <v>主手武器</v>
      </c>
      <c r="E585" s="1">
        <f>equip.xml!E589</f>
        <v>5</v>
      </c>
      <c r="F585" s="1">
        <f>equip.xml!F589</f>
        <v>2</v>
      </c>
      <c r="G585" s="1">
        <f>equip.xml!G589</f>
        <v>55</v>
      </c>
      <c r="H585" s="1" t="str">
        <f>equip.xml!H589</f>
        <v>2,1002</v>
      </c>
      <c r="I585" s="1">
        <f>equip.xml!J589</f>
        <v>10</v>
      </c>
      <c r="J585" s="1">
        <f>equip.xml!K589</f>
        <v>0</v>
      </c>
      <c r="K585" s="1">
        <f>equip.xml!L589</f>
        <v>0</v>
      </c>
      <c r="L585" s="1" t="str">
        <f>equip.xml!M589</f>
        <v>103_1648_1648,104_3296_3296</v>
      </c>
      <c r="M585" s="7" t="str">
        <f>equip.xml!Q589</f>
        <v>equipment/1201.png</v>
      </c>
      <c r="N585" t="str">
        <f>equip.xml!P589</f>
        <v>10000_1002_55000,30000_30001_1,30000_30002_1,30000_30003_1</v>
      </c>
    </row>
    <row r="586" spans="1:14">
      <c r="A586" s="1" t="str">
        <f>equip.xml!A590</f>
        <v>20552060</v>
      </c>
      <c r="B586" s="1">
        <f>equip.xml!B590</f>
        <v>1</v>
      </c>
      <c r="C586" s="1" t="str">
        <f>equip.xml!C590</f>
        <v>银矢箭筒</v>
      </c>
      <c r="D586" s="1" t="str">
        <f>equip.xml!D590</f>
        <v>副手武器</v>
      </c>
      <c r="E586" s="1">
        <f>equip.xml!E590</f>
        <v>6</v>
      </c>
      <c r="F586" s="1">
        <f>equip.xml!F590</f>
        <v>2</v>
      </c>
      <c r="G586" s="1">
        <f>equip.xml!G590</f>
        <v>55</v>
      </c>
      <c r="H586" s="1" t="str">
        <f>equip.xml!H590</f>
        <v>2,1002</v>
      </c>
      <c r="I586" s="1">
        <f>equip.xml!J590</f>
        <v>10</v>
      </c>
      <c r="J586" s="1">
        <f>equip.xml!K590</f>
        <v>0</v>
      </c>
      <c r="K586" s="1">
        <f>equip.xml!L590</f>
        <v>0</v>
      </c>
      <c r="L586" s="1" t="str">
        <f>equip.xml!M590</f>
        <v>108_1981_1981</v>
      </c>
      <c r="M586" s="7" t="str">
        <f>equip.xml!Q590</f>
        <v>equipment/2213.png</v>
      </c>
      <c r="N586" t="str">
        <f>equip.xml!P590</f>
        <v>10000_1002_55000,30000_30001_1,30000_30002_1,30000_30003_1</v>
      </c>
    </row>
    <row r="587" spans="1:14">
      <c r="A587" s="1" t="str">
        <f>equip.xml!A591</f>
        <v>20552061</v>
      </c>
      <c r="B587" s="1">
        <f>equip.xml!B591</f>
        <v>1</v>
      </c>
      <c r="C587" s="1" t="str">
        <f>equip.xml!C591</f>
        <v>日怒箭筒</v>
      </c>
      <c r="D587" s="1" t="str">
        <f>equip.xml!D591</f>
        <v>副手武器</v>
      </c>
      <c r="E587" s="1">
        <f>equip.xml!E591</f>
        <v>6</v>
      </c>
      <c r="F587" s="1">
        <f>equip.xml!F591</f>
        <v>2</v>
      </c>
      <c r="G587" s="1">
        <f>equip.xml!G591</f>
        <v>55</v>
      </c>
      <c r="H587" s="1" t="str">
        <f>equip.xml!H591</f>
        <v>2,1002</v>
      </c>
      <c r="I587" s="1">
        <f>equip.xml!J591</f>
        <v>10</v>
      </c>
      <c r="J587" s="1">
        <f>equip.xml!K591</f>
        <v>0</v>
      </c>
      <c r="K587" s="1">
        <f>equip.xml!L591</f>
        <v>0</v>
      </c>
      <c r="L587" s="1" t="str">
        <f>equip.xml!M591</f>
        <v>108_2195_2195</v>
      </c>
      <c r="M587" s="7" t="str">
        <f>equip.xml!Q591</f>
        <v>equipment/2214.png</v>
      </c>
      <c r="N587" t="str">
        <f>equip.xml!P591</f>
        <v>10000_1002_55000,30000_30001_1,30000_30002_1,30000_30003_1</v>
      </c>
    </row>
    <row r="588" spans="1:14">
      <c r="A588" s="1" t="str">
        <f>equip.xml!A592</f>
        <v>20553050</v>
      </c>
      <c r="B588" s="1">
        <f>equip.xml!B592</f>
        <v>1</v>
      </c>
      <c r="C588" s="1" t="str">
        <f>equip.xml!C592</f>
        <v>寒霜之怒</v>
      </c>
      <c r="D588" s="1" t="str">
        <f>equip.xml!D592</f>
        <v>主手武器</v>
      </c>
      <c r="E588" s="1">
        <f>equip.xml!E592</f>
        <v>5</v>
      </c>
      <c r="F588" s="1">
        <f>equip.xml!F592</f>
        <v>2</v>
      </c>
      <c r="G588" s="1">
        <f>equip.xml!G592</f>
        <v>55</v>
      </c>
      <c r="H588" s="1" t="str">
        <f>equip.xml!H592</f>
        <v>3,1003</v>
      </c>
      <c r="I588" s="1">
        <f>equip.xml!J592</f>
        <v>10</v>
      </c>
      <c r="J588" s="1">
        <f>equip.xml!K592</f>
        <v>0</v>
      </c>
      <c r="K588" s="1">
        <f>equip.xml!L592</f>
        <v>0</v>
      </c>
      <c r="L588" s="1" t="str">
        <f>equip.xml!M592</f>
        <v>103_1409_1409,104_2818_2818</v>
      </c>
      <c r="M588" s="7" t="str">
        <f>equip.xml!Q592</f>
        <v>equipment/1321.png</v>
      </c>
      <c r="N588" t="str">
        <f>equip.xml!P592</f>
        <v>10000_1002_55000,30000_30001_1,30000_30002_1,30000_30003_1</v>
      </c>
    </row>
    <row r="589" spans="1:14">
      <c r="A589" s="1" t="str">
        <f>equip.xml!A593</f>
        <v>20553051</v>
      </c>
      <c r="B589" s="1">
        <f>equip.xml!B593</f>
        <v>0</v>
      </c>
      <c r="C589" s="1" t="str">
        <f>equip.xml!C593</f>
        <v>学徒法杖</v>
      </c>
      <c r="D589" s="1" t="str">
        <f>equip.xml!D593</f>
        <v>主手武器</v>
      </c>
      <c r="E589" s="1">
        <f>equip.xml!E593</f>
        <v>5</v>
      </c>
      <c r="F589" s="1">
        <f>equip.xml!F593</f>
        <v>2</v>
      </c>
      <c r="G589" s="1">
        <f>equip.xml!G593</f>
        <v>55</v>
      </c>
      <c r="H589" s="1" t="str">
        <f>equip.xml!H593</f>
        <v>3,1003</v>
      </c>
      <c r="I589" s="1">
        <f>equip.xml!J593</f>
        <v>10</v>
      </c>
      <c r="J589" s="1">
        <f>equip.xml!K593</f>
        <v>0</v>
      </c>
      <c r="K589" s="1">
        <f>equip.xml!L593</f>
        <v>0</v>
      </c>
      <c r="L589" s="1" t="str">
        <f>equip.xml!M593</f>
        <v>103_1648_1648,104_3296_3296</v>
      </c>
      <c r="M589" s="7" t="str">
        <f>equip.xml!Q593</f>
        <v>equipment/1301.png</v>
      </c>
      <c r="N589" t="str">
        <f>equip.xml!P593</f>
        <v>10000_1002_55000,30000_30001_1,30000_30002_1,30000_30003_1</v>
      </c>
    </row>
    <row r="590" spans="1:14">
      <c r="A590" s="1" t="str">
        <f>equip.xml!A594</f>
        <v>20553060</v>
      </c>
      <c r="B590" s="1">
        <f>equip.xml!B594</f>
        <v>1</v>
      </c>
      <c r="C590" s="1" t="str">
        <f>equip.xml!C594</f>
        <v>遗忘魔典</v>
      </c>
      <c r="D590" s="1" t="str">
        <f>equip.xml!D594</f>
        <v>副手武器</v>
      </c>
      <c r="E590" s="1">
        <f>equip.xml!E594</f>
        <v>6</v>
      </c>
      <c r="F590" s="1">
        <f>equip.xml!F594</f>
        <v>2</v>
      </c>
      <c r="G590" s="1">
        <f>equip.xml!G594</f>
        <v>55</v>
      </c>
      <c r="H590" s="1" t="str">
        <f>equip.xml!H594</f>
        <v>3,1003</v>
      </c>
      <c r="I590" s="1">
        <f>equip.xml!J594</f>
        <v>10</v>
      </c>
      <c r="J590" s="1">
        <f>equip.xml!K594</f>
        <v>0</v>
      </c>
      <c r="K590" s="1">
        <f>equip.xml!L594</f>
        <v>0</v>
      </c>
      <c r="L590" s="1" t="str">
        <f>equip.xml!M594</f>
        <v>102_1780_1780</v>
      </c>
      <c r="M590" s="7" t="str">
        <f>equip.xml!Q594</f>
        <v>equipment/2313.png</v>
      </c>
      <c r="N590" t="str">
        <f>equip.xml!P594</f>
        <v>10000_1002_55000,30000_30001_1,30000_30002_1,30000_30003_1</v>
      </c>
    </row>
    <row r="591" spans="1:14">
      <c r="A591" s="1" t="str">
        <f>equip.xml!A595</f>
        <v>20553061</v>
      </c>
      <c r="B591" s="1">
        <f>equip.xml!B595</f>
        <v>1</v>
      </c>
      <c r="C591" s="1" t="str">
        <f>equip.xml!C595</f>
        <v>龙语入门</v>
      </c>
      <c r="D591" s="1" t="str">
        <f>equip.xml!D595</f>
        <v>副手武器</v>
      </c>
      <c r="E591" s="1">
        <f>equip.xml!E595</f>
        <v>6</v>
      </c>
      <c r="F591" s="1">
        <f>equip.xml!F595</f>
        <v>2</v>
      </c>
      <c r="G591" s="1">
        <f>equip.xml!G595</f>
        <v>55</v>
      </c>
      <c r="H591" s="1" t="str">
        <f>equip.xml!H595</f>
        <v>3,1003</v>
      </c>
      <c r="I591" s="1">
        <f>equip.xml!J595</f>
        <v>10</v>
      </c>
      <c r="J591" s="1">
        <f>equip.xml!K595</f>
        <v>0</v>
      </c>
      <c r="K591" s="1">
        <f>equip.xml!L595</f>
        <v>0</v>
      </c>
      <c r="L591" s="1" t="str">
        <f>equip.xml!M595</f>
        <v>102_1972_1972</v>
      </c>
      <c r="M591" s="7" t="str">
        <f>equip.xml!Q595</f>
        <v>equipment/2316.png</v>
      </c>
      <c r="N591" t="str">
        <f>equip.xml!P595</f>
        <v>10000_1002_55000,30000_30001_1,30000_30002_1,30000_30003_1</v>
      </c>
    </row>
    <row r="592" spans="1:14">
      <c r="A592" s="1" t="str">
        <f>equip.xml!A596</f>
        <v>20550040</v>
      </c>
      <c r="B592" s="1">
        <f>equip.xml!B596</f>
        <v>1</v>
      </c>
      <c r="C592" s="1" t="str">
        <f>equip.xml!C596</f>
        <v>血卫胸甲</v>
      </c>
      <c r="D592" s="1" t="str">
        <f>equip.xml!D596</f>
        <v>胸甲</v>
      </c>
      <c r="E592" s="1">
        <f>equip.xml!E596</f>
        <v>4</v>
      </c>
      <c r="F592" s="1">
        <f>equip.xml!F596</f>
        <v>2</v>
      </c>
      <c r="G592" s="1">
        <f>equip.xml!G596</f>
        <v>55</v>
      </c>
      <c r="H592" s="1">
        <f>equip.xml!H596</f>
        <v>0</v>
      </c>
      <c r="I592" s="1">
        <f>equip.xml!J596</f>
        <v>10</v>
      </c>
      <c r="J592" s="1">
        <f>equip.xml!K596</f>
        <v>0</v>
      </c>
      <c r="K592" s="1">
        <f>equip.xml!L596</f>
        <v>0</v>
      </c>
      <c r="L592" s="1" t="str">
        <f>equip.xml!M596</f>
        <v>105_1153_1153</v>
      </c>
      <c r="M592" s="7" t="str">
        <f>equip.xml!Q596</f>
        <v>equipment/5015.png</v>
      </c>
      <c r="N592" t="str">
        <f>equip.xml!P596</f>
        <v>10000_1002_55000,30000_30001_1,30000_30002_1,30000_30003_1</v>
      </c>
    </row>
    <row r="593" spans="1:14">
      <c r="A593" s="1" t="str">
        <f>equip.xml!A597</f>
        <v>20550041</v>
      </c>
      <c r="B593" s="1">
        <f>equip.xml!B597</f>
        <v>0</v>
      </c>
      <c r="C593" s="1" t="str">
        <f>equip.xml!C597</f>
        <v>新兵外套</v>
      </c>
      <c r="D593" s="1" t="str">
        <f>equip.xml!D597</f>
        <v>胸甲</v>
      </c>
      <c r="E593" s="1">
        <f>equip.xml!E597</f>
        <v>4</v>
      </c>
      <c r="F593" s="1">
        <f>equip.xml!F597</f>
        <v>2</v>
      </c>
      <c r="G593" s="1">
        <f>equip.xml!G597</f>
        <v>55</v>
      </c>
      <c r="H593" s="1">
        <f>equip.xml!H597</f>
        <v>0</v>
      </c>
      <c r="I593" s="1">
        <f>equip.xml!J597</f>
        <v>10</v>
      </c>
      <c r="J593" s="1">
        <f>equip.xml!K597</f>
        <v>0</v>
      </c>
      <c r="K593" s="1">
        <f>equip.xml!L597</f>
        <v>0</v>
      </c>
      <c r="L593" s="1" t="str">
        <f>equip.xml!M597</f>
        <v>105_1243_1243</v>
      </c>
      <c r="M593" s="7" t="str">
        <f>equip.xml!Q597</f>
        <v>equipment/5001.png</v>
      </c>
      <c r="N593" t="str">
        <f>equip.xml!P597</f>
        <v>10000_1002_55000,30000_30001_1,30000_30002_1,30000_30003_1</v>
      </c>
    </row>
    <row r="594" spans="1:14">
      <c r="A594" s="1" t="str">
        <f>equip.xml!A598</f>
        <v>20550070</v>
      </c>
      <c r="B594" s="1">
        <f>equip.xml!B598</f>
        <v>1</v>
      </c>
      <c r="C594" s="1" t="str">
        <f>equip.xml!C598</f>
        <v>征服者护腿</v>
      </c>
      <c r="D594" s="1" t="str">
        <f>equip.xml!D598</f>
        <v>护腿</v>
      </c>
      <c r="E594" s="1">
        <f>equip.xml!E598</f>
        <v>7</v>
      </c>
      <c r="F594" s="1">
        <f>equip.xml!F598</f>
        <v>2</v>
      </c>
      <c r="G594" s="1">
        <f>equip.xml!G598</f>
        <v>55</v>
      </c>
      <c r="H594" s="1">
        <f>equip.xml!H598</f>
        <v>0</v>
      </c>
      <c r="I594" s="1">
        <f>equip.xml!J598</f>
        <v>10</v>
      </c>
      <c r="J594" s="1">
        <f>equip.xml!K598</f>
        <v>0</v>
      </c>
      <c r="K594" s="1">
        <f>equip.xml!L598</f>
        <v>0</v>
      </c>
      <c r="L594" s="1" t="str">
        <f>equip.xml!M598</f>
        <v>105_780_780</v>
      </c>
      <c r="M594" s="7" t="str">
        <f>equip.xml!Q598</f>
        <v>equipment/7013.png</v>
      </c>
      <c r="N594" t="str">
        <f>equip.xml!P598</f>
        <v>10000_1002_55000,30000_30001_1,30000_30002_1,30000_30003_1</v>
      </c>
    </row>
    <row r="595" spans="1:14">
      <c r="A595" s="1" t="str">
        <f>equip.xml!A599</f>
        <v>20550071</v>
      </c>
      <c r="B595" s="1">
        <f>equip.xml!B599</f>
        <v>0</v>
      </c>
      <c r="C595" s="1" t="str">
        <f>equip.xml!C599</f>
        <v>学徒短裤</v>
      </c>
      <c r="D595" s="1" t="str">
        <f>equip.xml!D599</f>
        <v>护腿</v>
      </c>
      <c r="E595" s="1">
        <f>equip.xml!E599</f>
        <v>7</v>
      </c>
      <c r="F595" s="1">
        <f>equip.xml!F599</f>
        <v>2</v>
      </c>
      <c r="G595" s="1">
        <f>equip.xml!G599</f>
        <v>55</v>
      </c>
      <c r="H595" s="1">
        <f>equip.xml!H599</f>
        <v>0</v>
      </c>
      <c r="I595" s="1">
        <f>equip.xml!J599</f>
        <v>10</v>
      </c>
      <c r="J595" s="1">
        <f>equip.xml!K599</f>
        <v>0</v>
      </c>
      <c r="K595" s="1">
        <f>equip.xml!L599</f>
        <v>0</v>
      </c>
      <c r="L595" s="1" t="str">
        <f>equip.xml!M599</f>
        <v>105_929_929</v>
      </c>
      <c r="M595" s="7" t="str">
        <f>equip.xml!Q599</f>
        <v>equipment/7001.png</v>
      </c>
      <c r="N595" t="str">
        <f>equip.xml!P599</f>
        <v>10000_1002_55000,30000_30001_1,30000_30002_1,30000_30003_1</v>
      </c>
    </row>
    <row r="596" spans="1:14">
      <c r="A596" s="1" t="str">
        <f>equip.xml!A600</f>
        <v>20600010</v>
      </c>
      <c r="B596" s="1">
        <f>equip.xml!B600</f>
        <v>1</v>
      </c>
      <c r="C596" s="1" t="str">
        <f>equip.xml!C600</f>
        <v>英勇战盔</v>
      </c>
      <c r="D596" s="1" t="str">
        <f>equip.xml!D600</f>
        <v>头盔</v>
      </c>
      <c r="E596" s="1">
        <f>equip.xml!E600</f>
        <v>1</v>
      </c>
      <c r="F596" s="1">
        <f>equip.xml!F600</f>
        <v>2</v>
      </c>
      <c r="G596" s="1">
        <f>equip.xml!G600</f>
        <v>60</v>
      </c>
      <c r="H596" s="1">
        <f>equip.xml!H600</f>
        <v>0</v>
      </c>
      <c r="I596" s="1">
        <f>equip.xml!J600</f>
        <v>10</v>
      </c>
      <c r="J596" s="1">
        <f>equip.xml!K600</f>
        <v>0</v>
      </c>
      <c r="K596" s="1">
        <f>equip.xml!L600</f>
        <v>0</v>
      </c>
      <c r="L596" s="1" t="str">
        <f>equip.xml!M600</f>
        <v>106_1628_1628</v>
      </c>
      <c r="M596" s="7" t="str">
        <f>equip.xml!Q600</f>
        <v>equipment/3010.png</v>
      </c>
      <c r="N596" t="str">
        <f>equip.xml!P600</f>
        <v>10000_1002_60000,30000_30001_1,30000_30002_1,30000_30003_1</v>
      </c>
    </row>
    <row r="597" spans="1:14">
      <c r="A597" s="1" t="str">
        <f>equip.xml!A601</f>
        <v>20600020</v>
      </c>
      <c r="B597" s="1">
        <f>equip.xml!B601</f>
        <v>1</v>
      </c>
      <c r="C597" s="1" t="str">
        <f>equip.xml!C601</f>
        <v>星宇指环</v>
      </c>
      <c r="D597" s="1" t="str">
        <f>equip.xml!D601</f>
        <v>戒指</v>
      </c>
      <c r="E597" s="1">
        <f>equip.xml!E601</f>
        <v>2</v>
      </c>
      <c r="F597" s="1">
        <f>equip.xml!F601</f>
        <v>2</v>
      </c>
      <c r="G597" s="1">
        <f>equip.xml!G601</f>
        <v>60</v>
      </c>
      <c r="H597" s="1">
        <f>equip.xml!H601</f>
        <v>0</v>
      </c>
      <c r="I597" s="1">
        <f>equip.xml!J601</f>
        <v>10</v>
      </c>
      <c r="J597" s="1">
        <f>equip.xml!K601</f>
        <v>0</v>
      </c>
      <c r="K597" s="1">
        <f>equip.xml!L601</f>
        <v>0</v>
      </c>
      <c r="L597" s="1" t="str">
        <f>equip.xml!M601</f>
        <v>102_1260_1260</v>
      </c>
      <c r="M597" s="7" t="str">
        <f>equip.xml!Q601</f>
        <v>equipment/14010.png</v>
      </c>
      <c r="N597" t="str">
        <f>equip.xml!P601</f>
        <v>10000_1002_60000,30000_30001_1,30000_30002_1,30000_30003_1</v>
      </c>
    </row>
    <row r="598" spans="1:14">
      <c r="A598" s="1" t="str">
        <f>equip.xml!A602</f>
        <v>20600030</v>
      </c>
      <c r="B598" s="1">
        <f>equip.xml!B602</f>
        <v>1</v>
      </c>
      <c r="C598" s="1" t="str">
        <f>equip.xml!C602</f>
        <v>远征腰带</v>
      </c>
      <c r="D598" s="1" t="str">
        <f>equip.xml!D602</f>
        <v>腰带</v>
      </c>
      <c r="E598" s="1">
        <f>equip.xml!E602</f>
        <v>3</v>
      </c>
      <c r="F598" s="1">
        <f>equip.xml!F602</f>
        <v>2</v>
      </c>
      <c r="G598" s="1">
        <f>equip.xml!G602</f>
        <v>60</v>
      </c>
      <c r="H598" s="1">
        <f>equip.xml!H602</f>
        <v>0</v>
      </c>
      <c r="I598" s="1">
        <f>equip.xml!J602</f>
        <v>10</v>
      </c>
      <c r="J598" s="1">
        <f>equip.xml!K602</f>
        <v>0</v>
      </c>
      <c r="K598" s="1">
        <f>equip.xml!L602</f>
        <v>0</v>
      </c>
      <c r="L598" s="1" t="str">
        <f>equip.xml!M602</f>
        <v>101_13920_13920</v>
      </c>
      <c r="M598" s="7" t="str">
        <f>equip.xml!Q602</f>
        <v>equipment/6010.png</v>
      </c>
      <c r="N598" t="str">
        <f>equip.xml!P602</f>
        <v>10000_1002_60000,30000_30001_1,30000_30002_1,30000_30003_1</v>
      </c>
    </row>
    <row r="599" spans="1:14">
      <c r="A599" s="1" t="str">
        <f>equip.xml!A603</f>
        <v>20600080</v>
      </c>
      <c r="B599" s="1">
        <f>equip.xml!B603</f>
        <v>1</v>
      </c>
      <c r="C599" s="1" t="str">
        <f>equip.xml!C603</f>
        <v>风暴长靴</v>
      </c>
      <c r="D599" s="1" t="str">
        <f>equip.xml!D603</f>
        <v>鞋子</v>
      </c>
      <c r="E599" s="1">
        <f>equip.xml!E603</f>
        <v>8</v>
      </c>
      <c r="F599" s="1">
        <f>equip.xml!F603</f>
        <v>2</v>
      </c>
      <c r="G599" s="1">
        <f>equip.xml!G603</f>
        <v>60</v>
      </c>
      <c r="H599" s="1">
        <f>equip.xml!H603</f>
        <v>0</v>
      </c>
      <c r="I599" s="1">
        <f>equip.xml!J603</f>
        <v>10</v>
      </c>
      <c r="J599" s="1">
        <f>equip.xml!K603</f>
        <v>0</v>
      </c>
      <c r="K599" s="1">
        <f>equip.xml!L603</f>
        <v>0</v>
      </c>
      <c r="L599" s="1" t="str">
        <f>equip.xml!M603</f>
        <v>110_271_271</v>
      </c>
      <c r="M599" s="7" t="str">
        <f>equip.xml!Q603</f>
        <v>equipment/8010.png</v>
      </c>
      <c r="N599" t="str">
        <f>equip.xml!P603</f>
        <v>10000_1002_60000,30000_30001_1,30000_30002_1,30000_30003_1</v>
      </c>
    </row>
    <row r="600" spans="1:14">
      <c r="A600" s="1" t="str">
        <f>equip.xml!A604</f>
        <v>20600090</v>
      </c>
      <c r="B600" s="1">
        <f>equip.xml!B604</f>
        <v>1</v>
      </c>
      <c r="C600" s="1" t="str">
        <f>equip.xml!C604</f>
        <v>远征军护手</v>
      </c>
      <c r="D600" s="1" t="str">
        <f>equip.xml!D604</f>
        <v>手套</v>
      </c>
      <c r="E600" s="1">
        <f>equip.xml!E604</f>
        <v>9</v>
      </c>
      <c r="F600" s="1">
        <f>equip.xml!F604</f>
        <v>2</v>
      </c>
      <c r="G600" s="1">
        <f>equip.xml!G604</f>
        <v>60</v>
      </c>
      <c r="H600" s="1">
        <f>equip.xml!H604</f>
        <v>0</v>
      </c>
      <c r="I600" s="1">
        <f>equip.xml!J604</f>
        <v>10</v>
      </c>
      <c r="J600" s="1">
        <f>equip.xml!K604</f>
        <v>0</v>
      </c>
      <c r="K600" s="1">
        <f>equip.xml!L604</f>
        <v>0</v>
      </c>
      <c r="L600" s="1" t="str">
        <f>equip.xml!M604</f>
        <v>108_2300_2300</v>
      </c>
      <c r="M600" s="7" t="str">
        <f>equip.xml!Q604</f>
        <v>equipment/10010.png</v>
      </c>
      <c r="N600" t="str">
        <f>equip.xml!P604</f>
        <v>10000_1002_60000,30000_30001_1,30000_30002_1,30000_30003_1</v>
      </c>
    </row>
    <row r="601" spans="1:14">
      <c r="A601" s="1" t="str">
        <f>equip.xml!A605</f>
        <v>20600100</v>
      </c>
      <c r="B601" s="1">
        <f>equip.xml!B605</f>
        <v>1</v>
      </c>
      <c r="C601" s="1" t="str">
        <f>equip.xml!C605</f>
        <v>悔恨之链</v>
      </c>
      <c r="D601" s="1" t="str">
        <f>equip.xml!D605</f>
        <v>项链</v>
      </c>
      <c r="E601" s="1">
        <f>equip.xml!E605</f>
        <v>10</v>
      </c>
      <c r="F601" s="1">
        <f>equip.xml!F605</f>
        <v>2</v>
      </c>
      <c r="G601" s="1">
        <f>equip.xml!G605</f>
        <v>60</v>
      </c>
      <c r="H601" s="1">
        <f>equip.xml!H605</f>
        <v>0</v>
      </c>
      <c r="I601" s="1">
        <f>equip.xml!J605</f>
        <v>10</v>
      </c>
      <c r="J601" s="1">
        <f>equip.xml!K605</f>
        <v>0</v>
      </c>
      <c r="K601" s="1">
        <f>equip.xml!L605</f>
        <v>0</v>
      </c>
      <c r="L601" s="1" t="str">
        <f>equip.xml!M605</f>
        <v>107_1628_1628</v>
      </c>
      <c r="M601" s="7" t="str">
        <f>equip.xml!Q605</f>
        <v>equipment/12010.png</v>
      </c>
      <c r="N601" t="str">
        <f>equip.xml!P605</f>
        <v>10000_1002_60000,30000_30001_1,30000_30002_1,30000_30003_1</v>
      </c>
    </row>
    <row r="602" spans="1:14">
      <c r="A602" s="1" t="str">
        <f>equip.xml!A606</f>
        <v>20601050</v>
      </c>
      <c r="B602" s="1">
        <f>equip.xml!B606</f>
        <v>1</v>
      </c>
      <c r="C602" s="1" t="str">
        <f>equip.xml!C606</f>
        <v>毁灭之刃</v>
      </c>
      <c r="D602" s="1" t="str">
        <f>equip.xml!D606</f>
        <v>主手武器</v>
      </c>
      <c r="E602" s="1">
        <f>equip.xml!E606</f>
        <v>5</v>
      </c>
      <c r="F602" s="1">
        <f>equip.xml!F606</f>
        <v>2</v>
      </c>
      <c r="G602" s="1">
        <f>equip.xml!G606</f>
        <v>60</v>
      </c>
      <c r="H602" s="1" t="str">
        <f>equip.xml!H606</f>
        <v>1,1001</v>
      </c>
      <c r="I602" s="1">
        <f>equip.xml!J606</f>
        <v>10</v>
      </c>
      <c r="J602" s="1">
        <f>equip.xml!K606</f>
        <v>0</v>
      </c>
      <c r="K602" s="1">
        <f>equip.xml!L606</f>
        <v>0</v>
      </c>
      <c r="L602" s="1" t="str">
        <f>equip.xml!M606</f>
        <v>103_2007_2007,104_4014_4014</v>
      </c>
      <c r="M602" s="7" t="str">
        <f>equip.xml!Q606</f>
        <v>equipment/1118.png</v>
      </c>
      <c r="N602" t="str">
        <f>equip.xml!P606</f>
        <v>10000_1002_60000,30000_30001_1,30000_30002_1,30000_30003_1</v>
      </c>
    </row>
    <row r="603" spans="1:14">
      <c r="A603" s="1" t="str">
        <f>equip.xml!A607</f>
        <v>20601051</v>
      </c>
      <c r="B603" s="1">
        <f>equip.xml!B607</f>
        <v>1</v>
      </c>
      <c r="C603" s="1" t="str">
        <f>equip.xml!C607</f>
        <v>逐光巨剑</v>
      </c>
      <c r="D603" s="1" t="str">
        <f>equip.xml!D607</f>
        <v>主手武器</v>
      </c>
      <c r="E603" s="1">
        <f>equip.xml!E607</f>
        <v>5</v>
      </c>
      <c r="F603" s="1">
        <f>equip.xml!F607</f>
        <v>2</v>
      </c>
      <c r="G603" s="1">
        <f>equip.xml!G607</f>
        <v>60</v>
      </c>
      <c r="H603" s="1" t="str">
        <f>equip.xml!H607</f>
        <v>1,1001</v>
      </c>
      <c r="I603" s="1">
        <f>equip.xml!J607</f>
        <v>10</v>
      </c>
      <c r="J603" s="1">
        <f>equip.xml!K607</f>
        <v>0</v>
      </c>
      <c r="K603" s="1">
        <f>equip.xml!L607</f>
        <v>0</v>
      </c>
      <c r="L603" s="1" t="str">
        <f>equip.xml!M607</f>
        <v>103_2252_2252,104_4504_4504</v>
      </c>
      <c r="M603" s="7" t="str">
        <f>equip.xml!Q607</f>
        <v>equipment/1122.png</v>
      </c>
      <c r="N603" t="str">
        <f>equip.xml!P607</f>
        <v>10000_1002_60000,30000_30001_1,30000_30002_1,30000_30003_1</v>
      </c>
    </row>
    <row r="604" spans="1:14">
      <c r="A604" s="1" t="str">
        <f>equip.xml!A608</f>
        <v>20601060</v>
      </c>
      <c r="B604" s="1">
        <f>equip.xml!B608</f>
        <v>1</v>
      </c>
      <c r="C604" s="1" t="str">
        <f>equip.xml!C608</f>
        <v>灵魂壁垒</v>
      </c>
      <c r="D604" s="1" t="str">
        <f>equip.xml!D608</f>
        <v>副手武器</v>
      </c>
      <c r="E604" s="1">
        <f>equip.xml!E608</f>
        <v>6</v>
      </c>
      <c r="F604" s="1">
        <f>equip.xml!F608</f>
        <v>2</v>
      </c>
      <c r="G604" s="1">
        <f>equip.xml!G608</f>
        <v>60</v>
      </c>
      <c r="H604" s="1" t="str">
        <f>equip.xml!H608</f>
        <v>1,1001</v>
      </c>
      <c r="I604" s="1">
        <f>equip.xml!J608</f>
        <v>10</v>
      </c>
      <c r="J604" s="1">
        <f>equip.xml!K608</f>
        <v>0</v>
      </c>
      <c r="K604" s="1">
        <f>equip.xml!L608</f>
        <v>0</v>
      </c>
      <c r="L604" s="1" t="str">
        <f>equip.xml!M608</f>
        <v>105_2515_2515</v>
      </c>
      <c r="M604" s="7" t="str">
        <f>equip.xml!Q608</f>
        <v>equipment/2115.png</v>
      </c>
      <c r="N604" t="str">
        <f>equip.xml!P608</f>
        <v>10000_1002_60000,30000_30001_1,30000_30002_1,30000_30003_1</v>
      </c>
    </row>
    <row r="605" spans="1:14">
      <c r="A605" s="1" t="str">
        <f>equip.xml!A609</f>
        <v>20601061</v>
      </c>
      <c r="B605" s="1">
        <f>equip.xml!B609</f>
        <v>0</v>
      </c>
      <c r="C605" s="1" t="str">
        <f>equip.xml!C609</f>
        <v>尖头盾</v>
      </c>
      <c r="D605" s="1" t="str">
        <f>equip.xml!D609</f>
        <v>副手武器</v>
      </c>
      <c r="E605" s="1">
        <f>equip.xml!E609</f>
        <v>6</v>
      </c>
      <c r="F605" s="1">
        <f>equip.xml!F609</f>
        <v>2</v>
      </c>
      <c r="G605" s="1">
        <f>equip.xml!G609</f>
        <v>60</v>
      </c>
      <c r="H605" s="1" t="str">
        <f>equip.xml!H609</f>
        <v>1,1001</v>
      </c>
      <c r="I605" s="1">
        <f>equip.xml!J609</f>
        <v>10</v>
      </c>
      <c r="J605" s="1">
        <f>equip.xml!K609</f>
        <v>0</v>
      </c>
      <c r="K605" s="1">
        <f>equip.xml!L609</f>
        <v>0</v>
      </c>
      <c r="L605" s="1" t="str">
        <f>equip.xml!M609</f>
        <v>105_2704_2704</v>
      </c>
      <c r="M605" s="7" t="str">
        <f>equip.xml!Q609</f>
        <v>equipment/2101.png</v>
      </c>
      <c r="N605" t="str">
        <f>equip.xml!P609</f>
        <v>10000_1002_60000,30000_30001_1,30000_30002_1,30000_30003_1</v>
      </c>
    </row>
    <row r="606" spans="1:14">
      <c r="A606" s="1" t="str">
        <f>equip.xml!A610</f>
        <v>20602050</v>
      </c>
      <c r="B606" s="1">
        <f>equip.xml!B610</f>
        <v>1</v>
      </c>
      <c r="C606" s="1" t="str">
        <f>equip.xml!C610</f>
        <v>暗之追猎者</v>
      </c>
      <c r="D606" s="1" t="str">
        <f>equip.xml!D610</f>
        <v>主手武器</v>
      </c>
      <c r="E606" s="1">
        <f>equip.xml!E610</f>
        <v>5</v>
      </c>
      <c r="F606" s="1">
        <f>equip.xml!F610</f>
        <v>2</v>
      </c>
      <c r="G606" s="1">
        <f>equip.xml!G610</f>
        <v>60</v>
      </c>
      <c r="H606" s="1" t="str">
        <f>equip.xml!H610</f>
        <v>2,1002</v>
      </c>
      <c r="I606" s="1">
        <f>equip.xml!J610</f>
        <v>10</v>
      </c>
      <c r="J606" s="1">
        <f>equip.xml!K610</f>
        <v>0</v>
      </c>
      <c r="K606" s="1">
        <f>equip.xml!L610</f>
        <v>0</v>
      </c>
      <c r="L606" s="1" t="str">
        <f>equip.xml!M610</f>
        <v>103_2007_2007,104_4014_4014</v>
      </c>
      <c r="M606" s="7" t="str">
        <f>equip.xml!Q610</f>
        <v>equipment/1220.png</v>
      </c>
      <c r="N606" t="str">
        <f>equip.xml!P610</f>
        <v>10000_1002_60000,30000_30001_1,30000_30002_1,30000_30003_1</v>
      </c>
    </row>
    <row r="607" spans="1:14">
      <c r="A607" s="1" t="str">
        <f>equip.xml!A611</f>
        <v>20602051</v>
      </c>
      <c r="B607" s="1">
        <f>equip.xml!B611</f>
        <v>0</v>
      </c>
      <c r="C607" s="1" t="str">
        <f>equip.xml!C611</f>
        <v>棘木弓</v>
      </c>
      <c r="D607" s="1" t="str">
        <f>equip.xml!D611</f>
        <v>主手武器</v>
      </c>
      <c r="E607" s="1">
        <f>equip.xml!E611</f>
        <v>5</v>
      </c>
      <c r="F607" s="1">
        <f>equip.xml!F611</f>
        <v>2</v>
      </c>
      <c r="G607" s="1">
        <f>equip.xml!G611</f>
        <v>60</v>
      </c>
      <c r="H607" s="1" t="str">
        <f>equip.xml!H611</f>
        <v>2,1002</v>
      </c>
      <c r="I607" s="1">
        <f>equip.xml!J611</f>
        <v>10</v>
      </c>
      <c r="J607" s="1">
        <f>equip.xml!K611</f>
        <v>0</v>
      </c>
      <c r="K607" s="1">
        <f>equip.xml!L611</f>
        <v>0</v>
      </c>
      <c r="L607" s="1" t="str">
        <f>equip.xml!M611</f>
        <v>103_2252_2252,104_4504_4504</v>
      </c>
      <c r="M607" s="7" t="str">
        <f>equip.xml!Q611</f>
        <v>equipment/1201.png</v>
      </c>
      <c r="N607" t="str">
        <f>equip.xml!P611</f>
        <v>10000_1002_60000,30000_30001_1,30000_30002_1,30000_30003_1</v>
      </c>
    </row>
    <row r="608" spans="1:14">
      <c r="A608" s="1" t="str">
        <f>equip.xml!A612</f>
        <v>20602060</v>
      </c>
      <c r="B608" s="1">
        <f>equip.xml!B612</f>
        <v>1</v>
      </c>
      <c r="C608" s="1" t="str">
        <f>equip.xml!C612</f>
        <v>猎星箭袋</v>
      </c>
      <c r="D608" s="1" t="str">
        <f>equip.xml!D612</f>
        <v>副手武器</v>
      </c>
      <c r="E608" s="1">
        <f>equip.xml!E612</f>
        <v>6</v>
      </c>
      <c r="F608" s="1">
        <f>equip.xml!F612</f>
        <v>2</v>
      </c>
      <c r="G608" s="1">
        <f>equip.xml!G612</f>
        <v>60</v>
      </c>
      <c r="H608" s="1" t="str">
        <f>equip.xml!H612</f>
        <v>2,1002</v>
      </c>
      <c r="I608" s="1">
        <f>equip.xml!J612</f>
        <v>10</v>
      </c>
      <c r="J608" s="1">
        <f>equip.xml!K612</f>
        <v>0</v>
      </c>
      <c r="K608" s="1">
        <f>equip.xml!L612</f>
        <v>0</v>
      </c>
      <c r="L608" s="1" t="str">
        <f>equip.xml!M612</f>
        <v>108_2515_2515</v>
      </c>
      <c r="M608" s="7" t="str">
        <f>equip.xml!Q612</f>
        <v>equipment/2215.png</v>
      </c>
      <c r="N608" t="str">
        <f>equip.xml!P612</f>
        <v>10000_1002_60000,30000_30001_1,30000_30002_1,30000_30003_1</v>
      </c>
    </row>
    <row r="609" spans="1:14">
      <c r="A609" s="1" t="str">
        <f>equip.xml!A613</f>
        <v>20602061</v>
      </c>
      <c r="B609" s="1">
        <f>equip.xml!B613</f>
        <v>0</v>
      </c>
      <c r="C609" s="1" t="str">
        <f>equip.xml!C613</f>
        <v>箭筒</v>
      </c>
      <c r="D609" s="1" t="str">
        <f>equip.xml!D613</f>
        <v>副手武器</v>
      </c>
      <c r="E609" s="1">
        <f>equip.xml!E613</f>
        <v>6</v>
      </c>
      <c r="F609" s="1">
        <f>equip.xml!F613</f>
        <v>2</v>
      </c>
      <c r="G609" s="1">
        <f>equip.xml!G613</f>
        <v>60</v>
      </c>
      <c r="H609" s="1" t="str">
        <f>equip.xml!H613</f>
        <v>2,1002</v>
      </c>
      <c r="I609" s="1">
        <f>equip.xml!J613</f>
        <v>10</v>
      </c>
      <c r="J609" s="1">
        <f>equip.xml!K613</f>
        <v>0</v>
      </c>
      <c r="K609" s="1">
        <f>equip.xml!L613</f>
        <v>0</v>
      </c>
      <c r="L609" s="1" t="str">
        <f>equip.xml!M613</f>
        <v>108_2704_2704</v>
      </c>
      <c r="M609" s="7" t="str">
        <f>equip.xml!Q613</f>
        <v>equipment/2201.png</v>
      </c>
      <c r="N609" t="str">
        <f>equip.xml!P613</f>
        <v>10000_1002_60000,30000_30001_1,30000_30002_1,30000_30003_1</v>
      </c>
    </row>
    <row r="610" spans="1:14">
      <c r="A610" s="1" t="str">
        <f>equip.xml!A614</f>
        <v>20603050</v>
      </c>
      <c r="B610" s="1">
        <f>equip.xml!B614</f>
        <v>1</v>
      </c>
      <c r="C610" s="1" t="str">
        <f>equip.xml!C614</f>
        <v>无尽回响之杖</v>
      </c>
      <c r="D610" s="1" t="str">
        <f>equip.xml!D614</f>
        <v>主手武器</v>
      </c>
      <c r="E610" s="1">
        <f>equip.xml!E614</f>
        <v>5</v>
      </c>
      <c r="F610" s="1">
        <f>equip.xml!F614</f>
        <v>2</v>
      </c>
      <c r="G610" s="1">
        <f>equip.xml!G614</f>
        <v>60</v>
      </c>
      <c r="H610" s="1" t="str">
        <f>equip.xml!H614</f>
        <v>3,1003</v>
      </c>
      <c r="I610" s="1">
        <f>equip.xml!J614</f>
        <v>10</v>
      </c>
      <c r="J610" s="1">
        <f>equip.xml!K614</f>
        <v>0</v>
      </c>
      <c r="K610" s="1">
        <f>equip.xml!L614</f>
        <v>0</v>
      </c>
      <c r="L610" s="1" t="str">
        <f>equip.xml!M614</f>
        <v>103_2007_2007,104_4014_4014</v>
      </c>
      <c r="M610" s="7" t="str">
        <f>equip.xml!Q614</f>
        <v>equipment/1322.png</v>
      </c>
      <c r="N610" t="str">
        <f>equip.xml!P614</f>
        <v>10000_1002_60000,30000_30001_1,30000_30002_1,30000_30003_1</v>
      </c>
    </row>
    <row r="611" spans="1:14">
      <c r="A611" s="1" t="str">
        <f>equip.xml!A615</f>
        <v>20603051</v>
      </c>
      <c r="B611" s="1">
        <f>equip.xml!B615</f>
        <v>0</v>
      </c>
      <c r="C611" s="1" t="str">
        <f>equip.xml!C615</f>
        <v>日辉法杖</v>
      </c>
      <c r="D611" s="1" t="str">
        <f>equip.xml!D615</f>
        <v>主手武器</v>
      </c>
      <c r="E611" s="1">
        <f>equip.xml!E615</f>
        <v>5</v>
      </c>
      <c r="F611" s="1">
        <f>equip.xml!F615</f>
        <v>2</v>
      </c>
      <c r="G611" s="1">
        <f>equip.xml!G615</f>
        <v>60</v>
      </c>
      <c r="H611" s="1" t="str">
        <f>equip.xml!H615</f>
        <v>3,1003</v>
      </c>
      <c r="I611" s="1">
        <f>equip.xml!J615</f>
        <v>10</v>
      </c>
      <c r="J611" s="1">
        <f>equip.xml!K615</f>
        <v>0</v>
      </c>
      <c r="K611" s="1">
        <f>equip.xml!L615</f>
        <v>0</v>
      </c>
      <c r="L611" s="1" t="str">
        <f>equip.xml!M615</f>
        <v>103_2252_2252,104_4504_4504</v>
      </c>
      <c r="M611" s="7" t="str">
        <f>equip.xml!Q615</f>
        <v>equipment/1301.png</v>
      </c>
      <c r="N611" t="str">
        <f>equip.xml!P615</f>
        <v>10000_1002_60000,30000_30001_1,30000_30002_1,30000_30003_1</v>
      </c>
    </row>
    <row r="612" spans="1:14">
      <c r="A612" s="1" t="str">
        <f>equip.xml!A616</f>
        <v>20603060</v>
      </c>
      <c r="B612" s="1">
        <f>equip.xml!B616</f>
        <v>1</v>
      </c>
      <c r="C612" s="1" t="str">
        <f>equip.xml!C616</f>
        <v>星图指南</v>
      </c>
      <c r="D612" s="1" t="str">
        <f>equip.xml!D616</f>
        <v>副手武器</v>
      </c>
      <c r="E612" s="1">
        <f>equip.xml!E616</f>
        <v>6</v>
      </c>
      <c r="F612" s="1">
        <f>equip.xml!F616</f>
        <v>2</v>
      </c>
      <c r="G612" s="1">
        <f>equip.xml!G616</f>
        <v>60</v>
      </c>
      <c r="H612" s="1" t="str">
        <f>equip.xml!H616</f>
        <v>3,1003</v>
      </c>
      <c r="I612" s="1">
        <f>equip.xml!J616</f>
        <v>10</v>
      </c>
      <c r="J612" s="1">
        <f>equip.xml!K616</f>
        <v>0</v>
      </c>
      <c r="K612" s="1">
        <f>equip.xml!L616</f>
        <v>0</v>
      </c>
      <c r="L612" s="1" t="str">
        <f>equip.xml!M616</f>
        <v>102_2260_2260</v>
      </c>
      <c r="M612" s="7" t="str">
        <f>equip.xml!Q616</f>
        <v>equipment/2315.png</v>
      </c>
      <c r="N612" t="str">
        <f>equip.xml!P616</f>
        <v>10000_1002_60000,30000_30001_1,30000_30002_1,30000_30003_1</v>
      </c>
    </row>
    <row r="613" spans="1:14">
      <c r="A613" s="1" t="str">
        <f>equip.xml!A617</f>
        <v>20603061</v>
      </c>
      <c r="B613" s="1">
        <f>equip.xml!B617</f>
        <v>0</v>
      </c>
      <c r="C613" s="1" t="str">
        <f>equip.xml!C617</f>
        <v>法术指南</v>
      </c>
      <c r="D613" s="1" t="str">
        <f>equip.xml!D617</f>
        <v>副手武器</v>
      </c>
      <c r="E613" s="1">
        <f>equip.xml!E617</f>
        <v>6</v>
      </c>
      <c r="F613" s="1">
        <f>equip.xml!F617</f>
        <v>2</v>
      </c>
      <c r="G613" s="1">
        <f>equip.xml!G617</f>
        <v>60</v>
      </c>
      <c r="H613" s="1" t="str">
        <f>equip.xml!H617</f>
        <v>3,1003</v>
      </c>
      <c r="I613" s="1">
        <f>equip.xml!J617</f>
        <v>10</v>
      </c>
      <c r="J613" s="1">
        <f>equip.xml!K617</f>
        <v>0</v>
      </c>
      <c r="K613" s="1">
        <f>equip.xml!L617</f>
        <v>0</v>
      </c>
      <c r="L613" s="1" t="str">
        <f>equip.xml!M617</f>
        <v>102_2704_2704</v>
      </c>
      <c r="M613" s="7" t="str">
        <f>equip.xml!Q617</f>
        <v>equipment/2301.png</v>
      </c>
      <c r="N613" t="str">
        <f>equip.xml!P617</f>
        <v>10000_1002_60000,30000_30001_1,30000_30002_1,30000_30003_1</v>
      </c>
    </row>
    <row r="614" spans="1:14">
      <c r="A614" s="1" t="str">
        <f>equip.xml!A618</f>
        <v>20600040</v>
      </c>
      <c r="B614" s="1">
        <f>equip.xml!B618</f>
        <v>1</v>
      </c>
      <c r="C614" s="1" t="str">
        <f>equip.xml!C618</f>
        <v>明光战甲</v>
      </c>
      <c r="D614" s="1" t="str">
        <f>equip.xml!D618</f>
        <v>胸甲</v>
      </c>
      <c r="E614" s="1">
        <f>equip.xml!E618</f>
        <v>4</v>
      </c>
      <c r="F614" s="1">
        <f>equip.xml!F618</f>
        <v>2</v>
      </c>
      <c r="G614" s="1">
        <f>equip.xml!G618</f>
        <v>60</v>
      </c>
      <c r="H614" s="1">
        <f>equip.xml!H618</f>
        <v>0</v>
      </c>
      <c r="I614" s="1">
        <f>equip.xml!J618</f>
        <v>10</v>
      </c>
      <c r="J614" s="1">
        <f>equip.xml!K618</f>
        <v>0</v>
      </c>
      <c r="K614" s="1">
        <f>equip.xml!L618</f>
        <v>0</v>
      </c>
      <c r="L614" s="1" t="str">
        <f>equip.xml!M618</f>
        <v>105_1377_1377</v>
      </c>
      <c r="M614" s="7" t="str">
        <f>equip.xml!Q618</f>
        <v>equipment/5016.png</v>
      </c>
      <c r="N614" t="str">
        <f>equip.xml!P618</f>
        <v>10000_1002_60000,30000_30001_1,30000_30002_1,30000_30003_1</v>
      </c>
    </row>
    <row r="615" spans="1:14">
      <c r="A615" s="1" t="str">
        <f>equip.xml!A619</f>
        <v>20600041</v>
      </c>
      <c r="B615" s="1">
        <f>equip.xml!B619</f>
        <v>0</v>
      </c>
      <c r="C615" s="1" t="str">
        <f>equip.xml!C619</f>
        <v>龙骑战甲</v>
      </c>
      <c r="D615" s="1" t="str">
        <f>equip.xml!D619</f>
        <v>胸甲</v>
      </c>
      <c r="E615" s="1">
        <f>equip.xml!E619</f>
        <v>4</v>
      </c>
      <c r="F615" s="1">
        <f>equip.xml!F619</f>
        <v>2</v>
      </c>
      <c r="G615" s="1">
        <f>equip.xml!G619</f>
        <v>60</v>
      </c>
      <c r="H615" s="1">
        <f>equip.xml!H619</f>
        <v>0</v>
      </c>
      <c r="I615" s="1">
        <f>equip.xml!J619</f>
        <v>10</v>
      </c>
      <c r="J615" s="1">
        <f>equip.xml!K619</f>
        <v>0</v>
      </c>
      <c r="K615" s="1">
        <f>equip.xml!L619</f>
        <v>0</v>
      </c>
      <c r="L615" s="1" t="str">
        <f>equip.xml!M619</f>
        <v>105_1477_1477</v>
      </c>
      <c r="M615" s="7" t="str">
        <f>equip.xml!Q619</f>
        <v>equipment/5001.png</v>
      </c>
      <c r="N615" t="str">
        <f>equip.xml!P619</f>
        <v>10000_1002_60000,30000_30001_1,30000_30002_1,30000_30003_1</v>
      </c>
    </row>
    <row r="616" spans="1:14">
      <c r="A616" s="1" t="str">
        <f>equip.xml!A620</f>
        <v>20600070</v>
      </c>
      <c r="B616" s="1">
        <f>equip.xml!B620</f>
        <v>1</v>
      </c>
      <c r="C616" s="1" t="str">
        <f>equip.xml!C620</f>
        <v>深渊护腿</v>
      </c>
      <c r="D616" s="1" t="str">
        <f>equip.xml!D620</f>
        <v>护腿</v>
      </c>
      <c r="E616" s="1">
        <f>equip.xml!E620</f>
        <v>7</v>
      </c>
      <c r="F616" s="1">
        <f>equip.xml!F620</f>
        <v>2</v>
      </c>
      <c r="G616" s="1">
        <f>equip.xml!G620</f>
        <v>60</v>
      </c>
      <c r="H616" s="1">
        <f>equip.xml!H620</f>
        <v>0</v>
      </c>
      <c r="I616" s="1">
        <f>equip.xml!J620</f>
        <v>10</v>
      </c>
      <c r="J616" s="1">
        <f>equip.xml!K620</f>
        <v>0</v>
      </c>
      <c r="K616" s="1">
        <f>equip.xml!L620</f>
        <v>0</v>
      </c>
      <c r="L616" s="1" t="str">
        <f>equip.xml!M620</f>
        <v>105_1152_1152</v>
      </c>
      <c r="M616" s="7" t="str">
        <f>equip.xml!Q620</f>
        <v>equipment/7014.png</v>
      </c>
      <c r="N616" t="str">
        <f>equip.xml!P620</f>
        <v>10000_1002_60000,30000_30001_1,30000_30002_1,30000_30003_1</v>
      </c>
    </row>
    <row r="617" spans="1:14">
      <c r="A617" s="1" t="str">
        <f>equip.xml!A621</f>
        <v>20600071</v>
      </c>
      <c r="B617" s="1">
        <f>equip.xml!B621</f>
        <v>1</v>
      </c>
      <c r="C617" s="1" t="str">
        <f>equip.xml!C621</f>
        <v>光耀腿甲</v>
      </c>
      <c r="D617" s="1" t="str">
        <f>equip.xml!D621</f>
        <v>护腿</v>
      </c>
      <c r="E617" s="1">
        <f>equip.xml!E621</f>
        <v>7</v>
      </c>
      <c r="F617" s="1">
        <f>equip.xml!F621</f>
        <v>2</v>
      </c>
      <c r="G617" s="1">
        <f>equip.xml!G621</f>
        <v>60</v>
      </c>
      <c r="H617" s="1">
        <f>equip.xml!H621</f>
        <v>0</v>
      </c>
      <c r="I617" s="1">
        <f>equip.xml!J621</f>
        <v>10</v>
      </c>
      <c r="J617" s="1">
        <f>equip.xml!K621</f>
        <v>0</v>
      </c>
      <c r="K617" s="1">
        <f>equip.xml!L621</f>
        <v>0</v>
      </c>
      <c r="L617" s="1" t="str">
        <f>equip.xml!M621</f>
        <v>105_1342_1342</v>
      </c>
      <c r="M617" s="7" t="str">
        <f>equip.xml!Q621</f>
        <v>equipment/7015.png</v>
      </c>
      <c r="N617" t="str">
        <f>equip.xml!P621</f>
        <v>10000_1002_60000,30000_30001_1,30000_30002_1,30000_30003_1</v>
      </c>
    </row>
    <row r="618" spans="1:14">
      <c r="A618" s="1" t="str">
        <f>equip.xml!A622</f>
        <v>20650010</v>
      </c>
      <c r="B618" s="1">
        <f>equip.xml!B622</f>
        <v>1</v>
      </c>
      <c r="C618" s="1" t="str">
        <f>equip.xml!C622</f>
        <v>虚空之冠</v>
      </c>
      <c r="D618" s="1" t="str">
        <f>equip.xml!D622</f>
        <v>头盔</v>
      </c>
      <c r="E618" s="1">
        <f>equip.xml!E622</f>
        <v>1</v>
      </c>
      <c r="F618" s="1">
        <f>equip.xml!F622</f>
        <v>2</v>
      </c>
      <c r="G618" s="1">
        <f>equip.xml!G622</f>
        <v>65</v>
      </c>
      <c r="H618" s="1">
        <f>equip.xml!H622</f>
        <v>0</v>
      </c>
      <c r="I618" s="1">
        <f>equip.xml!J622</f>
        <v>10</v>
      </c>
      <c r="J618" s="1">
        <f>equip.xml!K622</f>
        <v>0</v>
      </c>
      <c r="K618" s="1">
        <f>equip.xml!L622</f>
        <v>0</v>
      </c>
      <c r="L618" s="1" t="str">
        <f>equip.xml!M622</f>
        <v>106_2015_2015</v>
      </c>
      <c r="M618" s="7" t="str">
        <f>equip.xml!Q622</f>
        <v>equipment/3011.png</v>
      </c>
      <c r="N618" t="str">
        <f>equip.xml!P622</f>
        <v>10000_1002_65000,30000_30001_1,30000_30002_1,30000_30003_1</v>
      </c>
    </row>
    <row r="619" spans="1:14">
      <c r="A619" s="1" t="str">
        <f>equip.xml!A623</f>
        <v>20650020</v>
      </c>
      <c r="B619" s="1">
        <f>equip.xml!B623</f>
        <v>1</v>
      </c>
      <c r="C619" s="1" t="str">
        <f>equip.xml!C623</f>
        <v>圣火指环</v>
      </c>
      <c r="D619" s="1" t="str">
        <f>equip.xml!D623</f>
        <v>戒指</v>
      </c>
      <c r="E619" s="1">
        <f>equip.xml!E623</f>
        <v>2</v>
      </c>
      <c r="F619" s="1">
        <f>equip.xml!F623</f>
        <v>2</v>
      </c>
      <c r="G619" s="1">
        <f>equip.xml!G623</f>
        <v>65</v>
      </c>
      <c r="H619" s="1">
        <f>equip.xml!H623</f>
        <v>0</v>
      </c>
      <c r="I619" s="1">
        <f>equip.xml!J623</f>
        <v>10</v>
      </c>
      <c r="J619" s="1">
        <f>equip.xml!K623</f>
        <v>0</v>
      </c>
      <c r="K619" s="1">
        <f>equip.xml!L623</f>
        <v>0</v>
      </c>
      <c r="L619" s="1" t="str">
        <f>equip.xml!M623</f>
        <v>102_1470_1470</v>
      </c>
      <c r="M619" s="7" t="str">
        <f>equip.xml!Q623</f>
        <v>equipment/14011.png</v>
      </c>
      <c r="N619" t="str">
        <f>equip.xml!P623</f>
        <v>10000_1002_65000,30000_30001_1,30000_30002_1,30000_30003_1</v>
      </c>
    </row>
    <row r="620" spans="1:14">
      <c r="A620" s="1" t="str">
        <f>equip.xml!A624</f>
        <v>20650030</v>
      </c>
      <c r="B620" s="1">
        <f>equip.xml!B624</f>
        <v>1</v>
      </c>
      <c r="C620" s="1" t="str">
        <f>equip.xml!C624</f>
        <v>统御腰带</v>
      </c>
      <c r="D620" s="1" t="str">
        <f>equip.xml!D624</f>
        <v>腰带</v>
      </c>
      <c r="E620" s="1">
        <f>equip.xml!E624</f>
        <v>3</v>
      </c>
      <c r="F620" s="1">
        <f>equip.xml!F624</f>
        <v>2</v>
      </c>
      <c r="G620" s="1">
        <f>equip.xml!G624</f>
        <v>65</v>
      </c>
      <c r="H620" s="1">
        <f>equip.xml!H624</f>
        <v>0</v>
      </c>
      <c r="I620" s="1">
        <f>equip.xml!J624</f>
        <v>10</v>
      </c>
      <c r="J620" s="1">
        <f>equip.xml!K624</f>
        <v>0</v>
      </c>
      <c r="K620" s="1">
        <f>equip.xml!L624</f>
        <v>0</v>
      </c>
      <c r="L620" s="1" t="str">
        <f>equip.xml!M624</f>
        <v>101_16900_16900</v>
      </c>
      <c r="M620" s="7" t="str">
        <f>equip.xml!Q624</f>
        <v>equipment/6011.png</v>
      </c>
      <c r="N620" t="str">
        <f>equip.xml!P624</f>
        <v>10000_1002_65000,30000_30001_1,30000_30002_1,30000_30003_1</v>
      </c>
    </row>
    <row r="621" spans="1:14">
      <c r="A621" s="1" t="str">
        <f>equip.xml!A625</f>
        <v>20650080</v>
      </c>
      <c r="B621" s="1">
        <f>equip.xml!B625</f>
        <v>1</v>
      </c>
      <c r="C621" s="1" t="str">
        <f>equip.xml!C625</f>
        <v>狱火战靴</v>
      </c>
      <c r="D621" s="1" t="str">
        <f>equip.xml!D625</f>
        <v>鞋子</v>
      </c>
      <c r="E621" s="1">
        <f>equip.xml!E625</f>
        <v>8</v>
      </c>
      <c r="F621" s="1">
        <f>equip.xml!F625</f>
        <v>2</v>
      </c>
      <c r="G621" s="1">
        <f>equip.xml!G625</f>
        <v>65</v>
      </c>
      <c r="H621" s="1">
        <f>equip.xml!H625</f>
        <v>0</v>
      </c>
      <c r="I621" s="1">
        <f>equip.xml!J625</f>
        <v>10</v>
      </c>
      <c r="J621" s="1">
        <f>equip.xml!K625</f>
        <v>0</v>
      </c>
      <c r="K621" s="1">
        <f>equip.xml!L625</f>
        <v>0</v>
      </c>
      <c r="L621" s="1" t="str">
        <f>equip.xml!M625</f>
        <v>110_352_352</v>
      </c>
      <c r="M621" s="7" t="str">
        <f>equip.xml!Q625</f>
        <v>equipment/8011.png</v>
      </c>
      <c r="N621" t="str">
        <f>equip.xml!P625</f>
        <v>10000_1002_65000,30000_30001_1,30000_30002_1,30000_30003_1</v>
      </c>
    </row>
    <row r="622" spans="1:14">
      <c r="A622" s="1" t="str">
        <f>equip.xml!A626</f>
        <v>20650090</v>
      </c>
      <c r="B622" s="1">
        <f>equip.xml!B626</f>
        <v>1</v>
      </c>
      <c r="C622" s="1" t="str">
        <f>equip.xml!C626</f>
        <v>荣耀先驱护手</v>
      </c>
      <c r="D622" s="1" t="str">
        <f>equip.xml!D626</f>
        <v>手套</v>
      </c>
      <c r="E622" s="1">
        <f>equip.xml!E626</f>
        <v>9</v>
      </c>
      <c r="F622" s="1">
        <f>equip.xml!F626</f>
        <v>2</v>
      </c>
      <c r="G622" s="1">
        <f>equip.xml!G626</f>
        <v>65</v>
      </c>
      <c r="H622" s="1">
        <f>equip.xml!H626</f>
        <v>0</v>
      </c>
      <c r="I622" s="1">
        <f>equip.xml!J626</f>
        <v>10</v>
      </c>
      <c r="J622" s="1">
        <f>equip.xml!K626</f>
        <v>0</v>
      </c>
      <c r="K622" s="1">
        <f>equip.xml!L626</f>
        <v>0</v>
      </c>
      <c r="L622" s="1" t="str">
        <f>equip.xml!M626</f>
        <v>108_3884_3884</v>
      </c>
      <c r="M622" s="7" t="str">
        <f>equip.xml!Q626</f>
        <v>equipment/10011.png</v>
      </c>
      <c r="N622" t="str">
        <f>equip.xml!P626</f>
        <v>10000_1002_65000,30000_30001_1,30000_30002_1,30000_30003_1</v>
      </c>
    </row>
    <row r="623" spans="1:14">
      <c r="A623" s="1" t="str">
        <f>equip.xml!A627</f>
        <v>20650100</v>
      </c>
      <c r="B623" s="1">
        <f>equip.xml!B627</f>
        <v>1</v>
      </c>
      <c r="C623" s="1" t="str">
        <f>equip.xml!C627</f>
        <v>救赎坠饰</v>
      </c>
      <c r="D623" s="1" t="str">
        <f>equip.xml!D627</f>
        <v>项链</v>
      </c>
      <c r="E623" s="1">
        <f>equip.xml!E627</f>
        <v>10</v>
      </c>
      <c r="F623" s="1">
        <f>equip.xml!F627</f>
        <v>2</v>
      </c>
      <c r="G623" s="1">
        <f>equip.xml!G627</f>
        <v>65</v>
      </c>
      <c r="H623" s="1">
        <f>equip.xml!H627</f>
        <v>0</v>
      </c>
      <c r="I623" s="1">
        <f>equip.xml!J627</f>
        <v>10</v>
      </c>
      <c r="J623" s="1">
        <f>equip.xml!K627</f>
        <v>0</v>
      </c>
      <c r="K623" s="1">
        <f>equip.xml!L627</f>
        <v>0</v>
      </c>
      <c r="L623" s="1" t="str">
        <f>equip.xml!M627</f>
        <v>107_2015_2015</v>
      </c>
      <c r="M623" s="7" t="str">
        <f>equip.xml!Q627</f>
        <v>equipment/12011.png</v>
      </c>
      <c r="N623" t="str">
        <f>equip.xml!P627</f>
        <v>10000_1002_65000,30000_30001_1,30000_30002_1,30000_30003_1</v>
      </c>
    </row>
    <row r="624" spans="1:14">
      <c r="A624" s="1" t="str">
        <f>equip.xml!A628</f>
        <v>20651050</v>
      </c>
      <c r="B624" s="1">
        <f>equip.xml!B628</f>
        <v>1</v>
      </c>
      <c r="C624" s="1" t="str">
        <f>equip.xml!C628</f>
        <v>魂歌之刃</v>
      </c>
      <c r="D624" s="1" t="str">
        <f>equip.xml!D628</f>
        <v>主手武器</v>
      </c>
      <c r="E624" s="1">
        <f>equip.xml!E628</f>
        <v>5</v>
      </c>
      <c r="F624" s="1">
        <f>equip.xml!F628</f>
        <v>2</v>
      </c>
      <c r="G624" s="1">
        <f>equip.xml!G628</f>
        <v>65</v>
      </c>
      <c r="H624" s="1" t="str">
        <f>equip.xml!H628</f>
        <v>1,1001</v>
      </c>
      <c r="I624" s="1">
        <f>equip.xml!J628</f>
        <v>10</v>
      </c>
      <c r="J624" s="1">
        <f>equip.xml!K628</f>
        <v>0</v>
      </c>
      <c r="K624" s="1">
        <f>equip.xml!L628</f>
        <v>0</v>
      </c>
      <c r="L624" s="1" t="str">
        <f>equip.xml!M628</f>
        <v>103_2619_2619,104_5238_5238</v>
      </c>
      <c r="M624" s="7" t="str">
        <f>equip.xml!Q628</f>
        <v>equipment/1123.png</v>
      </c>
      <c r="N624" t="str">
        <f>equip.xml!P628</f>
        <v>10000_1002_65000,30000_30001_1,30000_30002_1,30000_30003_1</v>
      </c>
    </row>
    <row r="625" spans="1:14">
      <c r="A625" s="1" t="str">
        <f>equip.xml!A629</f>
        <v>20651051</v>
      </c>
      <c r="B625" s="1">
        <f>equip.xml!B629</f>
        <v>0</v>
      </c>
      <c r="C625" s="1" t="str">
        <f>equip.xml!C629</f>
        <v>命运</v>
      </c>
      <c r="D625" s="1" t="str">
        <f>equip.xml!D629</f>
        <v>主手武器</v>
      </c>
      <c r="E625" s="1">
        <f>equip.xml!E629</f>
        <v>5</v>
      </c>
      <c r="F625" s="1">
        <f>equip.xml!F629</f>
        <v>2</v>
      </c>
      <c r="G625" s="1">
        <f>equip.xml!G629</f>
        <v>65</v>
      </c>
      <c r="H625" s="1" t="str">
        <f>equip.xml!H629</f>
        <v>1,1001</v>
      </c>
      <c r="I625" s="1">
        <f>equip.xml!J629</f>
        <v>10</v>
      </c>
      <c r="J625" s="1">
        <f>equip.xml!K629</f>
        <v>0</v>
      </c>
      <c r="K625" s="1">
        <f>equip.xml!L629</f>
        <v>0</v>
      </c>
      <c r="L625" s="1" t="str">
        <f>equip.xml!M629</f>
        <v>103_2854_2854,104_5708_5708</v>
      </c>
      <c r="M625" s="7" t="str">
        <f>equip.xml!Q629</f>
        <v>equipment/1101.png</v>
      </c>
      <c r="N625" t="str">
        <f>equip.xml!P629</f>
        <v>10000_1002_65000,30000_30001_1,30000_30002_1,30000_30003_1</v>
      </c>
    </row>
    <row r="626" spans="1:14">
      <c r="A626" s="1" t="str">
        <f>equip.xml!A630</f>
        <v>20651060</v>
      </c>
      <c r="B626" s="1">
        <f>equip.xml!B630</f>
        <v>1</v>
      </c>
      <c r="C626" s="1" t="str">
        <f>equip.xml!C630</f>
        <v>日怒之盾</v>
      </c>
      <c r="D626" s="1" t="str">
        <f>equip.xml!D630</f>
        <v>副手武器</v>
      </c>
      <c r="E626" s="1">
        <f>equip.xml!E630</f>
        <v>6</v>
      </c>
      <c r="F626" s="1">
        <f>equip.xml!F630</f>
        <v>2</v>
      </c>
      <c r="G626" s="1">
        <f>equip.xml!G630</f>
        <v>65</v>
      </c>
      <c r="H626" s="1" t="str">
        <f>equip.xml!H630</f>
        <v>1,1001</v>
      </c>
      <c r="I626" s="1">
        <f>equip.xml!J630</f>
        <v>10</v>
      </c>
      <c r="J626" s="1">
        <f>equip.xml!K630</f>
        <v>0</v>
      </c>
      <c r="K626" s="1">
        <f>equip.xml!L630</f>
        <v>0</v>
      </c>
      <c r="L626" s="1" t="str">
        <f>equip.xml!M630</f>
        <v>105_2988_2988</v>
      </c>
      <c r="M626" s="7" t="str">
        <f>equip.xml!Q630</f>
        <v>equipment/2116.png</v>
      </c>
      <c r="N626" t="str">
        <f>equip.xml!P630</f>
        <v>10000_1002_65000,30000_30001_1,30000_30002_1,30000_30003_1</v>
      </c>
    </row>
    <row r="627" spans="1:14">
      <c r="A627" s="1" t="str">
        <f>equip.xml!A631</f>
        <v>20651061</v>
      </c>
      <c r="B627" s="1">
        <f>equip.xml!B631</f>
        <v>0</v>
      </c>
      <c r="C627" s="1" t="str">
        <f>equip.xml!C631</f>
        <v>尖头盾</v>
      </c>
      <c r="D627" s="1" t="str">
        <f>equip.xml!D631</f>
        <v>副手武器</v>
      </c>
      <c r="E627" s="1">
        <f>equip.xml!E631</f>
        <v>6</v>
      </c>
      <c r="F627" s="1">
        <f>equip.xml!F631</f>
        <v>2</v>
      </c>
      <c r="G627" s="1">
        <f>equip.xml!G631</f>
        <v>65</v>
      </c>
      <c r="H627" s="1" t="str">
        <f>equip.xml!H631</f>
        <v>1,1001</v>
      </c>
      <c r="I627" s="1">
        <f>equip.xml!J631</f>
        <v>10</v>
      </c>
      <c r="J627" s="1">
        <f>equip.xml!K631</f>
        <v>0</v>
      </c>
      <c r="K627" s="1">
        <f>equip.xml!L631</f>
        <v>0</v>
      </c>
      <c r="L627" s="1" t="str">
        <f>equip.xml!M631</f>
        <v>105_2988_2988</v>
      </c>
      <c r="M627" s="7" t="str">
        <f>equip.xml!Q631</f>
        <v>equipment/2101.png</v>
      </c>
      <c r="N627" t="str">
        <f>equip.xml!P631</f>
        <v>10000_1002_65000,30000_30001_1,30000_30002_1,30000_30003_1</v>
      </c>
    </row>
    <row r="628" spans="1:14">
      <c r="A628" s="1" t="str">
        <f>equip.xml!A632</f>
        <v>20652050</v>
      </c>
      <c r="B628" s="1">
        <f>equip.xml!B632</f>
        <v>1</v>
      </c>
      <c r="C628" s="1" t="str">
        <f>equip.xml!C632</f>
        <v>憎恨之击</v>
      </c>
      <c r="D628" s="1" t="str">
        <f>equip.xml!D632</f>
        <v>主手武器</v>
      </c>
      <c r="E628" s="1">
        <f>equip.xml!E632</f>
        <v>5</v>
      </c>
      <c r="F628" s="1">
        <f>equip.xml!F632</f>
        <v>2</v>
      </c>
      <c r="G628" s="1">
        <f>equip.xml!G632</f>
        <v>65</v>
      </c>
      <c r="H628" s="1" t="str">
        <f>equip.xml!H632</f>
        <v>2,1002</v>
      </c>
      <c r="I628" s="1">
        <f>equip.xml!J632</f>
        <v>10</v>
      </c>
      <c r="J628" s="1">
        <f>equip.xml!K632</f>
        <v>0</v>
      </c>
      <c r="K628" s="1">
        <f>equip.xml!L632</f>
        <v>0</v>
      </c>
      <c r="L628" s="1" t="str">
        <f>equip.xml!M632</f>
        <v>103_2619_2619,104_5238_5238</v>
      </c>
      <c r="M628" s="7" t="str">
        <f>equip.xml!Q632</f>
        <v>equipment/1224.png</v>
      </c>
      <c r="N628" t="str">
        <f>equip.xml!P632</f>
        <v>10000_1002_65000,30000_30001_1,30000_30002_1,30000_30003_1</v>
      </c>
    </row>
    <row r="629" spans="1:14">
      <c r="A629" s="1" t="str">
        <f>equip.xml!A633</f>
        <v>20652051</v>
      </c>
      <c r="B629" s="1">
        <f>equip.xml!B633</f>
        <v>0</v>
      </c>
      <c r="C629" s="1" t="str">
        <f>equip.xml!C633</f>
        <v>日怒凰弓</v>
      </c>
      <c r="D629" s="1" t="str">
        <f>equip.xml!D633</f>
        <v>主手武器</v>
      </c>
      <c r="E629" s="1">
        <f>equip.xml!E633</f>
        <v>5</v>
      </c>
      <c r="F629" s="1">
        <f>equip.xml!F633</f>
        <v>2</v>
      </c>
      <c r="G629" s="1">
        <f>equip.xml!G633</f>
        <v>65</v>
      </c>
      <c r="H629" s="1" t="str">
        <f>equip.xml!H633</f>
        <v>2,1002</v>
      </c>
      <c r="I629" s="1">
        <f>equip.xml!J633</f>
        <v>10</v>
      </c>
      <c r="J629" s="1">
        <f>equip.xml!K633</f>
        <v>0</v>
      </c>
      <c r="K629" s="1">
        <f>equip.xml!L633</f>
        <v>0</v>
      </c>
      <c r="L629" s="1" t="str">
        <f>equip.xml!M633</f>
        <v>103_2854_2854,104_5708_5708</v>
      </c>
      <c r="M629" s="7" t="str">
        <f>equip.xml!Q633</f>
        <v>equipment/1201.png</v>
      </c>
      <c r="N629" t="str">
        <f>equip.xml!P633</f>
        <v>10000_1002_65000,30000_30001_1,30000_30002_1,30000_30003_1</v>
      </c>
    </row>
    <row r="630" spans="1:14">
      <c r="A630" s="1" t="str">
        <f>equip.xml!A634</f>
        <v>20652060</v>
      </c>
      <c r="B630" s="1">
        <f>equip.xml!B634</f>
        <v>1</v>
      </c>
      <c r="C630" s="1" t="str">
        <f>equip.xml!C634</f>
        <v>追噬之矢</v>
      </c>
      <c r="D630" s="1" t="str">
        <f>equip.xml!D634</f>
        <v>副手武器</v>
      </c>
      <c r="E630" s="1">
        <f>equip.xml!E634</f>
        <v>6</v>
      </c>
      <c r="F630" s="1">
        <f>equip.xml!F634</f>
        <v>2</v>
      </c>
      <c r="G630" s="1">
        <f>equip.xml!G634</f>
        <v>65</v>
      </c>
      <c r="H630" s="1" t="str">
        <f>equip.xml!H634</f>
        <v>2,1002</v>
      </c>
      <c r="I630" s="1">
        <f>equip.xml!J634</f>
        <v>10</v>
      </c>
      <c r="J630" s="1">
        <f>equip.xml!K634</f>
        <v>0</v>
      </c>
      <c r="K630" s="1">
        <f>equip.xml!L634</f>
        <v>0</v>
      </c>
      <c r="L630" s="1" t="str">
        <f>equip.xml!M634</f>
        <v>108_2988_2988</v>
      </c>
      <c r="M630" s="7" t="str">
        <f>equip.xml!Q634</f>
        <v>equipment/2216.png</v>
      </c>
      <c r="N630" t="str">
        <f>equip.xml!P634</f>
        <v>10000_1002_65000,30000_30001_1,30000_30002_1,30000_30003_1</v>
      </c>
    </row>
    <row r="631" spans="1:14">
      <c r="A631" s="1" t="str">
        <f>equip.xml!A635</f>
        <v>20652061</v>
      </c>
      <c r="B631" s="1">
        <f>equip.xml!B635</f>
        <v>0</v>
      </c>
      <c r="C631" s="1" t="str">
        <f>equip.xml!C635</f>
        <v>箭筒</v>
      </c>
      <c r="D631" s="1" t="str">
        <f>equip.xml!D635</f>
        <v>副手武器</v>
      </c>
      <c r="E631" s="1">
        <f>equip.xml!E635</f>
        <v>6</v>
      </c>
      <c r="F631" s="1">
        <f>equip.xml!F635</f>
        <v>2</v>
      </c>
      <c r="G631" s="1">
        <f>equip.xml!G635</f>
        <v>65</v>
      </c>
      <c r="H631" s="1" t="str">
        <f>equip.xml!H635</f>
        <v>2,1002</v>
      </c>
      <c r="I631" s="1">
        <f>equip.xml!J635</f>
        <v>10</v>
      </c>
      <c r="J631" s="1">
        <f>equip.xml!K635</f>
        <v>0</v>
      </c>
      <c r="K631" s="1">
        <f>equip.xml!L635</f>
        <v>0</v>
      </c>
      <c r="L631" s="1" t="str">
        <f>equip.xml!M635</f>
        <v>108_2988_2988</v>
      </c>
      <c r="M631" s="7" t="str">
        <f>equip.xml!Q635</f>
        <v>equipment/2201.png</v>
      </c>
      <c r="N631" t="str">
        <f>equip.xml!P635</f>
        <v>10000_1002_65000,30000_30001_1,30000_30002_1,30000_30003_1</v>
      </c>
    </row>
    <row r="632" spans="1:14">
      <c r="A632" s="1" t="str">
        <f>equip.xml!A636</f>
        <v>20653050</v>
      </c>
      <c r="B632" s="1">
        <f>equip.xml!B636</f>
        <v>1</v>
      </c>
      <c r="C632" s="1" t="str">
        <f>equip.xml!C636</f>
        <v>时轮金杖</v>
      </c>
      <c r="D632" s="1" t="str">
        <f>equip.xml!D636</f>
        <v>主手武器</v>
      </c>
      <c r="E632" s="1">
        <f>equip.xml!E636</f>
        <v>5</v>
      </c>
      <c r="F632" s="1">
        <f>equip.xml!F636</f>
        <v>2</v>
      </c>
      <c r="G632" s="1">
        <f>equip.xml!G636</f>
        <v>65</v>
      </c>
      <c r="H632" s="1" t="str">
        <f>equip.xml!H636</f>
        <v>3,1003</v>
      </c>
      <c r="I632" s="1">
        <f>equip.xml!J636</f>
        <v>10</v>
      </c>
      <c r="J632" s="1">
        <f>equip.xml!K636</f>
        <v>0</v>
      </c>
      <c r="K632" s="1">
        <f>equip.xml!L636</f>
        <v>0</v>
      </c>
      <c r="L632" s="1" t="str">
        <f>equip.xml!M636</f>
        <v>103_2619_2619,104_5238_5238</v>
      </c>
      <c r="M632" s="7" t="str">
        <f>equip.xml!Q636</f>
        <v>equipment/1323.png</v>
      </c>
      <c r="N632" t="str">
        <f>equip.xml!P636</f>
        <v>10000_1002_65000,30000_30001_1,30000_30002_1,30000_30003_1</v>
      </c>
    </row>
    <row r="633" spans="1:14">
      <c r="A633" s="1" t="str">
        <f>equip.xml!A637</f>
        <v>20653051</v>
      </c>
      <c r="B633" s="1">
        <f>equip.xml!B637</f>
        <v>0</v>
      </c>
      <c r="C633" s="1" t="str">
        <f>equip.xml!C637</f>
        <v>学徒法杖</v>
      </c>
      <c r="D633" s="1" t="str">
        <f>equip.xml!D637</f>
        <v>主手武器</v>
      </c>
      <c r="E633" s="1">
        <f>equip.xml!E637</f>
        <v>5</v>
      </c>
      <c r="F633" s="1">
        <f>equip.xml!F637</f>
        <v>2</v>
      </c>
      <c r="G633" s="1">
        <f>equip.xml!G637</f>
        <v>65</v>
      </c>
      <c r="H633" s="1" t="str">
        <f>equip.xml!H637</f>
        <v>3,1003</v>
      </c>
      <c r="I633" s="1">
        <f>equip.xml!J637</f>
        <v>10</v>
      </c>
      <c r="J633" s="1">
        <f>equip.xml!K637</f>
        <v>0</v>
      </c>
      <c r="K633" s="1">
        <f>equip.xml!L637</f>
        <v>0</v>
      </c>
      <c r="L633" s="1" t="str">
        <f>equip.xml!M637</f>
        <v>103_2854_2854,104_5708_5708</v>
      </c>
      <c r="M633" s="7" t="str">
        <f>equip.xml!Q637</f>
        <v>equipment/1301.png</v>
      </c>
      <c r="N633" t="str">
        <f>equip.xml!P637</f>
        <v>10000_1002_65000,30000_30001_1,30000_30002_1,30000_30003_1</v>
      </c>
    </row>
    <row r="634" spans="1:14">
      <c r="A634" s="1" t="str">
        <f>equip.xml!A638</f>
        <v>20653060</v>
      </c>
      <c r="B634" s="1">
        <f>equip.xml!B638</f>
        <v>1</v>
      </c>
      <c r="C634" s="1" t="str">
        <f>equip.xml!C638</f>
        <v>龙语秘典</v>
      </c>
      <c r="D634" s="1" t="str">
        <f>equip.xml!D638</f>
        <v>副手武器</v>
      </c>
      <c r="E634" s="1">
        <f>equip.xml!E638</f>
        <v>6</v>
      </c>
      <c r="F634" s="1">
        <f>equip.xml!F638</f>
        <v>2</v>
      </c>
      <c r="G634" s="1">
        <f>equip.xml!G638</f>
        <v>65</v>
      </c>
      <c r="H634" s="1" t="str">
        <f>equip.xml!H638</f>
        <v>3,1003</v>
      </c>
      <c r="I634" s="1">
        <f>equip.xml!J638</f>
        <v>10</v>
      </c>
      <c r="J634" s="1">
        <f>equip.xml!K638</f>
        <v>0</v>
      </c>
      <c r="K634" s="1">
        <f>equip.xml!L638</f>
        <v>0</v>
      </c>
      <c r="L634" s="1" t="str">
        <f>equip.xml!M638</f>
        <v>102_2620_2620</v>
      </c>
      <c r="M634" s="7" t="str">
        <f>equip.xml!Q638</f>
        <v>equipment/2317.png</v>
      </c>
      <c r="N634" t="str">
        <f>equip.xml!P638</f>
        <v>10000_1002_65000,30000_30001_1,30000_30002_1,30000_30003_1</v>
      </c>
    </row>
    <row r="635" spans="1:14">
      <c r="A635" s="1" t="str">
        <f>equip.xml!A639</f>
        <v>20653061</v>
      </c>
      <c r="B635" s="1">
        <f>equip.xml!B639</f>
        <v>0</v>
      </c>
      <c r="C635" s="1" t="str">
        <f>equip.xml!C639</f>
        <v>法术指南</v>
      </c>
      <c r="D635" s="1" t="str">
        <f>equip.xml!D639</f>
        <v>副手武器</v>
      </c>
      <c r="E635" s="1">
        <f>equip.xml!E639</f>
        <v>6</v>
      </c>
      <c r="F635" s="1">
        <f>equip.xml!F639</f>
        <v>2</v>
      </c>
      <c r="G635" s="1">
        <f>equip.xml!G639</f>
        <v>65</v>
      </c>
      <c r="H635" s="1" t="str">
        <f>equip.xml!H639</f>
        <v>3,1003</v>
      </c>
      <c r="I635" s="1">
        <f>equip.xml!J639</f>
        <v>10</v>
      </c>
      <c r="J635" s="1">
        <f>equip.xml!K639</f>
        <v>0</v>
      </c>
      <c r="K635" s="1">
        <f>equip.xml!L639</f>
        <v>0</v>
      </c>
      <c r="L635" s="1" t="str">
        <f>equip.xml!M639</f>
        <v>102_2988_2988</v>
      </c>
      <c r="M635" s="7" t="str">
        <f>equip.xml!Q639</f>
        <v>equipment/2301.png</v>
      </c>
      <c r="N635" t="str">
        <f>equip.xml!P639</f>
        <v>10000_1002_65000,30000_30001_1,30000_30002_1,30000_30003_1</v>
      </c>
    </row>
    <row r="636" spans="1:14">
      <c r="A636" s="1" t="str">
        <f>equip.xml!A640</f>
        <v>20650040</v>
      </c>
      <c r="B636" s="1">
        <f>equip.xml!B640</f>
        <v>1</v>
      </c>
      <c r="C636" s="1" t="str">
        <f>equip.xml!C640</f>
        <v>末世胸铠</v>
      </c>
      <c r="D636" s="1" t="str">
        <f>equip.xml!D640</f>
        <v>胸甲</v>
      </c>
      <c r="E636" s="1">
        <f>equip.xml!E640</f>
        <v>4</v>
      </c>
      <c r="F636" s="1">
        <f>equip.xml!F640</f>
        <v>2</v>
      </c>
      <c r="G636" s="1">
        <f>equip.xml!G640</f>
        <v>65</v>
      </c>
      <c r="H636" s="1">
        <f>equip.xml!H640</f>
        <v>0</v>
      </c>
      <c r="I636" s="1">
        <f>equip.xml!J640</f>
        <v>10</v>
      </c>
      <c r="J636" s="1">
        <f>equip.xml!K640</f>
        <v>0</v>
      </c>
      <c r="K636" s="1">
        <f>equip.xml!L640</f>
        <v>0</v>
      </c>
      <c r="L636" s="1" t="str">
        <f>equip.xml!M640</f>
        <v>105_1628_1628</v>
      </c>
      <c r="M636" s="7" t="str">
        <f>equip.xml!Q640</f>
        <v>equipment/5017.png</v>
      </c>
      <c r="N636" t="str">
        <f>equip.xml!P640</f>
        <v>10000_1002_65000,30000_30001_1,30000_30002_1,30000_30003_1</v>
      </c>
    </row>
    <row r="637" spans="1:14">
      <c r="A637" s="1" t="str">
        <f>equip.xml!A641</f>
        <v>20650041</v>
      </c>
      <c r="B637" s="1">
        <f>equip.xml!B641</f>
        <v>0</v>
      </c>
      <c r="C637" s="1" t="str">
        <f>equip.xml!C641</f>
        <v>新兵外套</v>
      </c>
      <c r="D637" s="1" t="str">
        <f>equip.xml!D641</f>
        <v>胸甲</v>
      </c>
      <c r="E637" s="1">
        <f>equip.xml!E641</f>
        <v>4</v>
      </c>
      <c r="F637" s="1">
        <f>equip.xml!F641</f>
        <v>2</v>
      </c>
      <c r="G637" s="1">
        <f>equip.xml!G641</f>
        <v>65</v>
      </c>
      <c r="H637" s="1">
        <f>equip.xml!H641</f>
        <v>0</v>
      </c>
      <c r="I637" s="1">
        <f>equip.xml!J641</f>
        <v>10</v>
      </c>
      <c r="J637" s="1">
        <f>equip.xml!K641</f>
        <v>0</v>
      </c>
      <c r="K637" s="1">
        <f>equip.xml!L641</f>
        <v>0</v>
      </c>
      <c r="L637" s="1" t="str">
        <f>equip.xml!M641</f>
        <v>105_1628_1628</v>
      </c>
      <c r="M637" s="7" t="str">
        <f>equip.xml!Q641</f>
        <v>equipment/5001.png</v>
      </c>
      <c r="N637" t="str">
        <f>equip.xml!P641</f>
        <v>10000_1002_65000,30000_30001_1,30000_30002_1,30000_30003_1</v>
      </c>
    </row>
    <row r="638" spans="1:14">
      <c r="A638" s="1" t="str">
        <f>equip.xml!A642</f>
        <v>20650070</v>
      </c>
      <c r="B638" s="1">
        <f>equip.xml!B642</f>
        <v>1</v>
      </c>
      <c r="C638" s="1" t="str">
        <f>equip.xml!C642</f>
        <v>止战腿甲</v>
      </c>
      <c r="D638" s="1" t="str">
        <f>equip.xml!D642</f>
        <v>护腿</v>
      </c>
      <c r="E638" s="1">
        <f>equip.xml!E642</f>
        <v>7</v>
      </c>
      <c r="F638" s="1">
        <f>equip.xml!F642</f>
        <v>2</v>
      </c>
      <c r="G638" s="1">
        <f>equip.xml!G642</f>
        <v>65</v>
      </c>
      <c r="H638" s="1">
        <f>equip.xml!H642</f>
        <v>0</v>
      </c>
      <c r="I638" s="1">
        <f>equip.xml!J642</f>
        <v>10</v>
      </c>
      <c r="J638" s="1">
        <f>equip.xml!K642</f>
        <v>0</v>
      </c>
      <c r="K638" s="1">
        <f>equip.xml!L642</f>
        <v>0</v>
      </c>
      <c r="L638" s="1" t="str">
        <f>equip.xml!M642</f>
        <v>105_1627_1627</v>
      </c>
      <c r="M638" s="7" t="str">
        <f>equip.xml!Q642</f>
        <v>equipment/7017.png</v>
      </c>
      <c r="N638" t="str">
        <f>equip.xml!P642</f>
        <v>10000_1002_65000,30000_30001_1,30000_30002_1,30000_30003_1</v>
      </c>
    </row>
    <row r="639" spans="1:14">
      <c r="A639" s="1" t="str">
        <f>equip.xml!A643</f>
        <v>20650071</v>
      </c>
      <c r="B639" s="1">
        <f>equip.xml!B643</f>
        <v>0</v>
      </c>
      <c r="C639" s="1" t="str">
        <f>equip.xml!C643</f>
        <v>学徒短裤</v>
      </c>
      <c r="D639" s="1" t="str">
        <f>equip.xml!D643</f>
        <v>护腿</v>
      </c>
      <c r="E639" s="1">
        <f>equip.xml!E643</f>
        <v>7</v>
      </c>
      <c r="F639" s="1">
        <f>equip.xml!F643</f>
        <v>2</v>
      </c>
      <c r="G639" s="1">
        <f>equip.xml!G643</f>
        <v>65</v>
      </c>
      <c r="H639" s="1">
        <f>equip.xml!H643</f>
        <v>0</v>
      </c>
      <c r="I639" s="1">
        <f>equip.xml!J643</f>
        <v>10</v>
      </c>
      <c r="J639" s="1">
        <f>equip.xml!K643</f>
        <v>0</v>
      </c>
      <c r="K639" s="1">
        <f>equip.xml!L643</f>
        <v>0</v>
      </c>
      <c r="L639" s="1" t="str">
        <f>equip.xml!M643</f>
        <v>105_1627_1627</v>
      </c>
      <c r="M639" s="7" t="str">
        <f>equip.xml!Q643</f>
        <v>equipment/7001.png</v>
      </c>
      <c r="N639" t="str">
        <f>equip.xml!P643</f>
        <v>10000_1002_65000,30000_30001_1,30000_30002_1,30000_30003_1</v>
      </c>
    </row>
    <row r="640" spans="1:14">
      <c r="A640" s="1" t="str">
        <f>equip.xml!A644</f>
        <v>20700010</v>
      </c>
      <c r="B640" s="1">
        <f>equip.xml!B644</f>
        <v>0</v>
      </c>
      <c r="C640" s="1" t="str">
        <f>equip.xml!C644</f>
        <v>残阳王冠</v>
      </c>
      <c r="D640" s="1" t="str">
        <f>equip.xml!D644</f>
        <v>头盔</v>
      </c>
      <c r="E640" s="1">
        <f>equip.xml!E644</f>
        <v>1</v>
      </c>
      <c r="F640" s="1">
        <f>equip.xml!F644</f>
        <v>2</v>
      </c>
      <c r="G640" s="1">
        <f>equip.xml!G644</f>
        <v>70</v>
      </c>
      <c r="H640" s="1">
        <f>equip.xml!H644</f>
        <v>0</v>
      </c>
      <c r="I640" s="1">
        <f>equip.xml!J644</f>
        <v>10</v>
      </c>
      <c r="J640" s="1">
        <f>equip.xml!K644</f>
        <v>0</v>
      </c>
      <c r="K640" s="1">
        <f>equip.xml!L644</f>
        <v>0</v>
      </c>
      <c r="L640" s="1" t="str">
        <f>equip.xml!M644</f>
        <v>106_0_0</v>
      </c>
      <c r="M640" s="7" t="str">
        <f>equip.xml!Q644</f>
        <v>equipment/3001.png</v>
      </c>
      <c r="N640" t="str">
        <f>equip.xml!P644</f>
        <v>10000_1002_70000,30000_30001_1,30000_30002_1,30000_30003_1</v>
      </c>
    </row>
    <row r="641" spans="1:14">
      <c r="A641" s="1" t="str">
        <f>equip.xml!A645</f>
        <v>20700020</v>
      </c>
      <c r="B641" s="1">
        <f>equip.xml!B645</f>
        <v>0</v>
      </c>
      <c r="C641" s="1" t="str">
        <f>equip.xml!C645</f>
        <v>至尊三戒</v>
      </c>
      <c r="D641" s="1" t="str">
        <f>equip.xml!D645</f>
        <v>戒指</v>
      </c>
      <c r="E641" s="1">
        <f>equip.xml!E645</f>
        <v>2</v>
      </c>
      <c r="F641" s="1">
        <f>equip.xml!F645</f>
        <v>2</v>
      </c>
      <c r="G641" s="1">
        <f>equip.xml!G645</f>
        <v>70</v>
      </c>
      <c r="H641" s="1">
        <f>equip.xml!H645</f>
        <v>0</v>
      </c>
      <c r="I641" s="1">
        <f>equip.xml!J645</f>
        <v>10</v>
      </c>
      <c r="J641" s="1">
        <f>equip.xml!K645</f>
        <v>0</v>
      </c>
      <c r="K641" s="1">
        <f>equip.xml!L645</f>
        <v>0</v>
      </c>
      <c r="L641" s="1" t="str">
        <f>equip.xml!M645</f>
        <v>102_0_0</v>
      </c>
      <c r="M641" s="7" t="str">
        <f>equip.xml!Q645</f>
        <v>equipment/14001.png</v>
      </c>
      <c r="N641" t="str">
        <f>equip.xml!P645</f>
        <v>10000_1002_70000,30000_30001_1,30000_30002_1,30000_30003_1</v>
      </c>
    </row>
    <row r="642" spans="1:14">
      <c r="A642" s="1" t="str">
        <f>equip.xml!A646</f>
        <v>20700030</v>
      </c>
      <c r="B642" s="1">
        <f>equip.xml!B646</f>
        <v>0</v>
      </c>
      <c r="C642" s="1" t="str">
        <f>equip.xml!C646</f>
        <v>雷神护腰</v>
      </c>
      <c r="D642" s="1" t="str">
        <f>equip.xml!D646</f>
        <v>腰带</v>
      </c>
      <c r="E642" s="1">
        <f>equip.xml!E646</f>
        <v>3</v>
      </c>
      <c r="F642" s="1">
        <f>equip.xml!F646</f>
        <v>2</v>
      </c>
      <c r="G642" s="1">
        <f>equip.xml!G646</f>
        <v>70</v>
      </c>
      <c r="H642" s="1">
        <f>equip.xml!H646</f>
        <v>0</v>
      </c>
      <c r="I642" s="1">
        <f>equip.xml!J646</f>
        <v>10</v>
      </c>
      <c r="J642" s="1">
        <f>equip.xml!K646</f>
        <v>0</v>
      </c>
      <c r="K642" s="1">
        <f>equip.xml!L646</f>
        <v>0</v>
      </c>
      <c r="L642" s="1" t="str">
        <f>equip.xml!M646</f>
        <v>101_0_0</v>
      </c>
      <c r="M642" s="7" t="str">
        <f>equip.xml!Q646</f>
        <v>equipment/6001.png</v>
      </c>
      <c r="N642" t="str">
        <f>equip.xml!P646</f>
        <v>10000_1002_70000,30000_30001_1,30000_30002_1,30000_30003_1</v>
      </c>
    </row>
    <row r="643" spans="1:14">
      <c r="A643" s="1" t="str">
        <f>equip.xml!A647</f>
        <v>20700080</v>
      </c>
      <c r="B643" s="1">
        <f>equip.xml!B647</f>
        <v>0</v>
      </c>
      <c r="C643" s="1" t="str">
        <f>equip.xml!C647</f>
        <v>星旅之靴</v>
      </c>
      <c r="D643" s="1" t="str">
        <f>equip.xml!D647</f>
        <v>鞋子</v>
      </c>
      <c r="E643" s="1">
        <f>equip.xml!E647</f>
        <v>8</v>
      </c>
      <c r="F643" s="1">
        <f>equip.xml!F647</f>
        <v>2</v>
      </c>
      <c r="G643" s="1">
        <f>equip.xml!G647</f>
        <v>70</v>
      </c>
      <c r="H643" s="1">
        <f>equip.xml!H647</f>
        <v>0</v>
      </c>
      <c r="I643" s="1">
        <f>equip.xml!J647</f>
        <v>10</v>
      </c>
      <c r="J643" s="1">
        <f>equip.xml!K647</f>
        <v>0</v>
      </c>
      <c r="K643" s="1">
        <f>equip.xml!L647</f>
        <v>0</v>
      </c>
      <c r="L643" s="1" t="str">
        <f>equip.xml!M647</f>
        <v>110_0_0</v>
      </c>
      <c r="M643" s="7" t="str">
        <f>equip.xml!Q647</f>
        <v>equipment/8001.png</v>
      </c>
      <c r="N643" t="str">
        <f>equip.xml!P647</f>
        <v>10000_1002_70000,30000_30001_1,30000_30002_1,30000_30003_1</v>
      </c>
    </row>
    <row r="644" spans="1:14">
      <c r="A644" s="1" t="str">
        <f>equip.xml!A648</f>
        <v>20700090</v>
      </c>
      <c r="B644" s="1">
        <f>equip.xml!B648</f>
        <v>0</v>
      </c>
      <c r="C644" s="1" t="str">
        <f>equip.xml!C648</f>
        <v>泰坦之拳</v>
      </c>
      <c r="D644" s="1" t="str">
        <f>equip.xml!D648</f>
        <v>手套</v>
      </c>
      <c r="E644" s="1">
        <f>equip.xml!E648</f>
        <v>9</v>
      </c>
      <c r="F644" s="1">
        <f>equip.xml!F648</f>
        <v>2</v>
      </c>
      <c r="G644" s="1">
        <f>equip.xml!G648</f>
        <v>70</v>
      </c>
      <c r="H644" s="1">
        <f>equip.xml!H648</f>
        <v>0</v>
      </c>
      <c r="I644" s="1">
        <f>equip.xml!J648</f>
        <v>10</v>
      </c>
      <c r="J644" s="1">
        <f>equip.xml!K648</f>
        <v>0</v>
      </c>
      <c r="K644" s="1">
        <f>equip.xml!L648</f>
        <v>0</v>
      </c>
      <c r="L644" s="1" t="str">
        <f>equip.xml!M648</f>
        <v>108_0_0</v>
      </c>
      <c r="M644" s="7" t="str">
        <f>equip.xml!Q648</f>
        <v>equipment/10001.png</v>
      </c>
      <c r="N644" t="str">
        <f>equip.xml!P648</f>
        <v>10000_1002_70000,30000_30001_1,30000_30002_1,30000_30003_1</v>
      </c>
    </row>
    <row r="645" spans="1:14">
      <c r="A645" s="1" t="str">
        <f>equip.xml!A649</f>
        <v>20700100</v>
      </c>
      <c r="B645" s="1">
        <f>equip.xml!B649</f>
        <v>0</v>
      </c>
      <c r="C645" s="1" t="str">
        <f>equip.xml!C649</f>
        <v>岁月永恒护符</v>
      </c>
      <c r="D645" s="1" t="str">
        <f>equip.xml!D649</f>
        <v>项链</v>
      </c>
      <c r="E645" s="1">
        <f>equip.xml!E649</f>
        <v>10</v>
      </c>
      <c r="F645" s="1">
        <f>equip.xml!F649</f>
        <v>2</v>
      </c>
      <c r="G645" s="1">
        <f>equip.xml!G649</f>
        <v>70</v>
      </c>
      <c r="H645" s="1">
        <f>equip.xml!H649</f>
        <v>0</v>
      </c>
      <c r="I645" s="1">
        <f>equip.xml!J649</f>
        <v>10</v>
      </c>
      <c r="J645" s="1">
        <f>equip.xml!K649</f>
        <v>0</v>
      </c>
      <c r="K645" s="1">
        <f>equip.xml!L649</f>
        <v>0</v>
      </c>
      <c r="L645" s="1" t="str">
        <f>equip.xml!M649</f>
        <v>107_0_0</v>
      </c>
      <c r="M645" s="7" t="str">
        <f>equip.xml!Q649</f>
        <v>equipment/12001.png</v>
      </c>
      <c r="N645" t="str">
        <f>equip.xml!P649</f>
        <v>10000_1002_70000,30000_30001_1,30000_30002_1,30000_30003_1</v>
      </c>
    </row>
    <row r="646" spans="1:14">
      <c r="A646" s="1" t="str">
        <f>equip.xml!A650</f>
        <v>20701050</v>
      </c>
      <c r="B646" s="1">
        <f>equip.xml!B650</f>
        <v>1</v>
      </c>
      <c r="C646" s="1" t="str">
        <f>equip.xml!C650</f>
        <v>命运</v>
      </c>
      <c r="D646" s="1" t="str">
        <f>equip.xml!D650</f>
        <v>主手武器</v>
      </c>
      <c r="E646" s="1">
        <f>equip.xml!E650</f>
        <v>5</v>
      </c>
      <c r="F646" s="1">
        <f>equip.xml!F650</f>
        <v>2</v>
      </c>
      <c r="G646" s="1">
        <f>equip.xml!G650</f>
        <v>70</v>
      </c>
      <c r="H646" s="1" t="str">
        <f>equip.xml!H650</f>
        <v>1,1001</v>
      </c>
      <c r="I646" s="1">
        <f>equip.xml!J650</f>
        <v>10</v>
      </c>
      <c r="J646" s="1">
        <f>equip.xml!K650</f>
        <v>0</v>
      </c>
      <c r="K646" s="1">
        <f>equip.xml!L650</f>
        <v>0</v>
      </c>
      <c r="L646" s="1" t="str">
        <f>equip.xml!M650</f>
        <v>103_3269_3269,104_6538_6538</v>
      </c>
      <c r="M646" s="7" t="str">
        <f>equip.xml!Q650</f>
        <v>equipment/1124.png</v>
      </c>
      <c r="N646" t="str">
        <f>equip.xml!P650</f>
        <v>10000_1002_70000,30000_30001_1,30000_30002_1,30000_30003_1</v>
      </c>
    </row>
    <row r="647" spans="1:14">
      <c r="A647" s="1" t="str">
        <f>equip.xml!A651</f>
        <v>20701051</v>
      </c>
      <c r="B647" s="1">
        <f>equip.xml!B651</f>
        <v>0</v>
      </c>
      <c r="C647" s="1" t="str">
        <f>equip.xml!C651</f>
        <v>灰烬使者</v>
      </c>
      <c r="D647" s="1" t="str">
        <f>equip.xml!D651</f>
        <v>主手武器</v>
      </c>
      <c r="E647" s="1">
        <f>equip.xml!E651</f>
        <v>5</v>
      </c>
      <c r="F647" s="1">
        <f>equip.xml!F651</f>
        <v>2</v>
      </c>
      <c r="G647" s="1">
        <f>equip.xml!G651</f>
        <v>70</v>
      </c>
      <c r="H647" s="1" t="str">
        <f>equip.xml!H651</f>
        <v>1,1001</v>
      </c>
      <c r="I647" s="1">
        <f>equip.xml!J651</f>
        <v>10</v>
      </c>
      <c r="J647" s="1">
        <f>equip.xml!K651</f>
        <v>0</v>
      </c>
      <c r="K647" s="1">
        <f>equip.xml!L651</f>
        <v>0</v>
      </c>
      <c r="L647" s="1" t="str">
        <f>equip.xml!M651</f>
        <v>103_3269_3269,104_6538_6538</v>
      </c>
      <c r="M647" s="7" t="str">
        <f>equip.xml!Q651</f>
        <v>equipment/1101.png</v>
      </c>
      <c r="N647" t="str">
        <f>equip.xml!P651</f>
        <v>10000_1002_70000,30000_30001_1,30000_30002_1,30000_30003_1</v>
      </c>
    </row>
    <row r="648" spans="1:14">
      <c r="A648" s="1" t="str">
        <f>equip.xml!A652</f>
        <v>20701060</v>
      </c>
      <c r="B648" s="1">
        <f>equip.xml!B652</f>
        <v>1</v>
      </c>
      <c r="C648" s="1" t="str">
        <f>equip.xml!C652</f>
        <v>永恒之盾</v>
      </c>
      <c r="D648" s="1" t="str">
        <f>equip.xml!D652</f>
        <v>副手武器</v>
      </c>
      <c r="E648" s="1">
        <f>equip.xml!E652</f>
        <v>6</v>
      </c>
      <c r="F648" s="1">
        <f>equip.xml!F652</f>
        <v>2</v>
      </c>
      <c r="G648" s="1">
        <f>equip.xml!G652</f>
        <v>70</v>
      </c>
      <c r="H648" s="1" t="str">
        <f>equip.xml!H652</f>
        <v>1,1001</v>
      </c>
      <c r="I648" s="1">
        <f>equip.xml!J652</f>
        <v>10</v>
      </c>
      <c r="J648" s="1">
        <f>equip.xml!K652</f>
        <v>0</v>
      </c>
      <c r="K648" s="1">
        <f>equip.xml!L652</f>
        <v>0</v>
      </c>
      <c r="L648" s="1" t="str">
        <f>equip.xml!M652</f>
        <v>105_3522_3522</v>
      </c>
      <c r="M648" s="7" t="str">
        <f>equip.xml!Q652</f>
        <v>equipment/2118.png</v>
      </c>
      <c r="N648" t="str">
        <f>equip.xml!P652</f>
        <v>10000_1002_70000,30000_30001_1,30000_30002_1,30000_30003_1</v>
      </c>
    </row>
    <row r="649" spans="1:14">
      <c r="A649" s="1" t="str">
        <f>equip.xml!A653</f>
        <v>20701061</v>
      </c>
      <c r="B649" s="1">
        <f>equip.xml!B653</f>
        <v>0</v>
      </c>
      <c r="C649" s="1" t="str">
        <f>equip.xml!C653</f>
        <v>相位壁垒</v>
      </c>
      <c r="D649" s="1" t="str">
        <f>equip.xml!D653</f>
        <v>副手武器</v>
      </c>
      <c r="E649" s="1">
        <f>equip.xml!E653</f>
        <v>6</v>
      </c>
      <c r="F649" s="1">
        <f>equip.xml!F653</f>
        <v>2</v>
      </c>
      <c r="G649" s="1">
        <f>equip.xml!G653</f>
        <v>70</v>
      </c>
      <c r="H649" s="1" t="str">
        <f>equip.xml!H653</f>
        <v>1,1001</v>
      </c>
      <c r="I649" s="1">
        <f>equip.xml!J653</f>
        <v>10</v>
      </c>
      <c r="J649" s="1">
        <f>equip.xml!K653</f>
        <v>0</v>
      </c>
      <c r="K649" s="1">
        <f>equip.xml!L653</f>
        <v>0</v>
      </c>
      <c r="L649" s="1" t="str">
        <f>equip.xml!M653</f>
        <v>105_3522_3522</v>
      </c>
      <c r="M649" s="7" t="str">
        <f>equip.xml!Q653</f>
        <v>equipment/2101.png</v>
      </c>
      <c r="N649" t="str">
        <f>equip.xml!P653</f>
        <v>10000_1002_70000,30000_30001_1,30000_30002_1,30000_30003_1</v>
      </c>
    </row>
    <row r="650" spans="1:14">
      <c r="A650" s="1" t="str">
        <f>equip.xml!A654</f>
        <v>20702050</v>
      </c>
      <c r="B650" s="1">
        <f>equip.xml!B654</f>
        <v>1</v>
      </c>
      <c r="C650" s="1" t="str">
        <f>equip.xml!C654</f>
        <v>日怒凰弓</v>
      </c>
      <c r="D650" s="1" t="str">
        <f>equip.xml!D654</f>
        <v>主手武器</v>
      </c>
      <c r="E650" s="1">
        <f>equip.xml!E654</f>
        <v>5</v>
      </c>
      <c r="F650" s="1">
        <f>equip.xml!F654</f>
        <v>2</v>
      </c>
      <c r="G650" s="1">
        <f>equip.xml!G654</f>
        <v>70</v>
      </c>
      <c r="H650" s="1" t="str">
        <f>equip.xml!H654</f>
        <v>2,1002</v>
      </c>
      <c r="I650" s="1">
        <f>equip.xml!J654</f>
        <v>10</v>
      </c>
      <c r="J650" s="1">
        <f>equip.xml!K654</f>
        <v>0</v>
      </c>
      <c r="K650" s="1">
        <f>equip.xml!L654</f>
        <v>0</v>
      </c>
      <c r="L650" s="1" t="str">
        <f>equip.xml!M654</f>
        <v>103_3269_3269,104_6538_6538</v>
      </c>
      <c r="M650" s="7" t="str">
        <f>equip.xml!Q654</f>
        <v>equipment/1222.png</v>
      </c>
      <c r="N650" t="str">
        <f>equip.xml!P654</f>
        <v>10000_1002_70000,30000_30001_1,30000_30002_1,30000_30003_1</v>
      </c>
    </row>
    <row r="651" spans="1:14">
      <c r="A651" s="1" t="str">
        <f>equip.xml!A655</f>
        <v>20702051</v>
      </c>
      <c r="B651" s="1">
        <f>equip.xml!B655</f>
        <v>0</v>
      </c>
      <c r="C651" s="1" t="str">
        <f>equip.xml!C655</f>
        <v>群星之怒</v>
      </c>
      <c r="D651" s="1" t="str">
        <f>equip.xml!D655</f>
        <v>主手武器</v>
      </c>
      <c r="E651" s="1">
        <f>equip.xml!E655</f>
        <v>5</v>
      </c>
      <c r="F651" s="1">
        <f>equip.xml!F655</f>
        <v>2</v>
      </c>
      <c r="G651" s="1">
        <f>equip.xml!G655</f>
        <v>70</v>
      </c>
      <c r="H651" s="1" t="str">
        <f>equip.xml!H655</f>
        <v>2,1002</v>
      </c>
      <c r="I651" s="1">
        <f>equip.xml!J655</f>
        <v>10</v>
      </c>
      <c r="J651" s="1">
        <f>equip.xml!K655</f>
        <v>0</v>
      </c>
      <c r="K651" s="1">
        <f>equip.xml!L655</f>
        <v>0</v>
      </c>
      <c r="L651" s="1" t="str">
        <f>equip.xml!M655</f>
        <v>103_3269_3269,104_6538_6538</v>
      </c>
      <c r="M651" s="7" t="str">
        <f>equip.xml!Q655</f>
        <v>equipment/1201.png</v>
      </c>
      <c r="N651" t="str">
        <f>equip.xml!P655</f>
        <v>10000_1002_70000,30000_30001_1,30000_30002_1,30000_30003_1</v>
      </c>
    </row>
    <row r="652" spans="1:14">
      <c r="A652" s="1" t="str">
        <f>equip.xml!A656</f>
        <v>20702060</v>
      </c>
      <c r="B652" s="1">
        <f>equip.xml!B656</f>
        <v>1</v>
      </c>
      <c r="C652" s="1" t="str">
        <f>equip.xml!C656</f>
        <v>逐日之矢</v>
      </c>
      <c r="D652" s="1" t="str">
        <f>equip.xml!D656</f>
        <v>副手武器</v>
      </c>
      <c r="E652" s="1">
        <f>equip.xml!E656</f>
        <v>6</v>
      </c>
      <c r="F652" s="1">
        <f>equip.xml!F656</f>
        <v>2</v>
      </c>
      <c r="G652" s="1">
        <f>equip.xml!G656</f>
        <v>70</v>
      </c>
      <c r="H652" s="1" t="str">
        <f>equip.xml!H656</f>
        <v>2,1002</v>
      </c>
      <c r="I652" s="1">
        <f>equip.xml!J656</f>
        <v>10</v>
      </c>
      <c r="J652" s="1">
        <f>equip.xml!K656</f>
        <v>0</v>
      </c>
      <c r="K652" s="1">
        <f>equip.xml!L656</f>
        <v>0</v>
      </c>
      <c r="L652" s="1" t="str">
        <f>equip.xml!M656</f>
        <v>108_3522_3522</v>
      </c>
      <c r="M652" s="7" t="str">
        <f>equip.xml!Q656</f>
        <v>equipment/2218.png</v>
      </c>
      <c r="N652" t="str">
        <f>equip.xml!P656</f>
        <v>10000_1002_70000,30000_30001_1,30000_30002_1,30000_30003_1</v>
      </c>
    </row>
    <row r="653" spans="1:14">
      <c r="A653" s="1" t="str">
        <f>equip.xml!A657</f>
        <v>20702061</v>
      </c>
      <c r="B653" s="1">
        <f>equip.xml!B657</f>
        <v>0</v>
      </c>
      <c r="C653" s="1" t="str">
        <f>equip.xml!C657</f>
        <v>箭筒</v>
      </c>
      <c r="D653" s="1" t="str">
        <f>equip.xml!D657</f>
        <v>副手武器</v>
      </c>
      <c r="E653" s="1">
        <f>equip.xml!E657</f>
        <v>6</v>
      </c>
      <c r="F653" s="1">
        <f>equip.xml!F657</f>
        <v>2</v>
      </c>
      <c r="G653" s="1">
        <f>equip.xml!G657</f>
        <v>70</v>
      </c>
      <c r="H653" s="1" t="str">
        <f>equip.xml!H657</f>
        <v>2,1002</v>
      </c>
      <c r="I653" s="1">
        <f>equip.xml!J657</f>
        <v>10</v>
      </c>
      <c r="J653" s="1">
        <f>equip.xml!K657</f>
        <v>0</v>
      </c>
      <c r="K653" s="1">
        <f>equip.xml!L657</f>
        <v>0</v>
      </c>
      <c r="L653" s="1" t="str">
        <f>equip.xml!M657</f>
        <v>108_3522_3522</v>
      </c>
      <c r="M653" s="7" t="str">
        <f>equip.xml!Q657</f>
        <v>equipment/2201.png</v>
      </c>
      <c r="N653" t="str">
        <f>equip.xml!P657</f>
        <v>10000_1002_70000,30000_30001_1,30000_30002_1,30000_30003_1</v>
      </c>
    </row>
    <row r="654" spans="1:14">
      <c r="A654" s="1" t="str">
        <f>equip.xml!A658</f>
        <v>20703050</v>
      </c>
      <c r="B654" s="1">
        <f>equip.xml!B658</f>
        <v>1</v>
      </c>
      <c r="C654" s="1" t="str">
        <f>equip.xml!C658</f>
        <v>瓦解法杖</v>
      </c>
      <c r="D654" s="1" t="str">
        <f>equip.xml!D658</f>
        <v>主手武器</v>
      </c>
      <c r="E654" s="1">
        <f>equip.xml!E658</f>
        <v>5</v>
      </c>
      <c r="F654" s="1">
        <f>equip.xml!F658</f>
        <v>2</v>
      </c>
      <c r="G654" s="1">
        <f>equip.xml!G658</f>
        <v>70</v>
      </c>
      <c r="H654" s="1" t="str">
        <f>equip.xml!H658</f>
        <v>3,1003</v>
      </c>
      <c r="I654" s="1">
        <f>equip.xml!J658</f>
        <v>10</v>
      </c>
      <c r="J654" s="1">
        <f>equip.xml!K658</f>
        <v>0</v>
      </c>
      <c r="K654" s="1">
        <f>equip.xml!L658</f>
        <v>0</v>
      </c>
      <c r="L654" s="1" t="str">
        <f>equip.xml!M658</f>
        <v>103_3269_3269,104_6538_6538</v>
      </c>
      <c r="M654" s="7" t="str">
        <f>equip.xml!Q658</f>
        <v>equipment/1324.png</v>
      </c>
      <c r="N654" t="str">
        <f>equip.xml!P658</f>
        <v>10000_1002_70000,30000_30001_1,30000_30002_1,30000_30003_1</v>
      </c>
    </row>
    <row r="655" spans="1:14">
      <c r="A655" s="1" t="str">
        <f>equip.xml!A659</f>
        <v>20703051</v>
      </c>
      <c r="B655" s="1">
        <f>equip.xml!B659</f>
        <v>0</v>
      </c>
      <c r="C655" s="1" t="str">
        <f>equip.xml!C659</f>
        <v>守护者之杖</v>
      </c>
      <c r="D655" s="1" t="str">
        <f>equip.xml!D659</f>
        <v>主手武器</v>
      </c>
      <c r="E655" s="1">
        <f>equip.xml!E659</f>
        <v>5</v>
      </c>
      <c r="F655" s="1">
        <f>equip.xml!F659</f>
        <v>2</v>
      </c>
      <c r="G655" s="1">
        <f>equip.xml!G659</f>
        <v>70</v>
      </c>
      <c r="H655" s="1" t="str">
        <f>equip.xml!H659</f>
        <v>3,1003</v>
      </c>
      <c r="I655" s="1">
        <f>equip.xml!J659</f>
        <v>10</v>
      </c>
      <c r="J655" s="1">
        <f>equip.xml!K659</f>
        <v>0</v>
      </c>
      <c r="K655" s="1">
        <f>equip.xml!L659</f>
        <v>0</v>
      </c>
      <c r="L655" s="1" t="str">
        <f>equip.xml!M659</f>
        <v>103_3269_3269,104_6538_6538</v>
      </c>
      <c r="M655" s="7" t="str">
        <f>equip.xml!Q659</f>
        <v>equipment/1301.png</v>
      </c>
      <c r="N655" t="str">
        <f>equip.xml!P659</f>
        <v>10000_1002_70000,30000_30001_1,30000_30002_1,30000_30003_1</v>
      </c>
    </row>
    <row r="656" spans="1:14">
      <c r="A656" s="1" t="str">
        <f>equip.xml!A660</f>
        <v>20703060</v>
      </c>
      <c r="B656" s="1">
        <f>equip.xml!B660</f>
        <v>1</v>
      </c>
      <c r="C656" s="1" t="str">
        <f>equip.xml!C660</f>
        <v>虚空魔典</v>
      </c>
      <c r="D656" s="1" t="str">
        <f>equip.xml!D660</f>
        <v>副手武器</v>
      </c>
      <c r="E656" s="1">
        <f>equip.xml!E660</f>
        <v>6</v>
      </c>
      <c r="F656" s="1">
        <f>equip.xml!F660</f>
        <v>2</v>
      </c>
      <c r="G656" s="1">
        <f>equip.xml!G660</f>
        <v>70</v>
      </c>
      <c r="H656" s="1" t="str">
        <f>equip.xml!H660</f>
        <v>3,1003</v>
      </c>
      <c r="I656" s="1">
        <f>equip.xml!J660</f>
        <v>10</v>
      </c>
      <c r="J656" s="1">
        <f>equip.xml!K660</f>
        <v>0</v>
      </c>
      <c r="K656" s="1">
        <f>equip.xml!L660</f>
        <v>0</v>
      </c>
      <c r="L656" s="1" t="str">
        <f>equip.xml!M660</f>
        <v>102_3522_3522</v>
      </c>
      <c r="M656" s="7" t="str">
        <f>equip.xml!Q660</f>
        <v>equipment/2318.png</v>
      </c>
      <c r="N656" t="str">
        <f>equip.xml!P660</f>
        <v>10000_1002_70000,30000_30001_1,30000_30002_1,30000_30003_1</v>
      </c>
    </row>
    <row r="657" spans="1:14">
      <c r="A657" s="1" t="str">
        <f>equip.xml!A661</f>
        <v>20703061</v>
      </c>
      <c r="B657" s="1">
        <f>equip.xml!B661</f>
        <v>0</v>
      </c>
      <c r="C657" s="1" t="str">
        <f>equip.xml!C661</f>
        <v>星界之书</v>
      </c>
      <c r="D657" s="1" t="str">
        <f>equip.xml!D661</f>
        <v>副手武器</v>
      </c>
      <c r="E657" s="1">
        <f>equip.xml!E661</f>
        <v>6</v>
      </c>
      <c r="F657" s="1">
        <f>equip.xml!F661</f>
        <v>2</v>
      </c>
      <c r="G657" s="1">
        <f>equip.xml!G661</f>
        <v>70</v>
      </c>
      <c r="H657" s="1" t="str">
        <f>equip.xml!H661</f>
        <v>3,1003</v>
      </c>
      <c r="I657" s="1">
        <f>equip.xml!J661</f>
        <v>10</v>
      </c>
      <c r="J657" s="1">
        <f>equip.xml!K661</f>
        <v>0</v>
      </c>
      <c r="K657" s="1">
        <f>equip.xml!L661</f>
        <v>0</v>
      </c>
      <c r="L657" s="1" t="str">
        <f>equip.xml!M661</f>
        <v>102_3080_3080</v>
      </c>
      <c r="M657" s="7" t="str">
        <f>equip.xml!Q661</f>
        <v>equipment/2301.png</v>
      </c>
      <c r="N657" t="str">
        <f>equip.xml!P661</f>
        <v>10000_1002_70000,30000_30001_1,30000_30002_1,30000_30003_1</v>
      </c>
    </row>
    <row r="658" spans="1:14">
      <c r="A658" s="1" t="str">
        <f>equip.xml!A662</f>
        <v>20700040</v>
      </c>
      <c r="B658" s="1">
        <f>equip.xml!B662</f>
        <v>0</v>
      </c>
      <c r="C658" s="1" t="str">
        <f>equip.xml!C662</f>
        <v>湮没胸甲</v>
      </c>
      <c r="D658" s="1" t="str">
        <f>equip.xml!D662</f>
        <v>胸甲</v>
      </c>
      <c r="E658" s="1">
        <f>equip.xml!E662</f>
        <v>4</v>
      </c>
      <c r="F658" s="1">
        <f>equip.xml!F662</f>
        <v>2</v>
      </c>
      <c r="G658" s="1">
        <f>equip.xml!G662</f>
        <v>70</v>
      </c>
      <c r="H658" s="1">
        <f>equip.xml!H662</f>
        <v>0</v>
      </c>
      <c r="I658" s="1">
        <f>equip.xml!J662</f>
        <v>10</v>
      </c>
      <c r="J658" s="1">
        <f>equip.xml!K662</f>
        <v>0</v>
      </c>
      <c r="K658" s="1">
        <f>equip.xml!L662</f>
        <v>0</v>
      </c>
      <c r="L658" s="1" t="str">
        <f>equip.xml!M662</f>
        <v>105_0_0</v>
      </c>
      <c r="M658" s="7" t="str">
        <f>equip.xml!Q662</f>
        <v>equipment/5001.png</v>
      </c>
      <c r="N658" t="str">
        <f>equip.xml!P662</f>
        <v>10000_1002_70000,30000_30001_1,30000_30002_1,30000_30003_1</v>
      </c>
    </row>
    <row r="659" spans="1:14">
      <c r="A659" s="1" t="str">
        <f>equip.xml!A663</f>
        <v>20700041</v>
      </c>
      <c r="B659" s="1">
        <f>equip.xml!B663</f>
        <v>0</v>
      </c>
      <c r="C659" s="1" t="str">
        <f>equip.xml!C663</f>
        <v>碎界之铠</v>
      </c>
      <c r="D659" s="1" t="str">
        <f>equip.xml!D663</f>
        <v>胸甲</v>
      </c>
      <c r="E659" s="1">
        <f>equip.xml!E663</f>
        <v>4</v>
      </c>
      <c r="F659" s="1">
        <f>equip.xml!F663</f>
        <v>2</v>
      </c>
      <c r="G659" s="1">
        <f>equip.xml!G663</f>
        <v>70</v>
      </c>
      <c r="H659" s="1">
        <f>equip.xml!H663</f>
        <v>0</v>
      </c>
      <c r="I659" s="1">
        <f>equip.xml!J663</f>
        <v>10</v>
      </c>
      <c r="J659" s="1">
        <f>equip.xml!K663</f>
        <v>0</v>
      </c>
      <c r="K659" s="1">
        <f>equip.xml!L663</f>
        <v>0</v>
      </c>
      <c r="L659" s="1" t="str">
        <f>equip.xml!M663</f>
        <v>105_0_0</v>
      </c>
      <c r="M659" s="7" t="str">
        <f>equip.xml!Q663</f>
        <v>equipment/5001.png</v>
      </c>
      <c r="N659" t="str">
        <f>equip.xml!P663</f>
        <v>10000_1002_70000,30000_30001_1,30000_30002_1,30000_30003_1</v>
      </c>
    </row>
    <row r="660" spans="1:14">
      <c r="A660" s="1" t="str">
        <f>equip.xml!A664</f>
        <v>20700070</v>
      </c>
      <c r="B660" s="1">
        <f>equip.xml!B664</f>
        <v>0</v>
      </c>
      <c r="C660" s="1" t="str">
        <f>equip.xml!C664</f>
        <v>魂卫护腿</v>
      </c>
      <c r="D660" s="1" t="str">
        <f>equip.xml!D664</f>
        <v>护腿</v>
      </c>
      <c r="E660" s="1">
        <f>equip.xml!E664</f>
        <v>7</v>
      </c>
      <c r="F660" s="1">
        <f>equip.xml!F664</f>
        <v>2</v>
      </c>
      <c r="G660" s="1">
        <f>equip.xml!G664</f>
        <v>70</v>
      </c>
      <c r="H660" s="1">
        <f>equip.xml!H664</f>
        <v>0</v>
      </c>
      <c r="I660" s="1">
        <f>equip.xml!J664</f>
        <v>10</v>
      </c>
      <c r="J660" s="1">
        <f>equip.xml!K664</f>
        <v>0</v>
      </c>
      <c r="K660" s="1">
        <f>equip.xml!L664</f>
        <v>0</v>
      </c>
      <c r="L660" s="1" t="str">
        <f>equip.xml!M664</f>
        <v>105_0_0</v>
      </c>
      <c r="M660" s="7" t="str">
        <f>equip.xml!Q664</f>
        <v>equipment/7001.png</v>
      </c>
      <c r="N660" t="str">
        <f>equip.xml!P664</f>
        <v>10000_1002_70000,30000_30001_1,30000_30002_1,30000_30003_1</v>
      </c>
    </row>
    <row r="661" spans="1:14">
      <c r="A661" s="1" t="str">
        <f>equip.xml!A665</f>
        <v>20700071</v>
      </c>
      <c r="B661" s="1">
        <f>equip.xml!B665</f>
        <v>0</v>
      </c>
      <c r="C661" s="1" t="str">
        <f>equip.xml!C665</f>
        <v>不朽护腿</v>
      </c>
      <c r="D661" s="1" t="str">
        <f>equip.xml!D665</f>
        <v>护腿</v>
      </c>
      <c r="E661" s="1">
        <f>equip.xml!E665</f>
        <v>7</v>
      </c>
      <c r="F661" s="1">
        <f>equip.xml!F665</f>
        <v>2</v>
      </c>
      <c r="G661" s="1">
        <f>equip.xml!G665</f>
        <v>70</v>
      </c>
      <c r="H661" s="1">
        <f>equip.xml!H665</f>
        <v>0</v>
      </c>
      <c r="I661" s="1">
        <f>equip.xml!J665</f>
        <v>10</v>
      </c>
      <c r="J661" s="1">
        <f>equip.xml!K665</f>
        <v>0</v>
      </c>
      <c r="K661" s="1">
        <f>equip.xml!L665</f>
        <v>0</v>
      </c>
      <c r="L661" s="1" t="str">
        <f>equip.xml!M665</f>
        <v>105_0_0</v>
      </c>
      <c r="M661" s="7" t="str">
        <f>equip.xml!Q665</f>
        <v>equipment/7001.png</v>
      </c>
      <c r="N661" t="str">
        <f>equip.xml!P665</f>
        <v>10000_1002_70000,30000_30001_1,30000_30002_1,30000_30003_1</v>
      </c>
    </row>
    <row r="662" spans="1:14">
      <c r="A662" s="1" t="str">
        <f>equip.xml!A666</f>
        <v>30010010</v>
      </c>
      <c r="B662" s="1">
        <f>equip.xml!B666</f>
        <v>0</v>
      </c>
      <c r="C662" s="1" t="str">
        <f>equip.xml!C666</f>
        <v>纹饰帽</v>
      </c>
      <c r="D662" s="1" t="str">
        <f>equip.xml!D666</f>
        <v>头盔</v>
      </c>
      <c r="E662" s="1">
        <f>equip.xml!E666</f>
        <v>1</v>
      </c>
      <c r="F662" s="1">
        <f>equip.xml!F666</f>
        <v>3</v>
      </c>
      <c r="G662" s="1">
        <f>equip.xml!G666</f>
        <v>1</v>
      </c>
      <c r="H662" s="1">
        <f>equip.xml!H666</f>
        <v>0</v>
      </c>
      <c r="I662" s="1">
        <f>equip.xml!J666</f>
        <v>20</v>
      </c>
      <c r="J662" s="1">
        <f>equip.xml!K666</f>
        <v>0</v>
      </c>
      <c r="K662" s="1">
        <f>equip.xml!L666</f>
        <v>0</v>
      </c>
      <c r="L662" s="1" t="str">
        <f>equip.xml!M666</f>
        <v>106_0_0</v>
      </c>
      <c r="M662" s="7" t="str">
        <f>equip.xml!Q666</f>
        <v>equipment/3001.png</v>
      </c>
      <c r="N662" t="str">
        <f>equip.xml!P666</f>
        <v>10000_1002_1000,30000_30001_1,30000_30002_1,30000_30003_1</v>
      </c>
    </row>
    <row r="663" spans="1:14">
      <c r="A663" s="1" t="str">
        <f>equip.xml!A667</f>
        <v>30010020</v>
      </c>
      <c r="B663" s="1">
        <f>equip.xml!B667</f>
        <v>0</v>
      </c>
      <c r="C663" s="1" t="str">
        <f>equip.xml!C667</f>
        <v>金戒指</v>
      </c>
      <c r="D663" s="1" t="str">
        <f>equip.xml!D667</f>
        <v>戒指</v>
      </c>
      <c r="E663" s="1">
        <f>equip.xml!E667</f>
        <v>2</v>
      </c>
      <c r="F663" s="1">
        <f>equip.xml!F667</f>
        <v>3</v>
      </c>
      <c r="G663" s="1">
        <f>equip.xml!G667</f>
        <v>1</v>
      </c>
      <c r="H663" s="1">
        <f>equip.xml!H667</f>
        <v>0</v>
      </c>
      <c r="I663" s="1">
        <f>equip.xml!J667</f>
        <v>20</v>
      </c>
      <c r="J663" s="1">
        <f>equip.xml!K667</f>
        <v>0</v>
      </c>
      <c r="K663" s="1">
        <f>equip.xml!L667</f>
        <v>0</v>
      </c>
      <c r="L663" s="1" t="str">
        <f>equip.xml!M667</f>
        <v>102_20_20</v>
      </c>
      <c r="M663" s="7" t="str">
        <f>equip.xml!Q667</f>
        <v>equipment/14001.png</v>
      </c>
      <c r="N663" t="str">
        <f>equip.xml!P667</f>
        <v>10000_1002_1000,30000_30001_1,30000_30002_1,30000_30003_1</v>
      </c>
    </row>
    <row r="664" spans="1:14">
      <c r="A664" s="1" t="str">
        <f>equip.xml!A668</f>
        <v>30010030</v>
      </c>
      <c r="B664" s="1">
        <f>equip.xml!B668</f>
        <v>0</v>
      </c>
      <c r="C664" s="1" t="str">
        <f>equip.xml!C668</f>
        <v>兽皮腰带</v>
      </c>
      <c r="D664" s="1" t="str">
        <f>equip.xml!D668</f>
        <v>腰带</v>
      </c>
      <c r="E664" s="1">
        <f>equip.xml!E668</f>
        <v>3</v>
      </c>
      <c r="F664" s="1">
        <f>equip.xml!F668</f>
        <v>3</v>
      </c>
      <c r="G664" s="1">
        <f>equip.xml!G668</f>
        <v>1</v>
      </c>
      <c r="H664" s="1">
        <f>equip.xml!H668</f>
        <v>0</v>
      </c>
      <c r="I664" s="1">
        <f>equip.xml!J668</f>
        <v>20</v>
      </c>
      <c r="J664" s="1">
        <f>equip.xml!K668</f>
        <v>0</v>
      </c>
      <c r="K664" s="1">
        <f>equip.xml!L668</f>
        <v>0</v>
      </c>
      <c r="L664" s="1" t="str">
        <f>equip.xml!M668</f>
        <v>101_100_100</v>
      </c>
      <c r="M664" s="7" t="str">
        <f>equip.xml!Q668</f>
        <v>equipment/6001.png</v>
      </c>
      <c r="N664" t="str">
        <f>equip.xml!P668</f>
        <v>10000_1002_1000,30000_30001_1,30000_30002_1,30000_30003_1</v>
      </c>
    </row>
    <row r="665" spans="1:14">
      <c r="A665" s="1" t="str">
        <f>equip.xml!A669</f>
        <v>30010080</v>
      </c>
      <c r="B665" s="1">
        <f>equip.xml!B669</f>
        <v>1</v>
      </c>
      <c r="C665" s="1" t="str">
        <f>equip.xml!C669</f>
        <v>皮靴</v>
      </c>
      <c r="D665" s="1" t="str">
        <f>equip.xml!D669</f>
        <v>鞋子</v>
      </c>
      <c r="E665" s="1">
        <f>equip.xml!E669</f>
        <v>8</v>
      </c>
      <c r="F665" s="1">
        <f>equip.xml!F669</f>
        <v>3</v>
      </c>
      <c r="G665" s="1">
        <f>equip.xml!G669</f>
        <v>1</v>
      </c>
      <c r="H665" s="1">
        <f>equip.xml!H669</f>
        <v>0</v>
      </c>
      <c r="I665" s="1">
        <f>equip.xml!J669</f>
        <v>20</v>
      </c>
      <c r="J665" s="1">
        <f>equip.xml!K669</f>
        <v>0</v>
      </c>
      <c r="K665" s="1">
        <f>equip.xml!L669</f>
        <v>0</v>
      </c>
      <c r="L665" s="1" t="str">
        <f>equip.xml!M669</f>
        <v>110_4_4</v>
      </c>
      <c r="M665" s="7" t="str">
        <f>equip.xml!Q669</f>
        <v>equipment/8001.png</v>
      </c>
      <c r="N665" t="str">
        <f>equip.xml!P669</f>
        <v>10000_1002_1000,30000_30001_1,30000_30002_1,30000_30003_1</v>
      </c>
    </row>
    <row r="666" spans="1:14">
      <c r="A666" s="1" t="str">
        <f>equip.xml!A670</f>
        <v>30010090</v>
      </c>
      <c r="B666" s="1">
        <f>equip.xml!B670</f>
        <v>1</v>
      </c>
      <c r="C666" s="1" t="str">
        <f>equip.xml!C670</f>
        <v>轻布手套</v>
      </c>
      <c r="D666" s="1" t="str">
        <f>equip.xml!D670</f>
        <v>手套</v>
      </c>
      <c r="E666" s="1">
        <f>equip.xml!E670</f>
        <v>9</v>
      </c>
      <c r="F666" s="1">
        <f>equip.xml!F670</f>
        <v>3</v>
      </c>
      <c r="G666" s="1">
        <f>equip.xml!G670</f>
        <v>1</v>
      </c>
      <c r="H666" s="1">
        <f>equip.xml!H670</f>
        <v>0</v>
      </c>
      <c r="I666" s="1">
        <f>equip.xml!J670</f>
        <v>20</v>
      </c>
      <c r="J666" s="1">
        <f>equip.xml!K670</f>
        <v>0</v>
      </c>
      <c r="K666" s="1">
        <f>equip.xml!L670</f>
        <v>0</v>
      </c>
      <c r="L666" s="1" t="str">
        <f>equip.xml!M670</f>
        <v>108_9_9</v>
      </c>
      <c r="M666" s="7" t="str">
        <f>equip.xml!Q670</f>
        <v>equipment/10001.png</v>
      </c>
      <c r="N666" t="str">
        <f>equip.xml!P670</f>
        <v>10000_1002_1000,30000_30001_1,30000_30002_1,30000_30003_1</v>
      </c>
    </row>
    <row r="667" spans="1:14">
      <c r="A667" s="1" t="str">
        <f>equip.xml!A671</f>
        <v>30010100</v>
      </c>
      <c r="B667" s="1">
        <f>equip.xml!B671</f>
        <v>0</v>
      </c>
      <c r="C667" s="1" t="str">
        <f>equip.xml!C671</f>
        <v>贝壳项链</v>
      </c>
      <c r="D667" s="1" t="str">
        <f>equip.xml!D671</f>
        <v>项链</v>
      </c>
      <c r="E667" s="1">
        <f>equip.xml!E671</f>
        <v>10</v>
      </c>
      <c r="F667" s="1">
        <f>equip.xml!F671</f>
        <v>3</v>
      </c>
      <c r="G667" s="1">
        <f>equip.xml!G671</f>
        <v>1</v>
      </c>
      <c r="H667" s="1">
        <f>equip.xml!H671</f>
        <v>0</v>
      </c>
      <c r="I667" s="1">
        <f>equip.xml!J671</f>
        <v>20</v>
      </c>
      <c r="J667" s="1">
        <f>equip.xml!K671</f>
        <v>0</v>
      </c>
      <c r="K667" s="1">
        <f>equip.xml!L671</f>
        <v>0</v>
      </c>
      <c r="L667" s="1" t="str">
        <f>equip.xml!M671</f>
        <v>107_0_0</v>
      </c>
      <c r="M667" s="7" t="str">
        <f>equip.xml!Q671</f>
        <v>equipment/12001.png</v>
      </c>
      <c r="N667" t="str">
        <f>equip.xml!P671</f>
        <v>10000_1002_1000,30000_30001_1,30000_30002_1,30000_30003_1</v>
      </c>
    </row>
    <row r="668" spans="1:14">
      <c r="A668" s="1" t="str">
        <f>equip.xml!A672</f>
        <v>30011050</v>
      </c>
      <c r="B668" s="1">
        <f>equip.xml!B672</f>
        <v>1</v>
      </c>
      <c r="C668" s="1" t="str">
        <f>equip.xml!C672</f>
        <v>短剑</v>
      </c>
      <c r="D668" s="1" t="str">
        <f>equip.xml!D672</f>
        <v>主手武器</v>
      </c>
      <c r="E668" s="1">
        <f>equip.xml!E672</f>
        <v>5</v>
      </c>
      <c r="F668" s="1">
        <f>equip.xml!F672</f>
        <v>3</v>
      </c>
      <c r="G668" s="1">
        <f>equip.xml!G672</f>
        <v>1</v>
      </c>
      <c r="H668" s="1" t="str">
        <f>equip.xml!H672</f>
        <v>1,1001</v>
      </c>
      <c r="I668" s="1">
        <f>equip.xml!J672</f>
        <v>20</v>
      </c>
      <c r="J668" s="1">
        <f>equip.xml!K672</f>
        <v>0</v>
      </c>
      <c r="K668" s="1">
        <f>equip.xml!L672</f>
        <v>0</v>
      </c>
      <c r="L668" s="1" t="str">
        <f>equip.xml!M672</f>
        <v>103_2_2,104_6_6</v>
      </c>
      <c r="M668" s="7" t="str">
        <f>equip.xml!Q672</f>
        <v>equipment/1101.png</v>
      </c>
      <c r="N668" t="str">
        <f>equip.xml!P672</f>
        <v>10000_1002_1000,30000_30001_1,30000_30002_1,30000_30003_1</v>
      </c>
    </row>
    <row r="669" spans="1:14">
      <c r="A669" s="1" t="str">
        <f>equip.xml!A673</f>
        <v>30011051</v>
      </c>
      <c r="B669" s="1">
        <f>equip.xml!B673</f>
        <v>1</v>
      </c>
      <c r="C669" s="1" t="str">
        <f>equip.xml!C673</f>
        <v>军刀</v>
      </c>
      <c r="D669" s="1" t="str">
        <f>equip.xml!D673</f>
        <v>主手武器</v>
      </c>
      <c r="E669" s="1">
        <f>equip.xml!E673</f>
        <v>5</v>
      </c>
      <c r="F669" s="1">
        <f>equip.xml!F673</f>
        <v>3</v>
      </c>
      <c r="G669" s="1">
        <f>equip.xml!G673</f>
        <v>1</v>
      </c>
      <c r="H669" s="1" t="str">
        <f>equip.xml!H673</f>
        <v>1,1001</v>
      </c>
      <c r="I669" s="1">
        <f>equip.xml!J673</f>
        <v>20</v>
      </c>
      <c r="J669" s="1">
        <f>equip.xml!K673</f>
        <v>0</v>
      </c>
      <c r="K669" s="1">
        <f>equip.xml!L673</f>
        <v>0</v>
      </c>
      <c r="L669" s="1" t="str">
        <f>equip.xml!M673</f>
        <v>103_5_5,104_12_12</v>
      </c>
      <c r="M669" s="7" t="str">
        <f>equip.xml!Q673</f>
        <v>equipment/1102.png</v>
      </c>
      <c r="N669" t="str">
        <f>equip.xml!P673</f>
        <v>10000_1002_1000,30000_30001_1,30000_30002_1,30000_30003_1</v>
      </c>
    </row>
    <row r="670" spans="1:14">
      <c r="A670" s="1" t="str">
        <f>equip.xml!A674</f>
        <v>30011060</v>
      </c>
      <c r="B670" s="1">
        <f>equip.xml!B674</f>
        <v>1</v>
      </c>
      <c r="C670" s="1" t="str">
        <f>equip.xml!C674</f>
        <v>小圆盾</v>
      </c>
      <c r="D670" s="1" t="str">
        <f>equip.xml!D674</f>
        <v>副手武器</v>
      </c>
      <c r="E670" s="1">
        <f>equip.xml!E674</f>
        <v>6</v>
      </c>
      <c r="F670" s="1">
        <f>equip.xml!F674</f>
        <v>3</v>
      </c>
      <c r="G670" s="1">
        <f>equip.xml!G674</f>
        <v>1</v>
      </c>
      <c r="H670" s="1" t="str">
        <f>equip.xml!H674</f>
        <v>1,1001</v>
      </c>
      <c r="I670" s="1">
        <f>equip.xml!J674</f>
        <v>20</v>
      </c>
      <c r="J670" s="1">
        <f>equip.xml!K674</f>
        <v>0</v>
      </c>
      <c r="K670" s="1">
        <f>equip.xml!L674</f>
        <v>0</v>
      </c>
      <c r="L670" s="1" t="str">
        <f>equip.xml!M674</f>
        <v>105_4_4</v>
      </c>
      <c r="M670" s="7" t="str">
        <f>equip.xml!Q674</f>
        <v>equipment/2101.png</v>
      </c>
      <c r="N670" t="str">
        <f>equip.xml!P674</f>
        <v>10000_1002_1000,30000_30001_1,30000_30002_1,30000_30003_1</v>
      </c>
    </row>
    <row r="671" spans="1:14">
      <c r="A671" s="1" t="str">
        <f>equip.xml!A675</f>
        <v>30011061</v>
      </c>
      <c r="B671" s="1">
        <f>equip.xml!B675</f>
        <v>0</v>
      </c>
      <c r="C671" s="1" t="str">
        <f>equip.xml!C675</f>
        <v>尖头盾</v>
      </c>
      <c r="D671" s="1" t="str">
        <f>equip.xml!D675</f>
        <v>副手武器</v>
      </c>
      <c r="E671" s="1">
        <f>equip.xml!E675</f>
        <v>6</v>
      </c>
      <c r="F671" s="1">
        <f>equip.xml!F675</f>
        <v>3</v>
      </c>
      <c r="G671" s="1">
        <f>equip.xml!G675</f>
        <v>1</v>
      </c>
      <c r="H671" s="1" t="str">
        <f>equip.xml!H675</f>
        <v>1,1001</v>
      </c>
      <c r="I671" s="1">
        <f>equip.xml!J675</f>
        <v>20</v>
      </c>
      <c r="J671" s="1">
        <f>equip.xml!K675</f>
        <v>0</v>
      </c>
      <c r="K671" s="1">
        <f>equip.xml!L675</f>
        <v>0</v>
      </c>
      <c r="L671" s="1" t="str">
        <f>equip.xml!M675</f>
        <v>105_7_7</v>
      </c>
      <c r="M671" s="7" t="str">
        <f>equip.xml!Q675</f>
        <v>equipment/2101.png</v>
      </c>
      <c r="N671" t="str">
        <f>equip.xml!P675</f>
        <v>10000_1002_1000,30000_30001_1,30000_30002_1,30000_30003_1</v>
      </c>
    </row>
    <row r="672" spans="1:14">
      <c r="A672" s="1" t="str">
        <f>equip.xml!A676</f>
        <v>30012050</v>
      </c>
      <c r="B672" s="1">
        <f>equip.xml!B676</f>
        <v>1</v>
      </c>
      <c r="C672" s="1" t="str">
        <f>equip.xml!C676</f>
        <v>短弓</v>
      </c>
      <c r="D672" s="1" t="str">
        <f>equip.xml!D676</f>
        <v>主手武器</v>
      </c>
      <c r="E672" s="1">
        <f>equip.xml!E676</f>
        <v>5</v>
      </c>
      <c r="F672" s="1">
        <f>equip.xml!F676</f>
        <v>3</v>
      </c>
      <c r="G672" s="1">
        <f>equip.xml!G676</f>
        <v>1</v>
      </c>
      <c r="H672" s="1" t="str">
        <f>equip.xml!H676</f>
        <v>2,1002</v>
      </c>
      <c r="I672" s="1">
        <f>equip.xml!J676</f>
        <v>20</v>
      </c>
      <c r="J672" s="1">
        <f>equip.xml!K676</f>
        <v>0</v>
      </c>
      <c r="K672" s="1">
        <f>equip.xml!L676</f>
        <v>0</v>
      </c>
      <c r="L672" s="1" t="str">
        <f>equip.xml!M676</f>
        <v>103_2_2,104_6_6</v>
      </c>
      <c r="M672" s="7" t="str">
        <f>equip.xml!Q676</f>
        <v>equipment/1201.png</v>
      </c>
      <c r="N672" t="str">
        <f>equip.xml!P676</f>
        <v>10000_1002_1000,30000_30001_1,30000_30002_1,30000_30003_1</v>
      </c>
    </row>
    <row r="673" spans="1:14">
      <c r="A673" s="1" t="str">
        <f>equip.xml!A677</f>
        <v>30012051</v>
      </c>
      <c r="B673" s="1">
        <f>equip.xml!B677</f>
        <v>1</v>
      </c>
      <c r="C673" s="1" t="str">
        <f>equip.xml!C677</f>
        <v>棘木弓</v>
      </c>
      <c r="D673" s="1" t="str">
        <f>equip.xml!D677</f>
        <v>主手武器</v>
      </c>
      <c r="E673" s="1">
        <f>equip.xml!E677</f>
        <v>5</v>
      </c>
      <c r="F673" s="1">
        <f>equip.xml!F677</f>
        <v>3</v>
      </c>
      <c r="G673" s="1">
        <f>equip.xml!G677</f>
        <v>1</v>
      </c>
      <c r="H673" s="1" t="str">
        <f>equip.xml!H677</f>
        <v>2,1002</v>
      </c>
      <c r="I673" s="1">
        <f>equip.xml!J677</f>
        <v>20</v>
      </c>
      <c r="J673" s="1">
        <f>equip.xml!K677</f>
        <v>0</v>
      </c>
      <c r="K673" s="1">
        <f>equip.xml!L677</f>
        <v>0</v>
      </c>
      <c r="L673" s="1" t="str">
        <f>equip.xml!M677</f>
        <v>103_5_5,104_12_12</v>
      </c>
      <c r="M673" s="7" t="str">
        <f>equip.xml!Q677</f>
        <v>equipment/1202.png</v>
      </c>
      <c r="N673" t="str">
        <f>equip.xml!P677</f>
        <v>10000_1002_1000,30000_30001_1,30000_30002_1,30000_30003_1</v>
      </c>
    </row>
    <row r="674" spans="1:14">
      <c r="A674" s="1" t="str">
        <f>equip.xml!A678</f>
        <v>30012060</v>
      </c>
      <c r="B674" s="1">
        <f>equip.xml!B678</f>
        <v>1</v>
      </c>
      <c r="C674" s="1" t="str">
        <f>equip.xml!C678</f>
        <v>小箭筒</v>
      </c>
      <c r="D674" s="1" t="str">
        <f>equip.xml!D678</f>
        <v>副手武器</v>
      </c>
      <c r="E674" s="1">
        <f>equip.xml!E678</f>
        <v>6</v>
      </c>
      <c r="F674" s="1">
        <f>equip.xml!F678</f>
        <v>3</v>
      </c>
      <c r="G674" s="1">
        <f>equip.xml!G678</f>
        <v>1</v>
      </c>
      <c r="H674" s="1" t="str">
        <f>equip.xml!H678</f>
        <v>2,1002</v>
      </c>
      <c r="I674" s="1">
        <f>equip.xml!J678</f>
        <v>20</v>
      </c>
      <c r="J674" s="1">
        <f>equip.xml!K678</f>
        <v>0</v>
      </c>
      <c r="K674" s="1">
        <f>equip.xml!L678</f>
        <v>0</v>
      </c>
      <c r="L674" s="1" t="str">
        <f>equip.xml!M678</f>
        <v>108_4_4</v>
      </c>
      <c r="M674" s="7" t="str">
        <f>equip.xml!Q678</f>
        <v>equipment/2201.png</v>
      </c>
      <c r="N674" t="str">
        <f>equip.xml!P678</f>
        <v>10000_1002_1000,30000_30001_1,30000_30002_1,30000_30003_1</v>
      </c>
    </row>
    <row r="675" spans="1:14">
      <c r="A675" s="1" t="str">
        <f>equip.xml!A679</f>
        <v>30012061</v>
      </c>
      <c r="B675" s="1">
        <f>equip.xml!B679</f>
        <v>0</v>
      </c>
      <c r="C675" s="1" t="str">
        <f>equip.xml!C679</f>
        <v>箭筒</v>
      </c>
      <c r="D675" s="1" t="str">
        <f>equip.xml!D679</f>
        <v>副手武器</v>
      </c>
      <c r="E675" s="1">
        <f>equip.xml!E679</f>
        <v>6</v>
      </c>
      <c r="F675" s="1">
        <f>equip.xml!F679</f>
        <v>3</v>
      </c>
      <c r="G675" s="1">
        <f>equip.xml!G679</f>
        <v>1</v>
      </c>
      <c r="H675" s="1" t="str">
        <f>equip.xml!H679</f>
        <v>2,1002</v>
      </c>
      <c r="I675" s="1">
        <f>equip.xml!J679</f>
        <v>20</v>
      </c>
      <c r="J675" s="1">
        <f>equip.xml!K679</f>
        <v>0</v>
      </c>
      <c r="K675" s="1">
        <f>equip.xml!L679</f>
        <v>0</v>
      </c>
      <c r="L675" s="1" t="str">
        <f>equip.xml!M679</f>
        <v>108_7_7</v>
      </c>
      <c r="M675" s="7" t="str">
        <f>equip.xml!Q679</f>
        <v>equipment/2201.png</v>
      </c>
      <c r="N675" t="str">
        <f>equip.xml!P679</f>
        <v>10000_1002_1000,30000_30001_1,30000_30002_1,30000_30003_1</v>
      </c>
    </row>
    <row r="676" spans="1:14">
      <c r="A676" s="1" t="str">
        <f>equip.xml!A680</f>
        <v>30013050</v>
      </c>
      <c r="B676" s="1">
        <f>equip.xml!B680</f>
        <v>1</v>
      </c>
      <c r="C676" s="1" t="str">
        <f>equip.xml!C680</f>
        <v>训练用杖</v>
      </c>
      <c r="D676" s="1" t="str">
        <f>equip.xml!D680</f>
        <v>主手武器</v>
      </c>
      <c r="E676" s="1">
        <f>equip.xml!E680</f>
        <v>5</v>
      </c>
      <c r="F676" s="1">
        <f>equip.xml!F680</f>
        <v>3</v>
      </c>
      <c r="G676" s="1">
        <f>equip.xml!G680</f>
        <v>1</v>
      </c>
      <c r="H676" s="1" t="str">
        <f>equip.xml!H680</f>
        <v>3,1003</v>
      </c>
      <c r="I676" s="1">
        <f>equip.xml!J680</f>
        <v>20</v>
      </c>
      <c r="J676" s="1">
        <f>equip.xml!K680</f>
        <v>0</v>
      </c>
      <c r="K676" s="1">
        <f>equip.xml!L680</f>
        <v>0</v>
      </c>
      <c r="L676" s="1" t="str">
        <f>equip.xml!M680</f>
        <v>103_2_2,104_6_6</v>
      </c>
      <c r="M676" s="7" t="str">
        <f>equip.xml!Q680</f>
        <v>equipment/1301.png</v>
      </c>
      <c r="N676" t="str">
        <f>equip.xml!P680</f>
        <v>10000_1002_1000,30000_30001_1,30000_30002_1,30000_30003_1</v>
      </c>
    </row>
    <row r="677" spans="1:14">
      <c r="A677" s="1" t="str">
        <f>equip.xml!A681</f>
        <v>30013051</v>
      </c>
      <c r="B677" s="1">
        <f>equip.xml!B681</f>
        <v>1</v>
      </c>
      <c r="C677" s="1" t="str">
        <f>equip.xml!C681</f>
        <v>学徒法杖</v>
      </c>
      <c r="D677" s="1" t="str">
        <f>equip.xml!D681</f>
        <v>主手武器</v>
      </c>
      <c r="E677" s="1">
        <f>equip.xml!E681</f>
        <v>5</v>
      </c>
      <c r="F677" s="1">
        <f>equip.xml!F681</f>
        <v>3</v>
      </c>
      <c r="G677" s="1">
        <f>equip.xml!G681</f>
        <v>1</v>
      </c>
      <c r="H677" s="1" t="str">
        <f>equip.xml!H681</f>
        <v>3,1003</v>
      </c>
      <c r="I677" s="1">
        <f>equip.xml!J681</f>
        <v>20</v>
      </c>
      <c r="J677" s="1">
        <f>equip.xml!K681</f>
        <v>0</v>
      </c>
      <c r="K677" s="1">
        <f>equip.xml!L681</f>
        <v>0</v>
      </c>
      <c r="L677" s="1" t="str">
        <f>equip.xml!M681</f>
        <v>103_5_5,104_12_12</v>
      </c>
      <c r="M677" s="7" t="str">
        <f>equip.xml!Q681</f>
        <v>equipment/1302.png</v>
      </c>
      <c r="N677" t="str">
        <f>equip.xml!P681</f>
        <v>10000_1002_1000,30000_30001_1,30000_30002_1,30000_30003_1</v>
      </c>
    </row>
    <row r="678" spans="1:14">
      <c r="A678" s="1" t="str">
        <f>equip.xml!A682</f>
        <v>30013060</v>
      </c>
      <c r="B678" s="1">
        <f>equip.xml!B682</f>
        <v>1</v>
      </c>
      <c r="C678" s="1" t="str">
        <f>equip.xml!C682</f>
        <v>学徒手册</v>
      </c>
      <c r="D678" s="1" t="str">
        <f>equip.xml!D682</f>
        <v>副手武器</v>
      </c>
      <c r="E678" s="1">
        <f>equip.xml!E682</f>
        <v>6</v>
      </c>
      <c r="F678" s="1">
        <f>equip.xml!F682</f>
        <v>3</v>
      </c>
      <c r="G678" s="1">
        <f>equip.xml!G682</f>
        <v>1</v>
      </c>
      <c r="H678" s="1" t="str">
        <f>equip.xml!H682</f>
        <v>3,1003</v>
      </c>
      <c r="I678" s="1">
        <f>equip.xml!J682</f>
        <v>20</v>
      </c>
      <c r="J678" s="1">
        <f>equip.xml!K682</f>
        <v>0</v>
      </c>
      <c r="K678" s="1">
        <f>equip.xml!L682</f>
        <v>0</v>
      </c>
      <c r="L678" s="1" t="str">
        <f>equip.xml!M682</f>
        <v>102_30_30</v>
      </c>
      <c r="M678" s="7" t="str">
        <f>equip.xml!Q682</f>
        <v>equipment/2301.png</v>
      </c>
      <c r="N678" t="str">
        <f>equip.xml!P682</f>
        <v>10000_1002_1000,30000_30001_1,30000_30002_1,30000_30003_1</v>
      </c>
    </row>
    <row r="679" spans="1:14">
      <c r="A679" s="1" t="str">
        <f>equip.xml!A683</f>
        <v>30013061</v>
      </c>
      <c r="B679" s="1">
        <f>equip.xml!B683</f>
        <v>0</v>
      </c>
      <c r="C679" s="1" t="str">
        <f>equip.xml!C683</f>
        <v>法术指南</v>
      </c>
      <c r="D679" s="1" t="str">
        <f>equip.xml!D683</f>
        <v>副手武器</v>
      </c>
      <c r="E679" s="1">
        <f>equip.xml!E683</f>
        <v>6</v>
      </c>
      <c r="F679" s="1">
        <f>equip.xml!F683</f>
        <v>3</v>
      </c>
      <c r="G679" s="1">
        <f>equip.xml!G683</f>
        <v>1</v>
      </c>
      <c r="H679" s="1" t="str">
        <f>equip.xml!H683</f>
        <v>3,1003</v>
      </c>
      <c r="I679" s="1">
        <f>equip.xml!J683</f>
        <v>20</v>
      </c>
      <c r="J679" s="1">
        <f>equip.xml!K683</f>
        <v>0</v>
      </c>
      <c r="K679" s="1">
        <f>equip.xml!L683</f>
        <v>0</v>
      </c>
      <c r="L679" s="1" t="str">
        <f>equip.xml!M683</f>
        <v>102_7_7</v>
      </c>
      <c r="M679" s="7" t="str">
        <f>equip.xml!Q683</f>
        <v>equipment/2301.png</v>
      </c>
      <c r="N679" t="str">
        <f>equip.xml!P683</f>
        <v>10000_1002_1000,30000_30001_1,30000_30002_1,30000_30003_1</v>
      </c>
    </row>
    <row r="680" spans="1:14">
      <c r="A680" s="1" t="str">
        <f>equip.xml!A684</f>
        <v>30010040</v>
      </c>
      <c r="B680" s="1">
        <f>equip.xml!B684</f>
        <v>1</v>
      </c>
      <c r="C680" s="1" t="str">
        <f>equip.xml!C684</f>
        <v>新兵外套</v>
      </c>
      <c r="D680" s="1" t="str">
        <f>equip.xml!D684</f>
        <v>胸甲</v>
      </c>
      <c r="E680" s="1">
        <f>equip.xml!E684</f>
        <v>4</v>
      </c>
      <c r="F680" s="1">
        <f>equip.xml!F684</f>
        <v>3</v>
      </c>
      <c r="G680" s="1">
        <f>equip.xml!G684</f>
        <v>1</v>
      </c>
      <c r="H680" s="1">
        <f>equip.xml!H684</f>
        <v>0</v>
      </c>
      <c r="I680" s="1">
        <f>equip.xml!J684</f>
        <v>20</v>
      </c>
      <c r="J680" s="1">
        <f>equip.xml!K684</f>
        <v>0</v>
      </c>
      <c r="K680" s="1">
        <f>equip.xml!L684</f>
        <v>0</v>
      </c>
      <c r="L680" s="1" t="str">
        <f>equip.xml!M684</f>
        <v>105_3_3</v>
      </c>
      <c r="M680" s="7" t="str">
        <f>equip.xml!Q684</f>
        <v>equipment/5001.png</v>
      </c>
      <c r="N680" t="str">
        <f>equip.xml!P684</f>
        <v>10000_1002_1000,30000_30001_1,30000_30002_1,30000_30003_1</v>
      </c>
    </row>
    <row r="681" spans="1:14">
      <c r="A681" s="1" t="str">
        <f>equip.xml!A685</f>
        <v>30010041</v>
      </c>
      <c r="B681" s="1">
        <f>equip.xml!B685</f>
        <v>0</v>
      </c>
      <c r="C681" s="1" t="str">
        <f>equip.xml!C685</f>
        <v>新兵外套</v>
      </c>
      <c r="D681" s="1" t="str">
        <f>equip.xml!D685</f>
        <v>胸甲</v>
      </c>
      <c r="E681" s="1">
        <f>equip.xml!E685</f>
        <v>4</v>
      </c>
      <c r="F681" s="1">
        <f>equip.xml!F685</f>
        <v>3</v>
      </c>
      <c r="G681" s="1">
        <f>equip.xml!G685</f>
        <v>1</v>
      </c>
      <c r="H681" s="1">
        <f>equip.xml!H685</f>
        <v>0</v>
      </c>
      <c r="I681" s="1">
        <f>equip.xml!J685</f>
        <v>20</v>
      </c>
      <c r="J681" s="1">
        <f>equip.xml!K685</f>
        <v>0</v>
      </c>
      <c r="K681" s="1">
        <f>equip.xml!L685</f>
        <v>0</v>
      </c>
      <c r="L681" s="1" t="str">
        <f>equip.xml!M685</f>
        <v>105_5_5</v>
      </c>
      <c r="M681" s="7" t="str">
        <f>equip.xml!Q685</f>
        <v>equipment/5001.png</v>
      </c>
      <c r="N681" t="str">
        <f>equip.xml!P685</f>
        <v>10000_1002_1000,30000_30001_1,30000_30002_1,30000_30003_1</v>
      </c>
    </row>
    <row r="682" spans="1:14">
      <c r="A682" s="1" t="str">
        <f>equip.xml!A686</f>
        <v>30010070</v>
      </c>
      <c r="B682" s="1">
        <f>equip.xml!B686</f>
        <v>0</v>
      </c>
      <c r="C682" s="1" t="str">
        <f>equip.xml!C686</f>
        <v>皮甲短裤</v>
      </c>
      <c r="D682" s="1" t="str">
        <f>equip.xml!D686</f>
        <v>护腿</v>
      </c>
      <c r="E682" s="1">
        <f>equip.xml!E686</f>
        <v>7</v>
      </c>
      <c r="F682" s="1">
        <f>equip.xml!F686</f>
        <v>3</v>
      </c>
      <c r="G682" s="1">
        <f>equip.xml!G686</f>
        <v>1</v>
      </c>
      <c r="H682" s="1">
        <f>equip.xml!H686</f>
        <v>0</v>
      </c>
      <c r="I682" s="1">
        <f>equip.xml!J686</f>
        <v>20</v>
      </c>
      <c r="J682" s="1">
        <f>equip.xml!K686</f>
        <v>0</v>
      </c>
      <c r="K682" s="1">
        <f>equip.xml!L686</f>
        <v>0</v>
      </c>
      <c r="L682" s="1" t="str">
        <f>equip.xml!M686</f>
        <v>105_0_0</v>
      </c>
      <c r="M682" s="7" t="str">
        <f>equip.xml!Q686</f>
        <v>equipment/7001.png</v>
      </c>
      <c r="N682" t="str">
        <f>equip.xml!P686</f>
        <v>10000_1002_1000,30000_30001_1,30000_30002_1,30000_30003_1</v>
      </c>
    </row>
    <row r="683" spans="1:14">
      <c r="A683" s="1" t="str">
        <f>equip.xml!A687</f>
        <v>30010071</v>
      </c>
      <c r="B683" s="1">
        <f>equip.xml!B687</f>
        <v>0</v>
      </c>
      <c r="C683" s="1" t="str">
        <f>equip.xml!C687</f>
        <v>学徒短裤</v>
      </c>
      <c r="D683" s="1" t="str">
        <f>equip.xml!D687</f>
        <v>护腿</v>
      </c>
      <c r="E683" s="1">
        <f>equip.xml!E687</f>
        <v>7</v>
      </c>
      <c r="F683" s="1">
        <f>equip.xml!F687</f>
        <v>3</v>
      </c>
      <c r="G683" s="1">
        <f>equip.xml!G687</f>
        <v>1</v>
      </c>
      <c r="H683" s="1">
        <f>equip.xml!H687</f>
        <v>0</v>
      </c>
      <c r="I683" s="1">
        <f>equip.xml!J687</f>
        <v>20</v>
      </c>
      <c r="J683" s="1">
        <f>equip.xml!K687</f>
        <v>0</v>
      </c>
      <c r="K683" s="1">
        <f>equip.xml!L687</f>
        <v>0</v>
      </c>
      <c r="L683" s="1" t="str">
        <f>equip.xml!M687</f>
        <v>105_1_1</v>
      </c>
      <c r="M683" s="7" t="str">
        <f>equip.xml!Q687</f>
        <v>equipment/7001.png</v>
      </c>
      <c r="N683" t="str">
        <f>equip.xml!P687</f>
        <v>10000_1002_1000,30000_30001_1,30000_30002_1,30000_30003_1</v>
      </c>
    </row>
    <row r="684" spans="1:14">
      <c r="A684" s="1" t="str">
        <f>equip.xml!A688</f>
        <v>30050010</v>
      </c>
      <c r="B684" s="1">
        <f>equip.xml!B688</f>
        <v>1</v>
      </c>
      <c r="C684" s="1" t="str">
        <f>equip.xml!C688</f>
        <v>纹饰帽</v>
      </c>
      <c r="D684" s="1" t="str">
        <f>equip.xml!D688</f>
        <v>头盔</v>
      </c>
      <c r="E684" s="1">
        <f>equip.xml!E688</f>
        <v>1</v>
      </c>
      <c r="F684" s="1">
        <f>equip.xml!F688</f>
        <v>3</v>
      </c>
      <c r="G684" s="1">
        <f>equip.xml!G688</f>
        <v>5</v>
      </c>
      <c r="H684" s="1">
        <f>equip.xml!H688</f>
        <v>0</v>
      </c>
      <c r="I684" s="1">
        <f>equip.xml!J688</f>
        <v>20</v>
      </c>
      <c r="J684" s="1">
        <f>equip.xml!K688</f>
        <v>0</v>
      </c>
      <c r="K684" s="1">
        <f>equip.xml!L688</f>
        <v>0</v>
      </c>
      <c r="L684" s="1" t="str">
        <f>equip.xml!M688</f>
        <v>106_20_20</v>
      </c>
      <c r="M684" s="7" t="str">
        <f>equip.xml!Q688</f>
        <v>equipment/3001.png</v>
      </c>
      <c r="N684" t="str">
        <f>equip.xml!P688</f>
        <v>10000_1002_5000,30000_30001_1,30000_30002_1,30000_30003_1</v>
      </c>
    </row>
    <row r="685" spans="1:14">
      <c r="A685" s="1" t="str">
        <f>equip.xml!A689</f>
        <v>30050020</v>
      </c>
      <c r="B685" s="1">
        <f>equip.xml!B689</f>
        <v>1</v>
      </c>
      <c r="C685" s="1" t="str">
        <f>equip.xml!C689</f>
        <v>金戒指</v>
      </c>
      <c r="D685" s="1" t="str">
        <f>equip.xml!D689</f>
        <v>戒指</v>
      </c>
      <c r="E685" s="1">
        <f>equip.xml!E689</f>
        <v>2</v>
      </c>
      <c r="F685" s="1">
        <f>equip.xml!F689</f>
        <v>3</v>
      </c>
      <c r="G685" s="1">
        <f>equip.xml!G689</f>
        <v>5</v>
      </c>
      <c r="H685" s="1">
        <f>equip.xml!H689</f>
        <v>0</v>
      </c>
      <c r="I685" s="1">
        <f>equip.xml!J689</f>
        <v>20</v>
      </c>
      <c r="J685" s="1">
        <f>equip.xml!K689</f>
        <v>0</v>
      </c>
      <c r="K685" s="1">
        <f>equip.xml!L689</f>
        <v>0</v>
      </c>
      <c r="L685" s="1" t="str">
        <f>equip.xml!M689</f>
        <v>102_80_80</v>
      </c>
      <c r="M685" s="7" t="str">
        <f>equip.xml!Q689</f>
        <v>equipment/14001.png</v>
      </c>
      <c r="N685" t="str">
        <f>equip.xml!P689</f>
        <v>10000_1002_5000,30000_30001_1,30000_30002_1,30000_30003_1</v>
      </c>
    </row>
    <row r="686" spans="1:14">
      <c r="A686" s="1" t="str">
        <f>equip.xml!A690</f>
        <v>30050030</v>
      </c>
      <c r="B686" s="1">
        <f>equip.xml!B690</f>
        <v>1</v>
      </c>
      <c r="C686" s="1" t="str">
        <f>equip.xml!C690</f>
        <v>兽皮腰带</v>
      </c>
      <c r="D686" s="1" t="str">
        <f>equip.xml!D690</f>
        <v>腰带</v>
      </c>
      <c r="E686" s="1">
        <f>equip.xml!E690</f>
        <v>3</v>
      </c>
      <c r="F686" s="1">
        <f>equip.xml!F690</f>
        <v>3</v>
      </c>
      <c r="G686" s="1">
        <f>equip.xml!G690</f>
        <v>5</v>
      </c>
      <c r="H686" s="1">
        <f>equip.xml!H690</f>
        <v>0</v>
      </c>
      <c r="I686" s="1">
        <f>equip.xml!J690</f>
        <v>20</v>
      </c>
      <c r="J686" s="1">
        <f>equip.xml!K690</f>
        <v>0</v>
      </c>
      <c r="K686" s="1">
        <f>equip.xml!L690</f>
        <v>0</v>
      </c>
      <c r="L686" s="1" t="str">
        <f>equip.xml!M690</f>
        <v>101_100_100</v>
      </c>
      <c r="M686" s="7" t="str">
        <f>equip.xml!Q690</f>
        <v>equipment/6001.png</v>
      </c>
      <c r="N686" t="str">
        <f>equip.xml!P690</f>
        <v>10000_1002_5000,30000_30001_1,30000_30002_1,30000_30003_1</v>
      </c>
    </row>
    <row r="687" spans="1:14">
      <c r="A687" s="1" t="str">
        <f>equip.xml!A691</f>
        <v>30050080</v>
      </c>
      <c r="B687" s="1">
        <f>equip.xml!B691</f>
        <v>0</v>
      </c>
      <c r="C687" s="1" t="str">
        <f>equip.xml!C691</f>
        <v>皮靴</v>
      </c>
      <c r="D687" s="1" t="str">
        <f>equip.xml!D691</f>
        <v>鞋子</v>
      </c>
      <c r="E687" s="1">
        <f>equip.xml!E691</f>
        <v>8</v>
      </c>
      <c r="F687" s="1">
        <f>equip.xml!F691</f>
        <v>3</v>
      </c>
      <c r="G687" s="1">
        <f>equip.xml!G691</f>
        <v>5</v>
      </c>
      <c r="H687" s="1">
        <f>equip.xml!H691</f>
        <v>0</v>
      </c>
      <c r="I687" s="1">
        <f>equip.xml!J691</f>
        <v>20</v>
      </c>
      <c r="J687" s="1">
        <f>equip.xml!K691</f>
        <v>0</v>
      </c>
      <c r="K687" s="1">
        <f>equip.xml!L691</f>
        <v>0</v>
      </c>
      <c r="L687" s="1" t="str">
        <f>equip.xml!M691</f>
        <v>110_7_7</v>
      </c>
      <c r="M687" s="7" t="str">
        <f>equip.xml!Q691</f>
        <v>equipment/8001.png</v>
      </c>
      <c r="N687" t="str">
        <f>equip.xml!P691</f>
        <v>10000_1002_5000,30000_30001_1,30000_30002_1,30000_30003_1</v>
      </c>
    </row>
    <row r="688" spans="1:14">
      <c r="A688" s="1" t="str">
        <f>equip.xml!A692</f>
        <v>30050090</v>
      </c>
      <c r="B688" s="1">
        <f>equip.xml!B692</f>
        <v>0</v>
      </c>
      <c r="C688" s="1" t="str">
        <f>equip.xml!C692</f>
        <v>轻布手套</v>
      </c>
      <c r="D688" s="1" t="str">
        <f>equip.xml!D692</f>
        <v>手套</v>
      </c>
      <c r="E688" s="1">
        <f>equip.xml!E692</f>
        <v>9</v>
      </c>
      <c r="F688" s="1">
        <f>equip.xml!F692</f>
        <v>3</v>
      </c>
      <c r="G688" s="1">
        <f>equip.xml!G692</f>
        <v>5</v>
      </c>
      <c r="H688" s="1">
        <f>equip.xml!H692</f>
        <v>0</v>
      </c>
      <c r="I688" s="1">
        <f>equip.xml!J692</f>
        <v>20</v>
      </c>
      <c r="J688" s="1">
        <f>equip.xml!K692</f>
        <v>0</v>
      </c>
      <c r="K688" s="1">
        <f>equip.xml!L692</f>
        <v>0</v>
      </c>
      <c r="L688" s="1" t="str">
        <f>equip.xml!M692</f>
        <v>108_23_23</v>
      </c>
      <c r="M688" s="7" t="str">
        <f>equip.xml!Q692</f>
        <v>equipment/10001.png</v>
      </c>
      <c r="N688" t="str">
        <f>equip.xml!P692</f>
        <v>10000_1002_5000,30000_30001_1,30000_30002_1,30000_30003_1</v>
      </c>
    </row>
    <row r="689" spans="1:14">
      <c r="A689" s="1" t="str">
        <f>equip.xml!A693</f>
        <v>30050100</v>
      </c>
      <c r="B689" s="1">
        <f>equip.xml!B693</f>
        <v>1</v>
      </c>
      <c r="C689" s="1" t="str">
        <f>equip.xml!C693</f>
        <v>贝壳项链</v>
      </c>
      <c r="D689" s="1" t="str">
        <f>equip.xml!D693</f>
        <v>项链</v>
      </c>
      <c r="E689" s="1">
        <f>equip.xml!E693</f>
        <v>10</v>
      </c>
      <c r="F689" s="1">
        <f>equip.xml!F693</f>
        <v>3</v>
      </c>
      <c r="G689" s="1">
        <f>equip.xml!G693</f>
        <v>5</v>
      </c>
      <c r="H689" s="1">
        <f>equip.xml!H693</f>
        <v>0</v>
      </c>
      <c r="I689" s="1">
        <f>equip.xml!J693</f>
        <v>20</v>
      </c>
      <c r="J689" s="1">
        <f>equip.xml!K693</f>
        <v>0</v>
      </c>
      <c r="K689" s="1">
        <f>equip.xml!L693</f>
        <v>0</v>
      </c>
      <c r="L689" s="1" t="str">
        <f>equip.xml!M693</f>
        <v>107_20_20</v>
      </c>
      <c r="M689" s="7" t="str">
        <f>equip.xml!Q693</f>
        <v>equipment/12001.png</v>
      </c>
      <c r="N689" t="str">
        <f>equip.xml!P693</f>
        <v>10000_1002_5000,30000_30001_1,30000_30002_1,30000_30003_1</v>
      </c>
    </row>
    <row r="690" spans="1:14">
      <c r="A690" s="1" t="str">
        <f>equip.xml!A694</f>
        <v>30051050</v>
      </c>
      <c r="B690" s="1">
        <f>equip.xml!B694</f>
        <v>1</v>
      </c>
      <c r="C690" s="1" t="str">
        <f>equip.xml!C694</f>
        <v>长剑</v>
      </c>
      <c r="D690" s="1" t="str">
        <f>equip.xml!D694</f>
        <v>主手武器</v>
      </c>
      <c r="E690" s="1">
        <f>equip.xml!E694</f>
        <v>5</v>
      </c>
      <c r="F690" s="1">
        <f>equip.xml!F694</f>
        <v>3</v>
      </c>
      <c r="G690" s="1">
        <f>equip.xml!G694</f>
        <v>5</v>
      </c>
      <c r="H690" s="1" t="str">
        <f>equip.xml!H694</f>
        <v>1,1001</v>
      </c>
      <c r="I690" s="1">
        <f>equip.xml!J694</f>
        <v>20</v>
      </c>
      <c r="J690" s="1">
        <f>equip.xml!K694</f>
        <v>0</v>
      </c>
      <c r="K690" s="1">
        <f>equip.xml!L694</f>
        <v>0</v>
      </c>
      <c r="L690" s="1" t="str">
        <f>equip.xml!M694</f>
        <v>103_10_10,104_20_20</v>
      </c>
      <c r="M690" s="7" t="str">
        <f>equip.xml!Q694</f>
        <v>equipment/1103.png</v>
      </c>
      <c r="N690" t="str">
        <f>equip.xml!P694</f>
        <v>10000_1002_5000,30000_30001_1,30000_30002_1,30000_30003_1</v>
      </c>
    </row>
    <row r="691" spans="1:14">
      <c r="A691" s="1" t="str">
        <f>equip.xml!A695</f>
        <v>30051051</v>
      </c>
      <c r="B691" s="1">
        <f>equip.xml!B695</f>
        <v>1</v>
      </c>
      <c r="C691" s="1" t="str">
        <f>equip.xml!C695</f>
        <v>双刃剑</v>
      </c>
      <c r="D691" s="1" t="str">
        <f>equip.xml!D695</f>
        <v>主手武器</v>
      </c>
      <c r="E691" s="1">
        <f>equip.xml!E695</f>
        <v>5</v>
      </c>
      <c r="F691" s="1">
        <f>equip.xml!F695</f>
        <v>3</v>
      </c>
      <c r="G691" s="1">
        <f>equip.xml!G695</f>
        <v>5</v>
      </c>
      <c r="H691" s="1" t="str">
        <f>equip.xml!H695</f>
        <v>1,1001</v>
      </c>
      <c r="I691" s="1">
        <f>equip.xml!J695</f>
        <v>20</v>
      </c>
      <c r="J691" s="1">
        <f>equip.xml!K695</f>
        <v>0</v>
      </c>
      <c r="K691" s="1">
        <f>equip.xml!L695</f>
        <v>0</v>
      </c>
      <c r="L691" s="1" t="str">
        <f>equip.xml!M695</f>
        <v>103_18_18,104_38_38</v>
      </c>
      <c r="M691" s="7" t="str">
        <f>equip.xml!Q695</f>
        <v>equipment/1104.png</v>
      </c>
      <c r="N691" t="str">
        <f>equip.xml!P695</f>
        <v>10000_1002_5000,30000_30001_1,30000_30002_1,30000_30003_1</v>
      </c>
    </row>
    <row r="692" spans="1:14">
      <c r="A692" s="1" t="str">
        <f>equip.xml!A696</f>
        <v>30051060</v>
      </c>
      <c r="B692" s="1">
        <f>equip.xml!B696</f>
        <v>1</v>
      </c>
      <c r="C692" s="1" t="str">
        <f>equip.xml!C696</f>
        <v>尖头盾</v>
      </c>
      <c r="D692" s="1" t="str">
        <f>equip.xml!D696</f>
        <v>副手武器</v>
      </c>
      <c r="E692" s="1">
        <f>equip.xml!E696</f>
        <v>6</v>
      </c>
      <c r="F692" s="1">
        <f>equip.xml!F696</f>
        <v>3</v>
      </c>
      <c r="G692" s="1">
        <f>equip.xml!G696</f>
        <v>5</v>
      </c>
      <c r="H692" s="1" t="str">
        <f>equip.xml!H696</f>
        <v>1,1001</v>
      </c>
      <c r="I692" s="1">
        <f>equip.xml!J696</f>
        <v>20</v>
      </c>
      <c r="J692" s="1">
        <f>equip.xml!K696</f>
        <v>0</v>
      </c>
      <c r="K692" s="1">
        <f>equip.xml!L696</f>
        <v>0</v>
      </c>
      <c r="L692" s="1" t="str">
        <f>equip.xml!M696</f>
        <v>105_12_12</v>
      </c>
      <c r="M692" s="7" t="str">
        <f>equip.xml!Q696</f>
        <v>equipment/2102.png</v>
      </c>
      <c r="N692" t="str">
        <f>equip.xml!P696</f>
        <v>10000_1002_5000,30000_30001_1,30000_30002_1,30000_30003_1</v>
      </c>
    </row>
    <row r="693" spans="1:14">
      <c r="A693" s="1" t="str">
        <f>equip.xml!A697</f>
        <v>30051061</v>
      </c>
      <c r="B693" s="1">
        <f>equip.xml!B697</f>
        <v>0</v>
      </c>
      <c r="C693" s="1" t="str">
        <f>equip.xml!C697</f>
        <v>尖头盾</v>
      </c>
      <c r="D693" s="1" t="str">
        <f>equip.xml!D697</f>
        <v>副手武器</v>
      </c>
      <c r="E693" s="1">
        <f>equip.xml!E697</f>
        <v>6</v>
      </c>
      <c r="F693" s="1">
        <f>equip.xml!F697</f>
        <v>3</v>
      </c>
      <c r="G693" s="1">
        <f>equip.xml!G697</f>
        <v>5</v>
      </c>
      <c r="H693" s="1" t="str">
        <f>equip.xml!H697</f>
        <v>1,1001</v>
      </c>
      <c r="I693" s="1">
        <f>equip.xml!J697</f>
        <v>20</v>
      </c>
      <c r="J693" s="1">
        <f>equip.xml!K697</f>
        <v>0</v>
      </c>
      <c r="K693" s="1">
        <f>equip.xml!L697</f>
        <v>0</v>
      </c>
      <c r="L693" s="1" t="str">
        <f>equip.xml!M697</f>
        <v>105_19_19</v>
      </c>
      <c r="M693" s="7" t="str">
        <f>equip.xml!Q697</f>
        <v>equipment/2101.png</v>
      </c>
      <c r="N693" t="str">
        <f>equip.xml!P697</f>
        <v>10000_1002_5000,30000_30001_1,30000_30002_1,30000_30003_1</v>
      </c>
    </row>
    <row r="694" spans="1:14">
      <c r="A694" s="1" t="str">
        <f>equip.xml!A698</f>
        <v>30052050</v>
      </c>
      <c r="B694" s="1">
        <f>equip.xml!B698</f>
        <v>1</v>
      </c>
      <c r="C694" s="1" t="str">
        <f>equip.xml!C698</f>
        <v>硬弓</v>
      </c>
      <c r="D694" s="1" t="str">
        <f>equip.xml!D698</f>
        <v>主手武器</v>
      </c>
      <c r="E694" s="1">
        <f>equip.xml!E698</f>
        <v>5</v>
      </c>
      <c r="F694" s="1">
        <f>equip.xml!F698</f>
        <v>3</v>
      </c>
      <c r="G694" s="1">
        <f>equip.xml!G698</f>
        <v>5</v>
      </c>
      <c r="H694" s="1" t="str">
        <f>equip.xml!H698</f>
        <v>2,1002</v>
      </c>
      <c r="I694" s="1">
        <f>equip.xml!J698</f>
        <v>20</v>
      </c>
      <c r="J694" s="1">
        <f>equip.xml!K698</f>
        <v>0</v>
      </c>
      <c r="K694" s="1">
        <f>equip.xml!L698</f>
        <v>0</v>
      </c>
      <c r="L694" s="1" t="str">
        <f>equip.xml!M698</f>
        <v>103_10_10,104_20_20</v>
      </c>
      <c r="M694" s="7" t="str">
        <f>equip.xml!Q698</f>
        <v>equipment/1204.png</v>
      </c>
      <c r="N694" t="str">
        <f>equip.xml!P698</f>
        <v>10000_1002_5000,30000_30001_1,30000_30002_1,30000_30003_1</v>
      </c>
    </row>
    <row r="695" spans="1:14">
      <c r="A695" s="1" t="str">
        <f>equip.xml!A699</f>
        <v>30052051</v>
      </c>
      <c r="B695" s="1">
        <f>equip.xml!B699</f>
        <v>1</v>
      </c>
      <c r="C695" s="1" t="str">
        <f>equip.xml!C699</f>
        <v>反曲弓</v>
      </c>
      <c r="D695" s="1" t="str">
        <f>equip.xml!D699</f>
        <v>主手武器</v>
      </c>
      <c r="E695" s="1">
        <f>equip.xml!E699</f>
        <v>5</v>
      </c>
      <c r="F695" s="1">
        <f>equip.xml!F699</f>
        <v>3</v>
      </c>
      <c r="G695" s="1">
        <f>equip.xml!G699</f>
        <v>5</v>
      </c>
      <c r="H695" s="1" t="str">
        <f>equip.xml!H699</f>
        <v>2,1002</v>
      </c>
      <c r="I695" s="1">
        <f>equip.xml!J699</f>
        <v>20</v>
      </c>
      <c r="J695" s="1">
        <f>equip.xml!K699</f>
        <v>0</v>
      </c>
      <c r="K695" s="1">
        <f>equip.xml!L699</f>
        <v>0</v>
      </c>
      <c r="L695" s="1" t="str">
        <f>equip.xml!M699</f>
        <v>103_18_18,104_38_38</v>
      </c>
      <c r="M695" s="7" t="str">
        <f>equip.xml!Q699</f>
        <v>equipment/1203.png</v>
      </c>
      <c r="N695" t="str">
        <f>equip.xml!P699</f>
        <v>10000_1002_5000,30000_30001_1,30000_30002_1,30000_30003_1</v>
      </c>
    </row>
    <row r="696" spans="1:14">
      <c r="A696" s="1" t="str">
        <f>equip.xml!A700</f>
        <v>30052060</v>
      </c>
      <c r="B696" s="1">
        <f>equip.xml!B700</f>
        <v>1</v>
      </c>
      <c r="C696" s="1" t="str">
        <f>equip.xml!C700</f>
        <v>箭筒</v>
      </c>
      <c r="D696" s="1" t="str">
        <f>equip.xml!D700</f>
        <v>副手武器</v>
      </c>
      <c r="E696" s="1">
        <f>equip.xml!E700</f>
        <v>6</v>
      </c>
      <c r="F696" s="1">
        <f>equip.xml!F700</f>
        <v>3</v>
      </c>
      <c r="G696" s="1">
        <f>equip.xml!G700</f>
        <v>5</v>
      </c>
      <c r="H696" s="1" t="str">
        <f>equip.xml!H700</f>
        <v>2,1002</v>
      </c>
      <c r="I696" s="1">
        <f>equip.xml!J700</f>
        <v>20</v>
      </c>
      <c r="J696" s="1">
        <f>equip.xml!K700</f>
        <v>0</v>
      </c>
      <c r="K696" s="1">
        <f>equip.xml!L700</f>
        <v>0</v>
      </c>
      <c r="L696" s="1" t="str">
        <f>equip.xml!M700</f>
        <v>108_12_12</v>
      </c>
      <c r="M696" s="7" t="str">
        <f>equip.xml!Q700</f>
        <v>equipment/2202.png</v>
      </c>
      <c r="N696" t="str">
        <f>equip.xml!P700</f>
        <v>10000_1002_5000,30000_30001_1,30000_30002_1,30000_30003_1</v>
      </c>
    </row>
    <row r="697" spans="1:14">
      <c r="A697" s="1" t="str">
        <f>equip.xml!A701</f>
        <v>30052061</v>
      </c>
      <c r="B697" s="1">
        <f>equip.xml!B701</f>
        <v>0</v>
      </c>
      <c r="C697" s="1" t="str">
        <f>equip.xml!C701</f>
        <v>箭筒</v>
      </c>
      <c r="D697" s="1" t="str">
        <f>equip.xml!D701</f>
        <v>副手武器</v>
      </c>
      <c r="E697" s="1">
        <f>equip.xml!E701</f>
        <v>6</v>
      </c>
      <c r="F697" s="1">
        <f>equip.xml!F701</f>
        <v>3</v>
      </c>
      <c r="G697" s="1">
        <f>equip.xml!G701</f>
        <v>5</v>
      </c>
      <c r="H697" s="1" t="str">
        <f>equip.xml!H701</f>
        <v>2,1002</v>
      </c>
      <c r="I697" s="1">
        <f>equip.xml!J701</f>
        <v>20</v>
      </c>
      <c r="J697" s="1">
        <f>equip.xml!K701</f>
        <v>0</v>
      </c>
      <c r="K697" s="1">
        <f>equip.xml!L701</f>
        <v>0</v>
      </c>
      <c r="L697" s="1" t="str">
        <f>equip.xml!M701</f>
        <v>108_19_19</v>
      </c>
      <c r="M697" s="7" t="str">
        <f>equip.xml!Q701</f>
        <v>equipment/2201.png</v>
      </c>
      <c r="N697" t="str">
        <f>equip.xml!P701</f>
        <v>10000_1002_5000,30000_30001_1,30000_30002_1,30000_30003_1</v>
      </c>
    </row>
    <row r="698" spans="1:14">
      <c r="A698" s="1" t="str">
        <f>equip.xml!A702</f>
        <v>30053050</v>
      </c>
      <c r="B698" s="1">
        <f>equip.xml!B702</f>
        <v>1</v>
      </c>
      <c r="C698" s="1" t="str">
        <f>equip.xml!C702</f>
        <v>巫术之杖</v>
      </c>
      <c r="D698" s="1" t="str">
        <f>equip.xml!D702</f>
        <v>主手武器</v>
      </c>
      <c r="E698" s="1">
        <f>equip.xml!E702</f>
        <v>5</v>
      </c>
      <c r="F698" s="1">
        <f>equip.xml!F702</f>
        <v>3</v>
      </c>
      <c r="G698" s="1">
        <f>equip.xml!G702</f>
        <v>5</v>
      </c>
      <c r="H698" s="1" t="str">
        <f>equip.xml!H702</f>
        <v>3,1003</v>
      </c>
      <c r="I698" s="1">
        <f>equip.xml!J702</f>
        <v>20</v>
      </c>
      <c r="J698" s="1">
        <f>equip.xml!K702</f>
        <v>0</v>
      </c>
      <c r="K698" s="1">
        <f>equip.xml!L702</f>
        <v>0</v>
      </c>
      <c r="L698" s="1" t="str">
        <f>equip.xml!M702</f>
        <v>103_10_10,104_20_20</v>
      </c>
      <c r="M698" s="7" t="str">
        <f>equip.xml!Q702</f>
        <v>equipment/1303.png</v>
      </c>
      <c r="N698" t="str">
        <f>equip.xml!P702</f>
        <v>10000_1002_5000,30000_30001_1,30000_30002_1,30000_30003_1</v>
      </c>
    </row>
    <row r="699" spans="1:14">
      <c r="A699" s="1" t="str">
        <f>equip.xml!A703</f>
        <v>30053051</v>
      </c>
      <c r="B699" s="1">
        <f>equip.xml!B703</f>
        <v>1</v>
      </c>
      <c r="C699" s="1" t="str">
        <f>equip.xml!C703</f>
        <v>秘术法杖</v>
      </c>
      <c r="D699" s="1" t="str">
        <f>equip.xml!D703</f>
        <v>主手武器</v>
      </c>
      <c r="E699" s="1">
        <f>equip.xml!E703</f>
        <v>5</v>
      </c>
      <c r="F699" s="1">
        <f>equip.xml!F703</f>
        <v>3</v>
      </c>
      <c r="G699" s="1">
        <f>equip.xml!G703</f>
        <v>5</v>
      </c>
      <c r="H699" s="1" t="str">
        <f>equip.xml!H703</f>
        <v>3,1003</v>
      </c>
      <c r="I699" s="1">
        <f>equip.xml!J703</f>
        <v>20</v>
      </c>
      <c r="J699" s="1">
        <f>equip.xml!K703</f>
        <v>0</v>
      </c>
      <c r="K699" s="1">
        <f>equip.xml!L703</f>
        <v>0</v>
      </c>
      <c r="L699" s="1" t="str">
        <f>equip.xml!M703</f>
        <v>103_18_18,104_38_38</v>
      </c>
      <c r="M699" s="7" t="str">
        <f>equip.xml!Q703</f>
        <v>equipment/1304.png</v>
      </c>
      <c r="N699" t="str">
        <f>equip.xml!P703</f>
        <v>10000_1002_5000,30000_30001_1,30000_30002_1,30000_30003_1</v>
      </c>
    </row>
    <row r="700" spans="1:14">
      <c r="A700" s="1" t="str">
        <f>equip.xml!A704</f>
        <v>30053060</v>
      </c>
      <c r="B700" s="1">
        <f>equip.xml!B704</f>
        <v>1</v>
      </c>
      <c r="C700" s="1" t="str">
        <f>equip.xml!C704</f>
        <v>法术指南</v>
      </c>
      <c r="D700" s="1" t="str">
        <f>equip.xml!D704</f>
        <v>副手武器</v>
      </c>
      <c r="E700" s="1">
        <f>equip.xml!E704</f>
        <v>6</v>
      </c>
      <c r="F700" s="1">
        <f>equip.xml!F704</f>
        <v>3</v>
      </c>
      <c r="G700" s="1">
        <f>equip.xml!G704</f>
        <v>5</v>
      </c>
      <c r="H700" s="1" t="str">
        <f>equip.xml!H704</f>
        <v>3,1003</v>
      </c>
      <c r="I700" s="1">
        <f>equip.xml!J704</f>
        <v>20</v>
      </c>
      <c r="J700" s="1">
        <f>equip.xml!K704</f>
        <v>0</v>
      </c>
      <c r="K700" s="1">
        <f>equip.xml!L704</f>
        <v>0</v>
      </c>
      <c r="L700" s="1" t="str">
        <f>equip.xml!M704</f>
        <v>102_110_110</v>
      </c>
      <c r="M700" s="7" t="str">
        <f>equip.xml!Q704</f>
        <v>equipment/2302.png</v>
      </c>
      <c r="N700" t="str">
        <f>equip.xml!P704</f>
        <v>10000_1002_5000,30000_30001_1,30000_30002_1,30000_30003_1</v>
      </c>
    </row>
    <row r="701" spans="1:14">
      <c r="A701" s="1" t="str">
        <f>equip.xml!A705</f>
        <v>30053061</v>
      </c>
      <c r="B701" s="1">
        <f>equip.xml!B705</f>
        <v>0</v>
      </c>
      <c r="C701" s="1" t="str">
        <f>equip.xml!C705</f>
        <v>法术指南</v>
      </c>
      <c r="D701" s="1" t="str">
        <f>equip.xml!D705</f>
        <v>副手武器</v>
      </c>
      <c r="E701" s="1">
        <f>equip.xml!E705</f>
        <v>6</v>
      </c>
      <c r="F701" s="1">
        <f>equip.xml!F705</f>
        <v>3</v>
      </c>
      <c r="G701" s="1">
        <f>equip.xml!G705</f>
        <v>5</v>
      </c>
      <c r="H701" s="1" t="str">
        <f>equip.xml!H705</f>
        <v>3,1003</v>
      </c>
      <c r="I701" s="1">
        <f>equip.xml!J705</f>
        <v>20</v>
      </c>
      <c r="J701" s="1">
        <f>equip.xml!K705</f>
        <v>0</v>
      </c>
      <c r="K701" s="1">
        <f>equip.xml!L705</f>
        <v>0</v>
      </c>
      <c r="L701" s="1" t="str">
        <f>equip.xml!M705</f>
        <v>102_19_19</v>
      </c>
      <c r="M701" s="7" t="str">
        <f>equip.xml!Q705</f>
        <v>equipment/2301.png</v>
      </c>
      <c r="N701" t="str">
        <f>equip.xml!P705</f>
        <v>10000_1002_5000,30000_30001_1,30000_30002_1,30000_30003_1</v>
      </c>
    </row>
    <row r="702" spans="1:14">
      <c r="A702" s="1" t="str">
        <f>equip.xml!A706</f>
        <v>30050040</v>
      </c>
      <c r="B702" s="1">
        <f>equip.xml!B706</f>
        <v>1</v>
      </c>
      <c r="C702" s="1" t="str">
        <f>equip.xml!C706</f>
        <v>锁甲外套</v>
      </c>
      <c r="D702" s="1" t="str">
        <f>equip.xml!D706</f>
        <v>胸甲</v>
      </c>
      <c r="E702" s="1">
        <f>equip.xml!E706</f>
        <v>4</v>
      </c>
      <c r="F702" s="1">
        <f>equip.xml!F706</f>
        <v>3</v>
      </c>
      <c r="G702" s="1">
        <f>equip.xml!G706</f>
        <v>5</v>
      </c>
      <c r="H702" s="1">
        <f>equip.xml!H706</f>
        <v>0</v>
      </c>
      <c r="I702" s="1">
        <f>equip.xml!J706</f>
        <v>20</v>
      </c>
      <c r="J702" s="1">
        <f>equip.xml!K706</f>
        <v>0</v>
      </c>
      <c r="K702" s="1">
        <f>equip.xml!L706</f>
        <v>0</v>
      </c>
      <c r="L702" s="1" t="str">
        <f>equip.xml!M706</f>
        <v>105_9_9</v>
      </c>
      <c r="M702" s="7" t="str">
        <f>equip.xml!Q706</f>
        <v>equipment/5002.png</v>
      </c>
      <c r="N702" t="str">
        <f>equip.xml!P706</f>
        <v>10000_1002_5000,30000_30001_1,30000_30002_1,30000_30003_1</v>
      </c>
    </row>
    <row r="703" spans="1:14">
      <c r="A703" s="1" t="str">
        <f>equip.xml!A707</f>
        <v>30050041</v>
      </c>
      <c r="B703" s="1">
        <f>equip.xml!B707</f>
        <v>1</v>
      </c>
      <c r="C703" s="1" t="str">
        <f>equip.xml!C707</f>
        <v>战士胸甲</v>
      </c>
      <c r="D703" s="1" t="str">
        <f>equip.xml!D707</f>
        <v>胸甲</v>
      </c>
      <c r="E703" s="1">
        <f>equip.xml!E707</f>
        <v>4</v>
      </c>
      <c r="F703" s="1">
        <f>equip.xml!F707</f>
        <v>3</v>
      </c>
      <c r="G703" s="1">
        <f>equip.xml!G707</f>
        <v>5</v>
      </c>
      <c r="H703" s="1">
        <f>equip.xml!H707</f>
        <v>0</v>
      </c>
      <c r="I703" s="1">
        <f>equip.xml!J707</f>
        <v>20</v>
      </c>
      <c r="J703" s="1">
        <f>equip.xml!K707</f>
        <v>0</v>
      </c>
      <c r="K703" s="1">
        <f>equip.xml!L707</f>
        <v>0</v>
      </c>
      <c r="L703" s="1" t="str">
        <f>equip.xml!M707</f>
        <v>105_13_13</v>
      </c>
      <c r="M703" s="7" t="str">
        <f>equip.xml!Q707</f>
        <v>equipment/5003.png</v>
      </c>
      <c r="N703" t="str">
        <f>equip.xml!P707</f>
        <v>10000_1002_5000,30000_30001_1,30000_30002_1,30000_30003_1</v>
      </c>
    </row>
    <row r="704" spans="1:14">
      <c r="A704" s="1" t="str">
        <f>equip.xml!A708</f>
        <v>30050070</v>
      </c>
      <c r="B704" s="1">
        <f>equip.xml!B708</f>
        <v>1</v>
      </c>
      <c r="C704" s="1" t="str">
        <f>equip.xml!C708</f>
        <v>皮甲短裤</v>
      </c>
      <c r="D704" s="1" t="str">
        <f>equip.xml!D708</f>
        <v>护腿</v>
      </c>
      <c r="E704" s="1">
        <f>equip.xml!E708</f>
        <v>7</v>
      </c>
      <c r="F704" s="1">
        <f>equip.xml!F708</f>
        <v>3</v>
      </c>
      <c r="G704" s="1">
        <f>equip.xml!G708</f>
        <v>5</v>
      </c>
      <c r="H704" s="1">
        <f>equip.xml!H708</f>
        <v>0</v>
      </c>
      <c r="I704" s="1">
        <f>equip.xml!J708</f>
        <v>20</v>
      </c>
      <c r="J704" s="1">
        <f>equip.xml!K708</f>
        <v>0</v>
      </c>
      <c r="K704" s="1">
        <f>equip.xml!L708</f>
        <v>0</v>
      </c>
      <c r="L704" s="1" t="str">
        <f>equip.xml!M708</f>
        <v>105_3_3</v>
      </c>
      <c r="M704" s="7" t="str">
        <f>equip.xml!Q708</f>
        <v>equipment/7001.png</v>
      </c>
      <c r="N704" t="str">
        <f>equip.xml!P708</f>
        <v>10000_1002_5000,30000_30001_1,30000_30002_1,30000_30003_1</v>
      </c>
    </row>
    <row r="705" spans="1:14">
      <c r="A705" s="1" t="str">
        <f>equip.xml!A709</f>
        <v>30050071</v>
      </c>
      <c r="B705" s="1">
        <f>equip.xml!B709</f>
        <v>1</v>
      </c>
      <c r="C705" s="1" t="str">
        <f>equip.xml!C709</f>
        <v>学徒短裤</v>
      </c>
      <c r="D705" s="1" t="str">
        <f>equip.xml!D709</f>
        <v>护腿</v>
      </c>
      <c r="E705" s="1">
        <f>equip.xml!E709</f>
        <v>7</v>
      </c>
      <c r="F705" s="1">
        <f>equip.xml!F709</f>
        <v>3</v>
      </c>
      <c r="G705" s="1">
        <f>equip.xml!G709</f>
        <v>5</v>
      </c>
      <c r="H705" s="1">
        <f>equip.xml!H709</f>
        <v>0</v>
      </c>
      <c r="I705" s="1">
        <f>equip.xml!J709</f>
        <v>20</v>
      </c>
      <c r="J705" s="1">
        <f>equip.xml!K709</f>
        <v>0</v>
      </c>
      <c r="K705" s="1">
        <f>equip.xml!L709</f>
        <v>0</v>
      </c>
      <c r="L705" s="1" t="str">
        <f>equip.xml!M709</f>
        <v>105_10_10</v>
      </c>
      <c r="M705" s="7" t="str">
        <f>equip.xml!Q709</f>
        <v>equipment/7002.png</v>
      </c>
      <c r="N705" t="str">
        <f>equip.xml!P709</f>
        <v>10000_1002_5000,30000_30001_1,30000_30002_1,30000_30003_1</v>
      </c>
    </row>
    <row r="706" spans="1:14">
      <c r="A706" s="1" t="str">
        <f>equip.xml!A710</f>
        <v>30100010</v>
      </c>
      <c r="B706" s="1">
        <f>equip.xml!B710</f>
        <v>1</v>
      </c>
      <c r="C706" s="1" t="str">
        <f>equip.xml!C710</f>
        <v>轻便头盔</v>
      </c>
      <c r="D706" s="1" t="str">
        <f>equip.xml!D710</f>
        <v>头盔</v>
      </c>
      <c r="E706" s="1">
        <f>equip.xml!E710</f>
        <v>1</v>
      </c>
      <c r="F706" s="1">
        <f>equip.xml!F710</f>
        <v>3</v>
      </c>
      <c r="G706" s="1">
        <f>equip.xml!G710</f>
        <v>10</v>
      </c>
      <c r="H706" s="1">
        <f>equip.xml!H710</f>
        <v>0</v>
      </c>
      <c r="I706" s="1">
        <f>equip.xml!J710</f>
        <v>20</v>
      </c>
      <c r="J706" s="1">
        <f>equip.xml!K710</f>
        <v>0</v>
      </c>
      <c r="K706" s="1">
        <f>equip.xml!L710</f>
        <v>7500</v>
      </c>
      <c r="L706" s="1" t="str">
        <f>equip.xml!M710</f>
        <v>106_64_64</v>
      </c>
      <c r="M706" s="7" t="str">
        <f>equip.xml!Q710</f>
        <v>equipment/3002.png</v>
      </c>
      <c r="N706" t="str">
        <f>equip.xml!P710</f>
        <v>10000_1002_10000,30000_30001_1,30000_30002_1,30000_30003_1</v>
      </c>
    </row>
    <row r="707" spans="1:14">
      <c r="A707" s="1" t="str">
        <f>equip.xml!A711</f>
        <v>30100020</v>
      </c>
      <c r="B707" s="1">
        <f>equip.xml!B711</f>
        <v>1</v>
      </c>
      <c r="C707" s="1" t="str">
        <f>equip.xml!C711</f>
        <v>宝石戒指</v>
      </c>
      <c r="D707" s="1" t="str">
        <f>equip.xml!D711</f>
        <v>戒指</v>
      </c>
      <c r="E707" s="1">
        <f>equip.xml!E711</f>
        <v>2</v>
      </c>
      <c r="F707" s="1">
        <f>equip.xml!F711</f>
        <v>3</v>
      </c>
      <c r="G707" s="1">
        <f>equip.xml!G711</f>
        <v>10</v>
      </c>
      <c r="H707" s="1">
        <f>equip.xml!H711</f>
        <v>0</v>
      </c>
      <c r="I707" s="1">
        <f>equip.xml!J711</f>
        <v>20</v>
      </c>
      <c r="J707" s="1">
        <f>equip.xml!K711</f>
        <v>0</v>
      </c>
      <c r="K707" s="1">
        <f>equip.xml!L711</f>
        <v>7500</v>
      </c>
      <c r="L707" s="1" t="str">
        <f>equip.xml!M711</f>
        <v>102_150_150</v>
      </c>
      <c r="M707" s="7" t="str">
        <f>equip.xml!Q711</f>
        <v>equipment/14002.png</v>
      </c>
      <c r="N707" t="str">
        <f>equip.xml!P711</f>
        <v>10000_1002_10000,30000_30001_1,30000_30002_1,30000_30003_1</v>
      </c>
    </row>
    <row r="708" spans="1:14">
      <c r="A708" s="1" t="str">
        <f>equip.xml!A712</f>
        <v>30100030</v>
      </c>
      <c r="B708" s="1">
        <f>equip.xml!B712</f>
        <v>1</v>
      </c>
      <c r="C708" s="1" t="str">
        <f>equip.xml!C712</f>
        <v>坚硬皮带</v>
      </c>
      <c r="D708" s="1" t="str">
        <f>equip.xml!D712</f>
        <v>腰带</v>
      </c>
      <c r="E708" s="1">
        <f>equip.xml!E712</f>
        <v>3</v>
      </c>
      <c r="F708" s="1">
        <f>equip.xml!F712</f>
        <v>3</v>
      </c>
      <c r="G708" s="1">
        <f>equip.xml!G712</f>
        <v>10</v>
      </c>
      <c r="H708" s="1">
        <f>equip.xml!H712</f>
        <v>0</v>
      </c>
      <c r="I708" s="1">
        <f>equip.xml!J712</f>
        <v>20</v>
      </c>
      <c r="J708" s="1">
        <f>equip.xml!K712</f>
        <v>0</v>
      </c>
      <c r="K708" s="1">
        <f>equip.xml!L712</f>
        <v>7500</v>
      </c>
      <c r="L708" s="1" t="str">
        <f>equip.xml!M712</f>
        <v>101_480_480</v>
      </c>
      <c r="M708" s="7" t="str">
        <f>equip.xml!Q712</f>
        <v>equipment/6002.png</v>
      </c>
      <c r="N708" t="str">
        <f>equip.xml!P712</f>
        <v>10000_1002_10000,30000_30001_1,30000_30002_1,30000_30003_1</v>
      </c>
    </row>
    <row r="709" spans="1:14">
      <c r="A709" s="1" t="str">
        <f>equip.xml!A713</f>
        <v>30100080</v>
      </c>
      <c r="B709" s="1">
        <f>equip.xml!B713</f>
        <v>1</v>
      </c>
      <c r="C709" s="1" t="str">
        <f>equip.xml!C713</f>
        <v>软垫靴</v>
      </c>
      <c r="D709" s="1" t="str">
        <f>equip.xml!D713</f>
        <v>鞋子</v>
      </c>
      <c r="E709" s="1">
        <f>equip.xml!E713</f>
        <v>8</v>
      </c>
      <c r="F709" s="1">
        <f>equip.xml!F713</f>
        <v>3</v>
      </c>
      <c r="G709" s="1">
        <f>equip.xml!G713</f>
        <v>10</v>
      </c>
      <c r="H709" s="1">
        <f>equip.xml!H713</f>
        <v>0</v>
      </c>
      <c r="I709" s="1">
        <f>equip.xml!J713</f>
        <v>20</v>
      </c>
      <c r="J709" s="1">
        <f>equip.xml!K713</f>
        <v>0</v>
      </c>
      <c r="K709" s="1">
        <f>equip.xml!L713</f>
        <v>7500</v>
      </c>
      <c r="L709" s="1" t="str">
        <f>equip.xml!M713</f>
        <v>110_12_12</v>
      </c>
      <c r="M709" s="7" t="str">
        <f>equip.xml!Q713</f>
        <v>equipment/8002.png</v>
      </c>
      <c r="N709" t="str">
        <f>equip.xml!P713</f>
        <v>10000_1002_10000,30000_30001_1,30000_30002_1,30000_30003_1</v>
      </c>
    </row>
    <row r="710" spans="1:14">
      <c r="A710" s="1" t="str">
        <f>equip.xml!A714</f>
        <v>30100090</v>
      </c>
      <c r="B710" s="1">
        <f>equip.xml!B714</f>
        <v>1</v>
      </c>
      <c r="C710" s="1" t="str">
        <f>equip.xml!C714</f>
        <v>步兵护手</v>
      </c>
      <c r="D710" s="1" t="str">
        <f>equip.xml!D714</f>
        <v>手套</v>
      </c>
      <c r="E710" s="1">
        <f>equip.xml!E714</f>
        <v>9</v>
      </c>
      <c r="F710" s="1">
        <f>equip.xml!F714</f>
        <v>3</v>
      </c>
      <c r="G710" s="1">
        <f>equip.xml!G714</f>
        <v>10</v>
      </c>
      <c r="H710" s="1">
        <f>equip.xml!H714</f>
        <v>0</v>
      </c>
      <c r="I710" s="1">
        <f>equip.xml!J714</f>
        <v>20</v>
      </c>
      <c r="J710" s="1">
        <f>equip.xml!K714</f>
        <v>0</v>
      </c>
      <c r="K710" s="1">
        <f>equip.xml!L714</f>
        <v>7500</v>
      </c>
      <c r="L710" s="1" t="str">
        <f>equip.xml!M714</f>
        <v>108_43_43</v>
      </c>
      <c r="M710" s="7" t="str">
        <f>equip.xml!Q714</f>
        <v>equipment/10002.png</v>
      </c>
      <c r="N710" t="str">
        <f>equip.xml!P714</f>
        <v>10000_1002_10000,30000_30001_1,30000_30002_1,30000_30003_1</v>
      </c>
    </row>
    <row r="711" spans="1:14">
      <c r="A711" s="1" t="str">
        <f>equip.xml!A715</f>
        <v>30100100</v>
      </c>
      <c r="B711" s="1">
        <f>equip.xml!B715</f>
        <v>0</v>
      </c>
      <c r="C711" s="1" t="str">
        <f>equip.xml!C715</f>
        <v>贝壳项链</v>
      </c>
      <c r="D711" s="1" t="str">
        <f>equip.xml!D715</f>
        <v>项链</v>
      </c>
      <c r="E711" s="1">
        <f>equip.xml!E715</f>
        <v>10</v>
      </c>
      <c r="F711" s="1">
        <f>equip.xml!F715</f>
        <v>3</v>
      </c>
      <c r="G711" s="1">
        <f>equip.xml!G715</f>
        <v>10</v>
      </c>
      <c r="H711" s="1">
        <f>equip.xml!H715</f>
        <v>0</v>
      </c>
      <c r="I711" s="1">
        <f>equip.xml!J715</f>
        <v>20</v>
      </c>
      <c r="J711" s="1">
        <f>equip.xml!K715</f>
        <v>0</v>
      </c>
      <c r="K711" s="1">
        <f>equip.xml!L715</f>
        <v>7500</v>
      </c>
      <c r="L711" s="1" t="str">
        <f>equip.xml!M715</f>
        <v>107_20_20</v>
      </c>
      <c r="M711" s="7" t="str">
        <f>equip.xml!Q715</f>
        <v>equipment/12001.png</v>
      </c>
      <c r="N711" t="str">
        <f>equip.xml!P715</f>
        <v>10000_1002_10000,30000_30001_1,30000_30002_1,30000_30003_1</v>
      </c>
    </row>
    <row r="712" spans="1:14">
      <c r="A712" s="1" t="str">
        <f>equip.xml!A716</f>
        <v>30101050</v>
      </c>
      <c r="B712" s="1">
        <f>equip.xml!B716</f>
        <v>1</v>
      </c>
      <c r="C712" s="1" t="str">
        <f>equip.xml!C716</f>
        <v>护卫之刃</v>
      </c>
      <c r="D712" s="1" t="str">
        <f>equip.xml!D716</f>
        <v>主手武器</v>
      </c>
      <c r="E712" s="1">
        <f>equip.xml!E716</f>
        <v>5</v>
      </c>
      <c r="F712" s="1">
        <f>equip.xml!F716</f>
        <v>3</v>
      </c>
      <c r="G712" s="1">
        <f>equip.xml!G716</f>
        <v>10</v>
      </c>
      <c r="H712" s="1" t="str">
        <f>equip.xml!H716</f>
        <v>1,1001</v>
      </c>
      <c r="I712" s="1">
        <f>equip.xml!J716</f>
        <v>20</v>
      </c>
      <c r="J712" s="1">
        <f>equip.xml!K716</f>
        <v>0</v>
      </c>
      <c r="K712" s="1">
        <f>equip.xml!L716</f>
        <v>7500</v>
      </c>
      <c r="L712" s="1" t="str">
        <f>equip.xml!M716</f>
        <v>103_32_32,104_64_64</v>
      </c>
      <c r="M712" s="7" t="str">
        <f>equip.xml!Q716</f>
        <v>equipment/1105.png</v>
      </c>
      <c r="N712" t="str">
        <f>equip.xml!P716</f>
        <v>10000_1002_10000,30000_30001_1,30000_30002_1,30000_30003_1</v>
      </c>
    </row>
    <row r="713" spans="1:14">
      <c r="A713" s="1" t="str">
        <f>equip.xml!A717</f>
        <v>30101051</v>
      </c>
      <c r="B713" s="1">
        <f>equip.xml!B717</f>
        <v>1</v>
      </c>
      <c r="C713" s="1" t="str">
        <f>equip.xml!C717</f>
        <v>铜铸重剑</v>
      </c>
      <c r="D713" s="1" t="str">
        <f>equip.xml!D717</f>
        <v>主手武器</v>
      </c>
      <c r="E713" s="1">
        <f>equip.xml!E717</f>
        <v>5</v>
      </c>
      <c r="F713" s="1">
        <f>equip.xml!F717</f>
        <v>3</v>
      </c>
      <c r="G713" s="1">
        <f>equip.xml!G717</f>
        <v>10</v>
      </c>
      <c r="H713" s="1" t="str">
        <f>equip.xml!H717</f>
        <v>1,1001</v>
      </c>
      <c r="I713" s="1">
        <f>equip.xml!J717</f>
        <v>20</v>
      </c>
      <c r="J713" s="1">
        <f>equip.xml!K717</f>
        <v>0</v>
      </c>
      <c r="K713" s="1">
        <f>equip.xml!L717</f>
        <v>10000</v>
      </c>
      <c r="L713" s="1" t="str">
        <f>equip.xml!M717</f>
        <v>103_40_40,104_80_80</v>
      </c>
      <c r="M713" s="7" t="str">
        <f>equip.xml!Q717</f>
        <v>equipment/1106.png</v>
      </c>
      <c r="N713" t="str">
        <f>equip.xml!P717</f>
        <v>10000_1002_10000,30000_30001_1,30000_30002_1,30000_30003_1</v>
      </c>
    </row>
    <row r="714" spans="1:14">
      <c r="A714" s="1" t="str">
        <f>equip.xml!A718</f>
        <v>30101060</v>
      </c>
      <c r="B714" s="1">
        <f>equip.xml!B718</f>
        <v>1</v>
      </c>
      <c r="C714" s="1" t="str">
        <f>equip.xml!C718</f>
        <v>金属大盾</v>
      </c>
      <c r="D714" s="1" t="str">
        <f>equip.xml!D718</f>
        <v>副手武器</v>
      </c>
      <c r="E714" s="1">
        <f>equip.xml!E718</f>
        <v>6</v>
      </c>
      <c r="F714" s="1">
        <f>equip.xml!F718</f>
        <v>3</v>
      </c>
      <c r="G714" s="1">
        <f>equip.xml!G718</f>
        <v>10</v>
      </c>
      <c r="H714" s="1" t="str">
        <f>equip.xml!H718</f>
        <v>1,1001</v>
      </c>
      <c r="I714" s="1">
        <f>equip.xml!J718</f>
        <v>20</v>
      </c>
      <c r="J714" s="1">
        <f>equip.xml!K718</f>
        <v>0</v>
      </c>
      <c r="K714" s="1">
        <f>equip.xml!L718</f>
        <v>7500</v>
      </c>
      <c r="L714" s="1" t="str">
        <f>equip.xml!M718</f>
        <v>105_30_30</v>
      </c>
      <c r="M714" s="7" t="str">
        <f>equip.xml!Q718</f>
        <v>equipment/2103.png</v>
      </c>
      <c r="N714" t="str">
        <f>equip.xml!P718</f>
        <v>10000_1002_10000,30000_30001_1,30000_30002_1,30000_30003_1</v>
      </c>
    </row>
    <row r="715" spans="1:14">
      <c r="A715" s="1" t="str">
        <f>equip.xml!A719</f>
        <v>30101061</v>
      </c>
      <c r="B715" s="1">
        <f>equip.xml!B719</f>
        <v>0</v>
      </c>
      <c r="C715" s="1" t="str">
        <f>equip.xml!C719</f>
        <v>尖头盾</v>
      </c>
      <c r="D715" s="1" t="str">
        <f>equip.xml!D719</f>
        <v>副手武器</v>
      </c>
      <c r="E715" s="1">
        <f>equip.xml!E719</f>
        <v>6</v>
      </c>
      <c r="F715" s="1">
        <f>equip.xml!F719</f>
        <v>3</v>
      </c>
      <c r="G715" s="1">
        <f>equip.xml!G719</f>
        <v>10</v>
      </c>
      <c r="H715" s="1" t="str">
        <f>equip.xml!H719</f>
        <v>1,1001</v>
      </c>
      <c r="I715" s="1">
        <f>equip.xml!J719</f>
        <v>20</v>
      </c>
      <c r="J715" s="1">
        <f>equip.xml!K719</f>
        <v>0</v>
      </c>
      <c r="K715" s="1">
        <f>equip.xml!L719</f>
        <v>10000</v>
      </c>
      <c r="L715" s="1" t="str">
        <f>equip.xml!M719</f>
        <v>105_59_59</v>
      </c>
      <c r="M715" s="7" t="str">
        <f>equip.xml!Q719</f>
        <v>equipment/2101.png</v>
      </c>
      <c r="N715" t="str">
        <f>equip.xml!P719</f>
        <v>10000_1002_10000,30000_30001_1,30000_30002_1,30000_30003_1</v>
      </c>
    </row>
    <row r="716" spans="1:14">
      <c r="A716" s="1" t="str">
        <f>equip.xml!A720</f>
        <v>30102050</v>
      </c>
      <c r="B716" s="1">
        <f>equip.xml!B720</f>
        <v>1</v>
      </c>
      <c r="C716" s="1" t="str">
        <f>equip.xml!C720</f>
        <v>猎手强弓</v>
      </c>
      <c r="D716" s="1" t="str">
        <f>equip.xml!D720</f>
        <v>主手武器</v>
      </c>
      <c r="E716" s="1">
        <f>equip.xml!E720</f>
        <v>5</v>
      </c>
      <c r="F716" s="1">
        <f>equip.xml!F720</f>
        <v>3</v>
      </c>
      <c r="G716" s="1">
        <f>equip.xml!G720</f>
        <v>10</v>
      </c>
      <c r="H716" s="1" t="str">
        <f>equip.xml!H720</f>
        <v>2,1002</v>
      </c>
      <c r="I716" s="1">
        <f>equip.xml!J720</f>
        <v>20</v>
      </c>
      <c r="J716" s="1">
        <f>equip.xml!K720</f>
        <v>0</v>
      </c>
      <c r="K716" s="1">
        <f>equip.xml!L720</f>
        <v>7500</v>
      </c>
      <c r="L716" s="1" t="str">
        <f>equip.xml!M720</f>
        <v>103_32_32,104_64_64</v>
      </c>
      <c r="M716" s="7" t="str">
        <f>equip.xml!Q720</f>
        <v>equipment/1205.png</v>
      </c>
      <c r="N716" t="str">
        <f>equip.xml!P720</f>
        <v>10000_1002_10000,30000_30001_1,30000_30002_1,30000_30003_1</v>
      </c>
    </row>
    <row r="717" spans="1:14">
      <c r="A717" s="1" t="str">
        <f>equip.xml!A721</f>
        <v>30102051</v>
      </c>
      <c r="B717" s="1">
        <f>equip.xml!B721</f>
        <v>1</v>
      </c>
      <c r="C717" s="1" t="str">
        <f>equip.xml!C721</f>
        <v>灰木弓</v>
      </c>
      <c r="D717" s="1" t="str">
        <f>equip.xml!D721</f>
        <v>主手武器</v>
      </c>
      <c r="E717" s="1">
        <f>equip.xml!E721</f>
        <v>5</v>
      </c>
      <c r="F717" s="1">
        <f>equip.xml!F721</f>
        <v>3</v>
      </c>
      <c r="G717" s="1">
        <f>equip.xml!G721</f>
        <v>10</v>
      </c>
      <c r="H717" s="1" t="str">
        <f>equip.xml!H721</f>
        <v>2,1002</v>
      </c>
      <c r="I717" s="1">
        <f>equip.xml!J721</f>
        <v>20</v>
      </c>
      <c r="J717" s="1">
        <f>equip.xml!K721</f>
        <v>0</v>
      </c>
      <c r="K717" s="1">
        <f>equip.xml!L721</f>
        <v>10000</v>
      </c>
      <c r="L717" s="1" t="str">
        <f>equip.xml!M721</f>
        <v>103_40_40,104_80_80</v>
      </c>
      <c r="M717" s="7" t="str">
        <f>equip.xml!Q721</f>
        <v>equipment/1206.png</v>
      </c>
      <c r="N717" t="str">
        <f>equip.xml!P721</f>
        <v>10000_1002_10000,30000_30001_1,30000_30002_1,30000_30003_1</v>
      </c>
    </row>
    <row r="718" spans="1:14">
      <c r="A718" s="1" t="str">
        <f>equip.xml!A722</f>
        <v>30102060</v>
      </c>
      <c r="B718" s="1">
        <f>equip.xml!B722</f>
        <v>1</v>
      </c>
      <c r="C718" s="1" t="str">
        <f>equip.xml!C722</f>
        <v>帆布箭筒</v>
      </c>
      <c r="D718" s="1" t="str">
        <f>equip.xml!D722</f>
        <v>副手武器</v>
      </c>
      <c r="E718" s="1">
        <f>equip.xml!E722</f>
        <v>6</v>
      </c>
      <c r="F718" s="1">
        <f>equip.xml!F722</f>
        <v>3</v>
      </c>
      <c r="G718" s="1">
        <f>equip.xml!G722</f>
        <v>10</v>
      </c>
      <c r="H718" s="1" t="str">
        <f>equip.xml!H722</f>
        <v>2,1002</v>
      </c>
      <c r="I718" s="1">
        <f>equip.xml!J722</f>
        <v>20</v>
      </c>
      <c r="J718" s="1">
        <f>equip.xml!K722</f>
        <v>0</v>
      </c>
      <c r="K718" s="1">
        <f>equip.xml!L722</f>
        <v>7500</v>
      </c>
      <c r="L718" s="1" t="str">
        <f>equip.xml!M722</f>
        <v>108_30_30</v>
      </c>
      <c r="M718" s="7" t="str">
        <f>equip.xml!Q722</f>
        <v>equipment/2203.png</v>
      </c>
      <c r="N718" t="str">
        <f>equip.xml!P722</f>
        <v>10000_1002_10000,30000_30001_1,30000_30002_1,30000_30003_1</v>
      </c>
    </row>
    <row r="719" spans="1:14">
      <c r="A719" s="1" t="str">
        <f>equip.xml!A723</f>
        <v>30102061</v>
      </c>
      <c r="B719" s="1">
        <f>equip.xml!B723</f>
        <v>0</v>
      </c>
      <c r="C719" s="1" t="str">
        <f>equip.xml!C723</f>
        <v>箭筒</v>
      </c>
      <c r="D719" s="1" t="str">
        <f>equip.xml!D723</f>
        <v>副手武器</v>
      </c>
      <c r="E719" s="1">
        <f>equip.xml!E723</f>
        <v>6</v>
      </c>
      <c r="F719" s="1">
        <f>equip.xml!F723</f>
        <v>3</v>
      </c>
      <c r="G719" s="1">
        <f>equip.xml!G723</f>
        <v>10</v>
      </c>
      <c r="H719" s="1" t="str">
        <f>equip.xml!H723</f>
        <v>2,1002</v>
      </c>
      <c r="I719" s="1">
        <f>equip.xml!J723</f>
        <v>20</v>
      </c>
      <c r="J719" s="1">
        <f>equip.xml!K723</f>
        <v>0</v>
      </c>
      <c r="K719" s="1">
        <f>equip.xml!L723</f>
        <v>10000</v>
      </c>
      <c r="L719" s="1" t="str">
        <f>equip.xml!M723</f>
        <v>108_59_59</v>
      </c>
      <c r="M719" s="7" t="str">
        <f>equip.xml!Q723</f>
        <v>equipment/2201.png</v>
      </c>
      <c r="N719" t="str">
        <f>equip.xml!P723</f>
        <v>10000_1002_10000,30000_30001_1,30000_30002_1,30000_30003_1</v>
      </c>
    </row>
    <row r="720" spans="1:14">
      <c r="A720" s="1" t="str">
        <f>equip.xml!A724</f>
        <v>30103050</v>
      </c>
      <c r="B720" s="1">
        <f>equip.xml!B724</f>
        <v>1</v>
      </c>
      <c r="C720" s="1" t="str">
        <f>equip.xml!C724</f>
        <v>附魔银棒</v>
      </c>
      <c r="D720" s="1" t="str">
        <f>equip.xml!D724</f>
        <v>主手武器</v>
      </c>
      <c r="E720" s="1">
        <f>equip.xml!E724</f>
        <v>5</v>
      </c>
      <c r="F720" s="1">
        <f>equip.xml!F724</f>
        <v>3</v>
      </c>
      <c r="G720" s="1">
        <f>equip.xml!G724</f>
        <v>10</v>
      </c>
      <c r="H720" s="1" t="str">
        <f>equip.xml!H724</f>
        <v>3,1003</v>
      </c>
      <c r="I720" s="1">
        <f>equip.xml!J724</f>
        <v>20</v>
      </c>
      <c r="J720" s="1">
        <f>equip.xml!K724</f>
        <v>0</v>
      </c>
      <c r="K720" s="1">
        <f>equip.xml!L724</f>
        <v>7500</v>
      </c>
      <c r="L720" s="1" t="str">
        <f>equip.xml!M724</f>
        <v>103_32_32,104_64_64</v>
      </c>
      <c r="M720" s="7" t="str">
        <f>equip.xml!Q724</f>
        <v>equipment/1305.png</v>
      </c>
      <c r="N720" t="str">
        <f>equip.xml!P724</f>
        <v>10000_1002_10000,30000_30001_1,30000_30002_1,30000_30003_1</v>
      </c>
    </row>
    <row r="721" spans="1:14">
      <c r="A721" s="1" t="str">
        <f>equip.xml!A725</f>
        <v>30103051</v>
      </c>
      <c r="B721" s="1">
        <f>equip.xml!B725</f>
        <v>1</v>
      </c>
      <c r="C721" s="1" t="str">
        <f>equip.xml!C725</f>
        <v>魔导法杖</v>
      </c>
      <c r="D721" s="1" t="str">
        <f>equip.xml!D725</f>
        <v>主手武器</v>
      </c>
      <c r="E721" s="1">
        <f>equip.xml!E725</f>
        <v>5</v>
      </c>
      <c r="F721" s="1">
        <f>equip.xml!F725</f>
        <v>3</v>
      </c>
      <c r="G721" s="1">
        <f>equip.xml!G725</f>
        <v>10</v>
      </c>
      <c r="H721" s="1" t="str">
        <f>equip.xml!H725</f>
        <v>3,1003</v>
      </c>
      <c r="I721" s="1">
        <f>equip.xml!J725</f>
        <v>20</v>
      </c>
      <c r="J721" s="1">
        <f>equip.xml!K725</f>
        <v>0</v>
      </c>
      <c r="K721" s="1">
        <f>equip.xml!L725</f>
        <v>10000</v>
      </c>
      <c r="L721" s="1" t="str">
        <f>equip.xml!M725</f>
        <v>103_40_40,104_80_80</v>
      </c>
      <c r="M721" s="7" t="str">
        <f>equip.xml!Q725</f>
        <v>equipment/1306.png</v>
      </c>
      <c r="N721" t="str">
        <f>equip.xml!P725</f>
        <v>10000_1002_10000,30000_30001_1,30000_30002_1,30000_30003_1</v>
      </c>
    </row>
    <row r="722" spans="1:14">
      <c r="A722" s="1" t="str">
        <f>equip.xml!A726</f>
        <v>30103060</v>
      </c>
      <c r="B722" s="1">
        <f>equip.xml!B726</f>
        <v>1</v>
      </c>
      <c r="C722" s="1" t="str">
        <f>equip.xml!C726</f>
        <v>奥术典籍</v>
      </c>
      <c r="D722" s="1" t="str">
        <f>equip.xml!D726</f>
        <v>副手武器</v>
      </c>
      <c r="E722" s="1">
        <f>equip.xml!E726</f>
        <v>6</v>
      </c>
      <c r="F722" s="1">
        <f>equip.xml!F726</f>
        <v>3</v>
      </c>
      <c r="G722" s="1">
        <f>equip.xml!G726</f>
        <v>10</v>
      </c>
      <c r="H722" s="1" t="str">
        <f>equip.xml!H726</f>
        <v>3,1003</v>
      </c>
      <c r="I722" s="1">
        <f>equip.xml!J726</f>
        <v>20</v>
      </c>
      <c r="J722" s="1">
        <f>equip.xml!K726</f>
        <v>0</v>
      </c>
      <c r="K722" s="1">
        <f>equip.xml!L726</f>
        <v>7500</v>
      </c>
      <c r="L722" s="1" t="str">
        <f>equip.xml!M726</f>
        <v>102_240_240</v>
      </c>
      <c r="M722" s="7" t="str">
        <f>equip.xml!Q726</f>
        <v>equipment/2303.png</v>
      </c>
      <c r="N722" t="str">
        <f>equip.xml!P726</f>
        <v>10000_1002_10000,30000_30001_1,30000_30002_1,30000_30003_1</v>
      </c>
    </row>
    <row r="723" spans="1:14">
      <c r="A723" s="1" t="str">
        <f>equip.xml!A727</f>
        <v>30103061</v>
      </c>
      <c r="B723" s="1">
        <f>equip.xml!B727</f>
        <v>0</v>
      </c>
      <c r="C723" s="1" t="str">
        <f>equip.xml!C727</f>
        <v>法术指南</v>
      </c>
      <c r="D723" s="1" t="str">
        <f>equip.xml!D727</f>
        <v>副手武器</v>
      </c>
      <c r="E723" s="1">
        <f>equip.xml!E727</f>
        <v>6</v>
      </c>
      <c r="F723" s="1">
        <f>equip.xml!F727</f>
        <v>3</v>
      </c>
      <c r="G723" s="1">
        <f>equip.xml!G727</f>
        <v>10</v>
      </c>
      <c r="H723" s="1" t="str">
        <f>equip.xml!H727</f>
        <v>3,1003</v>
      </c>
      <c r="I723" s="1">
        <f>equip.xml!J727</f>
        <v>20</v>
      </c>
      <c r="J723" s="1">
        <f>equip.xml!K727</f>
        <v>0</v>
      </c>
      <c r="K723" s="1">
        <f>equip.xml!L727</f>
        <v>10000</v>
      </c>
      <c r="L723" s="1" t="str">
        <f>equip.xml!M727</f>
        <v>102_59_59</v>
      </c>
      <c r="M723" s="7" t="str">
        <f>equip.xml!Q727</f>
        <v>equipment/2301.png</v>
      </c>
      <c r="N723" t="str">
        <f>equip.xml!P727</f>
        <v>10000_1002_10000,30000_30001_1,30000_30002_1,30000_30003_1</v>
      </c>
    </row>
    <row r="724" spans="1:14">
      <c r="A724" s="1" t="str">
        <f>equip.xml!A728</f>
        <v>30100040</v>
      </c>
      <c r="B724" s="1">
        <f>equip.xml!B728</f>
        <v>1</v>
      </c>
      <c r="C724" s="1" t="str">
        <f>equip.xml!C728</f>
        <v>硬皮外套</v>
      </c>
      <c r="D724" s="1" t="str">
        <f>equip.xml!D728</f>
        <v>胸甲</v>
      </c>
      <c r="E724" s="1">
        <f>equip.xml!E728</f>
        <v>4</v>
      </c>
      <c r="F724" s="1">
        <f>equip.xml!F728</f>
        <v>3</v>
      </c>
      <c r="G724" s="1">
        <f>equip.xml!G728</f>
        <v>10</v>
      </c>
      <c r="H724" s="1">
        <f>equip.xml!H728</f>
        <v>0</v>
      </c>
      <c r="I724" s="1">
        <f>equip.xml!J728</f>
        <v>20</v>
      </c>
      <c r="J724" s="1">
        <f>equip.xml!K728</f>
        <v>0</v>
      </c>
      <c r="K724" s="1">
        <f>equip.xml!L728</f>
        <v>7500</v>
      </c>
      <c r="L724" s="1" t="str">
        <f>equip.xml!M728</f>
        <v>105_20_20</v>
      </c>
      <c r="M724" s="7" t="str">
        <f>equip.xml!Q728</f>
        <v>equipment/5003.png</v>
      </c>
      <c r="N724" t="str">
        <f>equip.xml!P728</f>
        <v>10000_1002_10000,30000_30001_1,30000_30002_1,30000_30003_1</v>
      </c>
    </row>
    <row r="725" spans="1:14">
      <c r="A725" s="1" t="str">
        <f>equip.xml!A729</f>
        <v>30100041</v>
      </c>
      <c r="B725" s="1">
        <f>equip.xml!B729</f>
        <v>0</v>
      </c>
      <c r="C725" s="1" t="str">
        <f>equip.xml!C729</f>
        <v>新兵外套</v>
      </c>
      <c r="D725" s="1" t="str">
        <f>equip.xml!D729</f>
        <v>胸甲</v>
      </c>
      <c r="E725" s="1">
        <f>equip.xml!E729</f>
        <v>4</v>
      </c>
      <c r="F725" s="1">
        <f>equip.xml!F729</f>
        <v>3</v>
      </c>
      <c r="G725" s="1">
        <f>equip.xml!G729</f>
        <v>10</v>
      </c>
      <c r="H725" s="1">
        <f>equip.xml!H729</f>
        <v>0</v>
      </c>
      <c r="I725" s="1">
        <f>equip.xml!J729</f>
        <v>20</v>
      </c>
      <c r="J725" s="1">
        <f>equip.xml!K729</f>
        <v>0</v>
      </c>
      <c r="K725" s="1">
        <f>equip.xml!L729</f>
        <v>10000</v>
      </c>
      <c r="L725" s="1" t="str">
        <f>equip.xml!M729</f>
        <v>105_28_28</v>
      </c>
      <c r="M725" s="7" t="str">
        <f>equip.xml!Q729</f>
        <v>equipment/5001.png</v>
      </c>
      <c r="N725" t="str">
        <f>equip.xml!P729</f>
        <v>10000_1002_10000,30000_30001_1,30000_30002_1,30000_30003_1</v>
      </c>
    </row>
    <row r="726" spans="1:14">
      <c r="A726" s="1" t="str">
        <f>equip.xml!A730</f>
        <v>30100070</v>
      </c>
      <c r="B726" s="1">
        <f>equip.xml!B730</f>
        <v>1</v>
      </c>
      <c r="C726" s="1" t="str">
        <f>equip.xml!C730</f>
        <v>护卫短裤</v>
      </c>
      <c r="D726" s="1" t="str">
        <f>equip.xml!D730</f>
        <v>护腿</v>
      </c>
      <c r="E726" s="1">
        <f>equip.xml!E730</f>
        <v>7</v>
      </c>
      <c r="F726" s="1">
        <f>equip.xml!F730</f>
        <v>3</v>
      </c>
      <c r="G726" s="1">
        <f>equip.xml!G730</f>
        <v>10</v>
      </c>
      <c r="H726" s="1">
        <f>equip.xml!H730</f>
        <v>0</v>
      </c>
      <c r="I726" s="1">
        <f>equip.xml!J730</f>
        <v>20</v>
      </c>
      <c r="J726" s="1">
        <f>equip.xml!K730</f>
        <v>0</v>
      </c>
      <c r="K726" s="1">
        <f>equip.xml!L730</f>
        <v>7500</v>
      </c>
      <c r="L726" s="1" t="str">
        <f>equip.xml!M730</f>
        <v>105_20_20</v>
      </c>
      <c r="M726" s="7" t="str">
        <f>equip.xml!Q730</f>
        <v>equipment/7003.png</v>
      </c>
      <c r="N726" t="str">
        <f>equip.xml!P730</f>
        <v>10000_1002_10000,30000_30001_1,30000_30002_1,30000_30003_1</v>
      </c>
    </row>
    <row r="727" spans="1:14">
      <c r="A727" s="1" t="str">
        <f>equip.xml!A731</f>
        <v>30100071</v>
      </c>
      <c r="B727" s="1">
        <f>equip.xml!B731</f>
        <v>0</v>
      </c>
      <c r="C727" s="1" t="str">
        <f>equip.xml!C731</f>
        <v>学徒短裤</v>
      </c>
      <c r="D727" s="1" t="str">
        <f>equip.xml!D731</f>
        <v>护腿</v>
      </c>
      <c r="E727" s="1">
        <f>equip.xml!E731</f>
        <v>7</v>
      </c>
      <c r="F727" s="1">
        <f>equip.xml!F731</f>
        <v>3</v>
      </c>
      <c r="G727" s="1">
        <f>equip.xml!G731</f>
        <v>10</v>
      </c>
      <c r="H727" s="1">
        <f>equip.xml!H731</f>
        <v>0</v>
      </c>
      <c r="I727" s="1">
        <f>equip.xml!J731</f>
        <v>20</v>
      </c>
      <c r="J727" s="1">
        <f>equip.xml!K731</f>
        <v>0</v>
      </c>
      <c r="K727" s="1">
        <f>equip.xml!L731</f>
        <v>10000</v>
      </c>
      <c r="L727" s="1" t="str">
        <f>equip.xml!M731</f>
        <v>105_28_28</v>
      </c>
      <c r="M727" s="7" t="str">
        <f>equip.xml!Q731</f>
        <v>equipment/7001.png</v>
      </c>
      <c r="N727" t="str">
        <f>equip.xml!P731</f>
        <v>10000_1002_10000,30000_30001_1,30000_30002_1,30000_30003_1</v>
      </c>
    </row>
    <row r="728" spans="1:14">
      <c r="A728" s="1" t="str">
        <f>equip.xml!A732</f>
        <v>30150010</v>
      </c>
      <c r="B728" s="1">
        <f>equip.xml!B732</f>
        <v>0</v>
      </c>
      <c r="C728" s="1" t="str">
        <f>equip.xml!C732</f>
        <v>纹饰帽</v>
      </c>
      <c r="D728" s="1" t="str">
        <f>equip.xml!D732</f>
        <v>头盔</v>
      </c>
      <c r="E728" s="1">
        <f>equip.xml!E732</f>
        <v>1</v>
      </c>
      <c r="F728" s="1">
        <f>equip.xml!F732</f>
        <v>3</v>
      </c>
      <c r="G728" s="1">
        <f>equip.xml!G732</f>
        <v>15</v>
      </c>
      <c r="H728" s="1">
        <f>equip.xml!H732</f>
        <v>0</v>
      </c>
      <c r="I728" s="1">
        <f>equip.xml!J732</f>
        <v>20</v>
      </c>
      <c r="J728" s="1">
        <f>equip.xml!K732</f>
        <v>0</v>
      </c>
      <c r="K728" s="1">
        <f>equip.xml!L732</f>
        <v>10000</v>
      </c>
      <c r="L728" s="1" t="str">
        <f>equip.xml!M732</f>
        <v>106_64_64</v>
      </c>
      <c r="M728" s="7" t="str">
        <f>equip.xml!Q732</f>
        <v>equipment/3001.png</v>
      </c>
      <c r="N728" t="str">
        <f>equip.xml!P732</f>
        <v>10000_1002_15000,30000_30001_1,30000_30002_1,30000_30003_1</v>
      </c>
    </row>
    <row r="729" spans="1:14">
      <c r="A729" s="1" t="str">
        <f>equip.xml!A733</f>
        <v>30150020</v>
      </c>
      <c r="B729" s="1">
        <f>equip.xml!B733</f>
        <v>0</v>
      </c>
      <c r="C729" s="1" t="str">
        <f>equip.xml!C733</f>
        <v>金戒指</v>
      </c>
      <c r="D729" s="1" t="str">
        <f>equip.xml!D733</f>
        <v>戒指</v>
      </c>
      <c r="E729" s="1">
        <f>equip.xml!E733</f>
        <v>2</v>
      </c>
      <c r="F729" s="1">
        <f>equip.xml!F733</f>
        <v>3</v>
      </c>
      <c r="G729" s="1">
        <f>equip.xml!G733</f>
        <v>15</v>
      </c>
      <c r="H729" s="1">
        <f>equip.xml!H733</f>
        <v>0</v>
      </c>
      <c r="I729" s="1">
        <f>equip.xml!J733</f>
        <v>20</v>
      </c>
      <c r="J729" s="1">
        <f>equip.xml!K733</f>
        <v>0</v>
      </c>
      <c r="K729" s="1">
        <f>equip.xml!L733</f>
        <v>10000</v>
      </c>
      <c r="L729" s="1" t="str">
        <f>equip.xml!M733</f>
        <v>102_185_185</v>
      </c>
      <c r="M729" s="7" t="str">
        <f>equip.xml!Q733</f>
        <v>equipment/14001.png</v>
      </c>
      <c r="N729" t="str">
        <f>equip.xml!P733</f>
        <v>10000_1002_15000,30000_30001_1,30000_30002_1,30000_30003_1</v>
      </c>
    </row>
    <row r="730" spans="1:14">
      <c r="A730" s="1" t="str">
        <f>equip.xml!A734</f>
        <v>30150030</v>
      </c>
      <c r="B730" s="1">
        <f>equip.xml!B734</f>
        <v>1</v>
      </c>
      <c r="C730" s="1" t="str">
        <f>equip.xml!C734</f>
        <v>铁锁腰带</v>
      </c>
      <c r="D730" s="1" t="str">
        <f>equip.xml!D734</f>
        <v>腰带</v>
      </c>
      <c r="E730" s="1">
        <f>equip.xml!E734</f>
        <v>3</v>
      </c>
      <c r="F730" s="1">
        <f>equip.xml!F734</f>
        <v>3</v>
      </c>
      <c r="G730" s="1">
        <f>equip.xml!G734</f>
        <v>15</v>
      </c>
      <c r="H730" s="1">
        <f>equip.xml!H734</f>
        <v>0</v>
      </c>
      <c r="I730" s="1">
        <f>equip.xml!J734</f>
        <v>20</v>
      </c>
      <c r="J730" s="1">
        <f>equip.xml!K734</f>
        <v>0</v>
      </c>
      <c r="K730" s="1">
        <f>equip.xml!L734</f>
        <v>10000</v>
      </c>
      <c r="L730" s="1" t="str">
        <f>equip.xml!M734</f>
        <v>101_1160_1160</v>
      </c>
      <c r="M730" s="7" t="str">
        <f>equip.xml!Q734</f>
        <v>equipment/6003.png</v>
      </c>
      <c r="N730" t="str">
        <f>equip.xml!P734</f>
        <v>10000_1002_15000,30000_30001_1,30000_30002_1,30000_30003_1</v>
      </c>
    </row>
    <row r="731" spans="1:14">
      <c r="A731" s="1" t="str">
        <f>equip.xml!A735</f>
        <v>30150080</v>
      </c>
      <c r="B731" s="1">
        <f>equip.xml!B735</f>
        <v>1</v>
      </c>
      <c r="C731" s="1" t="str">
        <f>equip.xml!C735</f>
        <v>链甲战靴</v>
      </c>
      <c r="D731" s="1" t="str">
        <f>equip.xml!D735</f>
        <v>鞋子</v>
      </c>
      <c r="E731" s="1">
        <f>equip.xml!E735</f>
        <v>8</v>
      </c>
      <c r="F731" s="1">
        <f>equip.xml!F735</f>
        <v>3</v>
      </c>
      <c r="G731" s="1">
        <f>equip.xml!G735</f>
        <v>15</v>
      </c>
      <c r="H731" s="1">
        <f>equip.xml!H735</f>
        <v>0</v>
      </c>
      <c r="I731" s="1">
        <f>equip.xml!J735</f>
        <v>20</v>
      </c>
      <c r="J731" s="1">
        <f>equip.xml!K735</f>
        <v>0</v>
      </c>
      <c r="K731" s="1">
        <f>equip.xml!L735</f>
        <v>10000</v>
      </c>
      <c r="L731" s="1" t="str">
        <f>equip.xml!M735</f>
        <v>110_27_27</v>
      </c>
      <c r="M731" s="7" t="str">
        <f>equip.xml!Q735</f>
        <v>equipment/8003.png</v>
      </c>
      <c r="N731" t="str">
        <f>equip.xml!P735</f>
        <v>10000_1002_15000,30000_30001_1,30000_30002_1,30000_30003_1</v>
      </c>
    </row>
    <row r="732" spans="1:14">
      <c r="A732" s="1" t="str">
        <f>equip.xml!A736</f>
        <v>30150090</v>
      </c>
      <c r="B732" s="1">
        <f>equip.xml!B736</f>
        <v>1</v>
      </c>
      <c r="C732" s="1" t="str">
        <f>equip.xml!C736</f>
        <v>战痕手套</v>
      </c>
      <c r="D732" s="1" t="str">
        <f>equip.xml!D736</f>
        <v>手套</v>
      </c>
      <c r="E732" s="1">
        <f>equip.xml!E736</f>
        <v>9</v>
      </c>
      <c r="F732" s="1">
        <f>equip.xml!F736</f>
        <v>3</v>
      </c>
      <c r="G732" s="1">
        <f>equip.xml!G736</f>
        <v>15</v>
      </c>
      <c r="H732" s="1">
        <f>equip.xml!H736</f>
        <v>0</v>
      </c>
      <c r="I732" s="1">
        <f>equip.xml!J736</f>
        <v>20</v>
      </c>
      <c r="J732" s="1">
        <f>equip.xml!K736</f>
        <v>0</v>
      </c>
      <c r="K732" s="1">
        <f>equip.xml!L736</f>
        <v>10000</v>
      </c>
      <c r="L732" s="1" t="str">
        <f>equip.xml!M736</f>
        <v>108_106_106</v>
      </c>
      <c r="M732" s="7" t="str">
        <f>equip.xml!Q736</f>
        <v>equipment/10003.png</v>
      </c>
      <c r="N732" t="str">
        <f>equip.xml!P736</f>
        <v>10000_1002_15000,30000_30001_1,30000_30002_1,30000_30003_1</v>
      </c>
    </row>
    <row r="733" spans="1:14">
      <c r="A733" s="1" t="str">
        <f>equip.xml!A737</f>
        <v>30150100</v>
      </c>
      <c r="B733" s="1">
        <f>equip.xml!B737</f>
        <v>1</v>
      </c>
      <c r="C733" s="1" t="str">
        <f>equip.xml!C737</f>
        <v>使者项链</v>
      </c>
      <c r="D733" s="1" t="str">
        <f>equip.xml!D737</f>
        <v>项链</v>
      </c>
      <c r="E733" s="1">
        <f>equip.xml!E737</f>
        <v>10</v>
      </c>
      <c r="F733" s="1">
        <f>equip.xml!F737</f>
        <v>3</v>
      </c>
      <c r="G733" s="1">
        <f>equip.xml!G737</f>
        <v>15</v>
      </c>
      <c r="H733" s="1">
        <f>equip.xml!H737</f>
        <v>0</v>
      </c>
      <c r="I733" s="1">
        <f>equip.xml!J737</f>
        <v>20</v>
      </c>
      <c r="J733" s="1">
        <f>equip.xml!K737</f>
        <v>0</v>
      </c>
      <c r="K733" s="1">
        <f>equip.xml!L737</f>
        <v>10000</v>
      </c>
      <c r="L733" s="1" t="str">
        <f>equip.xml!M737</f>
        <v>107_64_64</v>
      </c>
      <c r="M733" s="7" t="str">
        <f>equip.xml!Q737</f>
        <v>equipment/12002.png</v>
      </c>
      <c r="N733" t="str">
        <f>equip.xml!P737</f>
        <v>10000_1002_15000,30000_30001_1,30000_30002_1,30000_30003_1</v>
      </c>
    </row>
    <row r="734" spans="1:14">
      <c r="A734" s="1" t="str">
        <f>equip.xml!A738</f>
        <v>30151050</v>
      </c>
      <c r="B734" s="1">
        <f>equip.xml!B738</f>
        <v>1</v>
      </c>
      <c r="C734" s="1" t="str">
        <f>equip.xml!C738</f>
        <v>宽刃剑</v>
      </c>
      <c r="D734" s="1" t="str">
        <f>equip.xml!D738</f>
        <v>主手武器</v>
      </c>
      <c r="E734" s="1">
        <f>equip.xml!E738</f>
        <v>5</v>
      </c>
      <c r="F734" s="1">
        <f>equip.xml!F738</f>
        <v>3</v>
      </c>
      <c r="G734" s="1">
        <f>equip.xml!G738</f>
        <v>15</v>
      </c>
      <c r="H734" s="1" t="str">
        <f>equip.xml!H738</f>
        <v>1,1001</v>
      </c>
      <c r="I734" s="1">
        <f>equip.xml!J738</f>
        <v>20</v>
      </c>
      <c r="J734" s="1">
        <f>equip.xml!K738</f>
        <v>0</v>
      </c>
      <c r="K734" s="1">
        <f>equip.xml!L738</f>
        <v>10000</v>
      </c>
      <c r="L734" s="1" t="str">
        <f>equip.xml!M738</f>
        <v>103_52_52,104_104_104</v>
      </c>
      <c r="M734" s="7" t="str">
        <f>equip.xml!Q738</f>
        <v>equipment/1108.png</v>
      </c>
      <c r="N734" t="str">
        <f>equip.xml!P738</f>
        <v>10000_1002_15000,30000_30001_1,30000_30002_1,30000_30003_1</v>
      </c>
    </row>
    <row r="735" spans="1:14">
      <c r="A735" s="1" t="str">
        <f>equip.xml!A739</f>
        <v>30151051</v>
      </c>
      <c r="B735" s="1">
        <f>equip.xml!B739</f>
        <v>1</v>
      </c>
      <c r="C735" s="1" t="str">
        <f>equip.xml!C739</f>
        <v>游侠之刃</v>
      </c>
      <c r="D735" s="1" t="str">
        <f>equip.xml!D739</f>
        <v>主手武器</v>
      </c>
      <c r="E735" s="1">
        <f>equip.xml!E739</f>
        <v>5</v>
      </c>
      <c r="F735" s="1">
        <f>equip.xml!F739</f>
        <v>3</v>
      </c>
      <c r="G735" s="1">
        <f>equip.xml!G739</f>
        <v>15</v>
      </c>
      <c r="H735" s="1" t="str">
        <f>equip.xml!H739</f>
        <v>1,1001</v>
      </c>
      <c r="I735" s="1">
        <f>equip.xml!J739</f>
        <v>20</v>
      </c>
      <c r="J735" s="1">
        <f>equip.xml!K739</f>
        <v>0</v>
      </c>
      <c r="K735" s="1">
        <f>equip.xml!L739</f>
        <v>12500</v>
      </c>
      <c r="L735" s="1" t="str">
        <f>equip.xml!M739</f>
        <v>103_76_76,104_152_152</v>
      </c>
      <c r="M735" s="7" t="str">
        <f>equip.xml!Q739</f>
        <v>equipment/1107.png</v>
      </c>
      <c r="N735" t="str">
        <f>equip.xml!P739</f>
        <v>10000_1002_15000,30000_30001_1,30000_30002_1,30000_30003_1</v>
      </c>
    </row>
    <row r="736" spans="1:14">
      <c r="A736" s="1" t="str">
        <f>equip.xml!A740</f>
        <v>30151060</v>
      </c>
      <c r="B736" s="1">
        <f>equip.xml!B740</f>
        <v>1</v>
      </c>
      <c r="C736" s="1" t="str">
        <f>equip.xml!C740</f>
        <v>鸢盾</v>
      </c>
      <c r="D736" s="1" t="str">
        <f>equip.xml!D740</f>
        <v>副手武器</v>
      </c>
      <c r="E736" s="1">
        <f>equip.xml!E740</f>
        <v>6</v>
      </c>
      <c r="F736" s="1">
        <f>equip.xml!F740</f>
        <v>3</v>
      </c>
      <c r="G736" s="1">
        <f>equip.xml!G740</f>
        <v>15</v>
      </c>
      <c r="H736" s="1" t="str">
        <f>equip.xml!H740</f>
        <v>1,1001</v>
      </c>
      <c r="I736" s="1">
        <f>equip.xml!J740</f>
        <v>20</v>
      </c>
      <c r="J736" s="1">
        <f>equip.xml!K740</f>
        <v>0</v>
      </c>
      <c r="K736" s="1">
        <f>equip.xml!L740</f>
        <v>10000</v>
      </c>
      <c r="L736" s="1" t="str">
        <f>equip.xml!M740</f>
        <v>105_103_103</v>
      </c>
      <c r="M736" s="7" t="str">
        <f>equip.xml!Q740</f>
        <v>equipment/2105.png</v>
      </c>
      <c r="N736" t="str">
        <f>equip.xml!P740</f>
        <v>10000_1002_15000,30000_30001_1,30000_30002_1,30000_30003_1</v>
      </c>
    </row>
    <row r="737" spans="1:14">
      <c r="A737" s="1" t="str">
        <f>equip.xml!A741</f>
        <v>30151061</v>
      </c>
      <c r="B737" s="1">
        <f>equip.xml!B741</f>
        <v>0</v>
      </c>
      <c r="C737" s="1" t="str">
        <f>equip.xml!C741</f>
        <v>尖头盾</v>
      </c>
      <c r="D737" s="1" t="str">
        <f>equip.xml!D741</f>
        <v>副手武器</v>
      </c>
      <c r="E737" s="1">
        <f>equip.xml!E741</f>
        <v>6</v>
      </c>
      <c r="F737" s="1">
        <f>equip.xml!F741</f>
        <v>3</v>
      </c>
      <c r="G737" s="1">
        <f>equip.xml!G741</f>
        <v>15</v>
      </c>
      <c r="H737" s="1" t="str">
        <f>equip.xml!H741</f>
        <v>1,1001</v>
      </c>
      <c r="I737" s="1">
        <f>equip.xml!J741</f>
        <v>20</v>
      </c>
      <c r="J737" s="1">
        <f>equip.xml!K741</f>
        <v>0</v>
      </c>
      <c r="K737" s="1">
        <f>equip.xml!L741</f>
        <v>12500</v>
      </c>
      <c r="L737" s="1" t="str">
        <f>equip.xml!M741</f>
        <v>105_130_130</v>
      </c>
      <c r="M737" s="7" t="str">
        <f>equip.xml!Q741</f>
        <v>equipment/2101.png</v>
      </c>
      <c r="N737" t="str">
        <f>equip.xml!P741</f>
        <v>10000_1002_15000,30000_30001_1,30000_30002_1,30000_30003_1</v>
      </c>
    </row>
    <row r="738" spans="1:14">
      <c r="A738" s="1" t="str">
        <f>equip.xml!A742</f>
        <v>30152050</v>
      </c>
      <c r="B738" s="1">
        <f>equip.xml!B742</f>
        <v>1</v>
      </c>
      <c r="C738" s="1" t="str">
        <f>equip.xml!C742</f>
        <v>狩猎之弓</v>
      </c>
      <c r="D738" s="1" t="str">
        <f>equip.xml!D742</f>
        <v>主手武器</v>
      </c>
      <c r="E738" s="1">
        <f>equip.xml!E742</f>
        <v>5</v>
      </c>
      <c r="F738" s="1">
        <f>equip.xml!F742</f>
        <v>3</v>
      </c>
      <c r="G738" s="1">
        <f>equip.xml!G742</f>
        <v>15</v>
      </c>
      <c r="H738" s="1" t="str">
        <f>equip.xml!H742</f>
        <v>2,1002</v>
      </c>
      <c r="I738" s="1">
        <f>equip.xml!J742</f>
        <v>20</v>
      </c>
      <c r="J738" s="1">
        <f>equip.xml!K742</f>
        <v>0</v>
      </c>
      <c r="K738" s="1">
        <f>equip.xml!L742</f>
        <v>10000</v>
      </c>
      <c r="L738" s="1" t="str">
        <f>equip.xml!M742</f>
        <v>103_52_52,104_104_104</v>
      </c>
      <c r="M738" s="7" t="str">
        <f>equip.xml!Q742</f>
        <v>equipment/1207.png</v>
      </c>
      <c r="N738" t="str">
        <f>equip.xml!P742</f>
        <v>10000_1002_15000,30000_30001_1,30000_30002_1,30000_30003_1</v>
      </c>
    </row>
    <row r="739" spans="1:14">
      <c r="A739" s="1" t="str">
        <f>equip.xml!A743</f>
        <v>30152051</v>
      </c>
      <c r="B739" s="1">
        <f>equip.xml!B743</f>
        <v>1</v>
      </c>
      <c r="C739" s="1" t="str">
        <f>equip.xml!C743</f>
        <v>半人马长弓</v>
      </c>
      <c r="D739" s="1" t="str">
        <f>equip.xml!D743</f>
        <v>主手武器</v>
      </c>
      <c r="E739" s="1">
        <f>equip.xml!E743</f>
        <v>5</v>
      </c>
      <c r="F739" s="1">
        <f>equip.xml!F743</f>
        <v>3</v>
      </c>
      <c r="G739" s="1">
        <f>equip.xml!G743</f>
        <v>15</v>
      </c>
      <c r="H739" s="1" t="str">
        <f>equip.xml!H743</f>
        <v>2,1002</v>
      </c>
      <c r="I739" s="1">
        <f>equip.xml!J743</f>
        <v>20</v>
      </c>
      <c r="J739" s="1">
        <f>equip.xml!K743</f>
        <v>0</v>
      </c>
      <c r="K739" s="1">
        <f>equip.xml!L743</f>
        <v>12500</v>
      </c>
      <c r="L739" s="1" t="str">
        <f>equip.xml!M743</f>
        <v>103_76_76,104_152_152</v>
      </c>
      <c r="M739" s="7" t="str">
        <f>equip.xml!Q743</f>
        <v>equipment/1208.png</v>
      </c>
      <c r="N739" t="str">
        <f>equip.xml!P743</f>
        <v>10000_1002_15000,30000_30001_1,30000_30002_1,30000_30003_1</v>
      </c>
    </row>
    <row r="740" spans="1:14">
      <c r="A740" s="1" t="str">
        <f>equip.xml!A744</f>
        <v>30152060</v>
      </c>
      <c r="B740" s="1">
        <f>equip.xml!B744</f>
        <v>1</v>
      </c>
      <c r="C740" s="1" t="str">
        <f>equip.xml!C744</f>
        <v>皮革箭筒</v>
      </c>
      <c r="D740" s="1" t="str">
        <f>equip.xml!D744</f>
        <v>副手武器</v>
      </c>
      <c r="E740" s="1">
        <f>equip.xml!E744</f>
        <v>6</v>
      </c>
      <c r="F740" s="1">
        <f>equip.xml!F744</f>
        <v>3</v>
      </c>
      <c r="G740" s="1">
        <f>equip.xml!G744</f>
        <v>15</v>
      </c>
      <c r="H740" s="1" t="str">
        <f>equip.xml!H744</f>
        <v>2,1002</v>
      </c>
      <c r="I740" s="1">
        <f>equip.xml!J744</f>
        <v>20</v>
      </c>
      <c r="J740" s="1">
        <f>equip.xml!K744</f>
        <v>0</v>
      </c>
      <c r="K740" s="1">
        <f>equip.xml!L744</f>
        <v>10000</v>
      </c>
      <c r="L740" s="1" t="str">
        <f>equip.xml!M744</f>
        <v>108_103_103</v>
      </c>
      <c r="M740" s="7" t="str">
        <f>equip.xml!Q744</f>
        <v>equipment/2204.png</v>
      </c>
      <c r="N740" t="str">
        <f>equip.xml!P744</f>
        <v>10000_1002_15000,30000_30001_1,30000_30002_1,30000_30003_1</v>
      </c>
    </row>
    <row r="741" spans="1:14">
      <c r="A741" s="1" t="str">
        <f>equip.xml!A745</f>
        <v>30152061</v>
      </c>
      <c r="B741" s="1">
        <f>equip.xml!B745</f>
        <v>0</v>
      </c>
      <c r="C741" s="1" t="str">
        <f>equip.xml!C745</f>
        <v>箭筒</v>
      </c>
      <c r="D741" s="1" t="str">
        <f>equip.xml!D745</f>
        <v>副手武器</v>
      </c>
      <c r="E741" s="1">
        <f>equip.xml!E745</f>
        <v>6</v>
      </c>
      <c r="F741" s="1">
        <f>equip.xml!F745</f>
        <v>3</v>
      </c>
      <c r="G741" s="1">
        <f>equip.xml!G745</f>
        <v>15</v>
      </c>
      <c r="H741" s="1" t="str">
        <f>equip.xml!H745</f>
        <v>2,1002</v>
      </c>
      <c r="I741" s="1">
        <f>equip.xml!J745</f>
        <v>20</v>
      </c>
      <c r="J741" s="1">
        <f>equip.xml!K745</f>
        <v>0</v>
      </c>
      <c r="K741" s="1">
        <f>equip.xml!L745</f>
        <v>12500</v>
      </c>
      <c r="L741" s="1" t="str">
        <f>equip.xml!M745</f>
        <v>108_130_130</v>
      </c>
      <c r="M741" s="7" t="str">
        <f>equip.xml!Q745</f>
        <v>equipment/2201.png</v>
      </c>
      <c r="N741" t="str">
        <f>equip.xml!P745</f>
        <v>10000_1002_15000,30000_30001_1,30000_30002_1,30000_30003_1</v>
      </c>
    </row>
    <row r="742" spans="1:14">
      <c r="A742" s="1" t="str">
        <f>equip.xml!A746</f>
        <v>30153050</v>
      </c>
      <c r="B742" s="1">
        <f>equip.xml!B746</f>
        <v>1</v>
      </c>
      <c r="C742" s="1" t="str">
        <f>equip.xml!C746</f>
        <v>风灵法杖</v>
      </c>
      <c r="D742" s="1" t="str">
        <f>equip.xml!D746</f>
        <v>主手武器</v>
      </c>
      <c r="E742" s="1">
        <f>equip.xml!E746</f>
        <v>5</v>
      </c>
      <c r="F742" s="1">
        <f>equip.xml!F746</f>
        <v>3</v>
      </c>
      <c r="G742" s="1">
        <f>equip.xml!G746</f>
        <v>15</v>
      </c>
      <c r="H742" s="1" t="str">
        <f>equip.xml!H746</f>
        <v>3,1003</v>
      </c>
      <c r="I742" s="1">
        <f>equip.xml!J746</f>
        <v>20</v>
      </c>
      <c r="J742" s="1">
        <f>equip.xml!K746</f>
        <v>0</v>
      </c>
      <c r="K742" s="1">
        <f>equip.xml!L746</f>
        <v>10000</v>
      </c>
      <c r="L742" s="1" t="str">
        <f>equip.xml!M746</f>
        <v>103_52_52,104_104_104</v>
      </c>
      <c r="M742" s="7" t="str">
        <f>equip.xml!Q746</f>
        <v>equipment/1307.png</v>
      </c>
      <c r="N742" t="str">
        <f>equip.xml!P746</f>
        <v>10000_1002_15000,30000_30001_1,30000_30002_1,30000_30003_1</v>
      </c>
    </row>
    <row r="743" spans="1:14">
      <c r="A743" s="1" t="str">
        <f>equip.xml!A747</f>
        <v>30153051</v>
      </c>
      <c r="B743" s="1">
        <f>equip.xml!B747</f>
        <v>1</v>
      </c>
      <c r="C743" s="1" t="str">
        <f>equip.xml!C747</f>
        <v>禁锢之杖</v>
      </c>
      <c r="D743" s="1" t="str">
        <f>equip.xml!D747</f>
        <v>主手武器</v>
      </c>
      <c r="E743" s="1">
        <f>equip.xml!E747</f>
        <v>5</v>
      </c>
      <c r="F743" s="1">
        <f>equip.xml!F747</f>
        <v>3</v>
      </c>
      <c r="G743" s="1">
        <f>equip.xml!G747</f>
        <v>15</v>
      </c>
      <c r="H743" s="1" t="str">
        <f>equip.xml!H747</f>
        <v>3,1003</v>
      </c>
      <c r="I743" s="1">
        <f>equip.xml!J747</f>
        <v>20</v>
      </c>
      <c r="J743" s="1">
        <f>equip.xml!K747</f>
        <v>0</v>
      </c>
      <c r="K743" s="1">
        <f>equip.xml!L747</f>
        <v>12500</v>
      </c>
      <c r="L743" s="1" t="str">
        <f>equip.xml!M747</f>
        <v>103_76_76,104_152_152</v>
      </c>
      <c r="M743" s="7" t="str">
        <f>equip.xml!Q747</f>
        <v>equipment/1308.png</v>
      </c>
      <c r="N743" t="str">
        <f>equip.xml!P747</f>
        <v>10000_1002_15000,30000_30001_1,30000_30002_1,30000_30003_1</v>
      </c>
    </row>
    <row r="744" spans="1:14">
      <c r="A744" s="1" t="str">
        <f>equip.xml!A748</f>
        <v>30153060</v>
      </c>
      <c r="B744" s="1">
        <f>equip.xml!B748</f>
        <v>1</v>
      </c>
      <c r="C744" s="1" t="str">
        <f>equip.xml!C748</f>
        <v>秘法之书</v>
      </c>
      <c r="D744" s="1" t="str">
        <f>equip.xml!D748</f>
        <v>副手武器</v>
      </c>
      <c r="E744" s="1">
        <f>equip.xml!E748</f>
        <v>6</v>
      </c>
      <c r="F744" s="1">
        <f>equip.xml!F748</f>
        <v>3</v>
      </c>
      <c r="G744" s="1">
        <f>equip.xml!G748</f>
        <v>15</v>
      </c>
      <c r="H744" s="1" t="str">
        <f>equip.xml!H748</f>
        <v>3,1003</v>
      </c>
      <c r="I744" s="1">
        <f>equip.xml!J748</f>
        <v>20</v>
      </c>
      <c r="J744" s="1">
        <f>equip.xml!K748</f>
        <v>0</v>
      </c>
      <c r="K744" s="1">
        <f>equip.xml!L748</f>
        <v>10000</v>
      </c>
      <c r="L744" s="1" t="str">
        <f>equip.xml!M748</f>
        <v>102_420_420</v>
      </c>
      <c r="M744" s="7" t="str">
        <f>equip.xml!Q748</f>
        <v>equipment/2304.png</v>
      </c>
      <c r="N744" t="str">
        <f>equip.xml!P748</f>
        <v>10000_1002_15000,30000_30001_1,30000_30002_1,30000_30003_1</v>
      </c>
    </row>
    <row r="745" spans="1:14">
      <c r="A745" s="1" t="str">
        <f>equip.xml!A749</f>
        <v>30153061</v>
      </c>
      <c r="B745" s="1">
        <f>equip.xml!B749</f>
        <v>0</v>
      </c>
      <c r="C745" s="1" t="str">
        <f>equip.xml!C749</f>
        <v>法术指南</v>
      </c>
      <c r="D745" s="1" t="str">
        <f>equip.xml!D749</f>
        <v>副手武器</v>
      </c>
      <c r="E745" s="1">
        <f>equip.xml!E749</f>
        <v>6</v>
      </c>
      <c r="F745" s="1">
        <f>equip.xml!F749</f>
        <v>3</v>
      </c>
      <c r="G745" s="1">
        <f>equip.xml!G749</f>
        <v>15</v>
      </c>
      <c r="H745" s="1" t="str">
        <f>equip.xml!H749</f>
        <v>3,1003</v>
      </c>
      <c r="I745" s="1">
        <f>equip.xml!J749</f>
        <v>20</v>
      </c>
      <c r="J745" s="1">
        <f>equip.xml!K749</f>
        <v>0</v>
      </c>
      <c r="K745" s="1">
        <f>equip.xml!L749</f>
        <v>12500</v>
      </c>
      <c r="L745" s="1" t="str">
        <f>equip.xml!M749</f>
        <v>102_472_472</v>
      </c>
      <c r="M745" s="7" t="str">
        <f>equip.xml!Q749</f>
        <v>equipment/2301.png</v>
      </c>
      <c r="N745" t="str">
        <f>equip.xml!P749</f>
        <v>10000_1002_15000,30000_30001_1,30000_30002_1,30000_30003_1</v>
      </c>
    </row>
    <row r="746" spans="1:14">
      <c r="A746" s="1" t="str">
        <f>equip.xml!A750</f>
        <v>30150040</v>
      </c>
      <c r="B746" s="1">
        <f>equip.xml!B750</f>
        <v>1</v>
      </c>
      <c r="C746" s="1" t="str">
        <f>equip.xml!C750</f>
        <v>暗石胸甲</v>
      </c>
      <c r="D746" s="1" t="str">
        <f>equip.xml!D750</f>
        <v>胸甲</v>
      </c>
      <c r="E746" s="1">
        <f>equip.xml!E750</f>
        <v>4</v>
      </c>
      <c r="F746" s="1">
        <f>equip.xml!F750</f>
        <v>3</v>
      </c>
      <c r="G746" s="1">
        <f>equip.xml!G750</f>
        <v>15</v>
      </c>
      <c r="H746" s="1">
        <f>equip.xml!H750</f>
        <v>0</v>
      </c>
      <c r="I746" s="1">
        <f>equip.xml!J750</f>
        <v>20</v>
      </c>
      <c r="J746" s="1">
        <f>equip.xml!K750</f>
        <v>0</v>
      </c>
      <c r="K746" s="1">
        <f>equip.xml!L750</f>
        <v>10000</v>
      </c>
      <c r="L746" s="1" t="str">
        <f>equip.xml!M750</f>
        <v>105_39_39</v>
      </c>
      <c r="M746" s="7" t="str">
        <f>equip.xml!Q750</f>
        <v>equipment/5005.png</v>
      </c>
      <c r="N746" t="str">
        <f>equip.xml!P750</f>
        <v>10000_1002_15000,30000_30001_1,30000_30002_1,30000_30003_1</v>
      </c>
    </row>
    <row r="747" spans="1:14">
      <c r="A747" s="1" t="str">
        <f>equip.xml!A751</f>
        <v>30150041</v>
      </c>
      <c r="B747" s="1">
        <f>equip.xml!B751</f>
        <v>0</v>
      </c>
      <c r="C747" s="1" t="str">
        <f>equip.xml!C751</f>
        <v>新兵外套</v>
      </c>
      <c r="D747" s="1" t="str">
        <f>equip.xml!D751</f>
        <v>胸甲</v>
      </c>
      <c r="E747" s="1">
        <f>equip.xml!E751</f>
        <v>4</v>
      </c>
      <c r="F747" s="1">
        <f>equip.xml!F751</f>
        <v>3</v>
      </c>
      <c r="G747" s="1">
        <f>equip.xml!G751</f>
        <v>15</v>
      </c>
      <c r="H747" s="1">
        <f>equip.xml!H751</f>
        <v>0</v>
      </c>
      <c r="I747" s="1">
        <f>equip.xml!J751</f>
        <v>20</v>
      </c>
      <c r="J747" s="1">
        <f>equip.xml!K751</f>
        <v>0</v>
      </c>
      <c r="K747" s="1">
        <f>equip.xml!L751</f>
        <v>12500</v>
      </c>
      <c r="L747" s="1" t="str">
        <f>equip.xml!M751</f>
        <v>105_64_64</v>
      </c>
      <c r="M747" s="7" t="str">
        <f>equip.xml!Q751</f>
        <v>equipment/5001.png</v>
      </c>
      <c r="N747" t="str">
        <f>equip.xml!P751</f>
        <v>10000_1002_15000,30000_30001_1,30000_30002_1,30000_30003_1</v>
      </c>
    </row>
    <row r="748" spans="1:14">
      <c r="A748" s="1" t="str">
        <f>equip.xml!A752</f>
        <v>30150070</v>
      </c>
      <c r="B748" s="1">
        <f>equip.xml!B752</f>
        <v>1</v>
      </c>
      <c r="C748" s="1" t="str">
        <f>equip.xml!C752</f>
        <v>荒野马裤</v>
      </c>
      <c r="D748" s="1" t="str">
        <f>equip.xml!D752</f>
        <v>护腿</v>
      </c>
      <c r="E748" s="1">
        <f>equip.xml!E752</f>
        <v>7</v>
      </c>
      <c r="F748" s="1">
        <f>equip.xml!F752</f>
        <v>3</v>
      </c>
      <c r="G748" s="1">
        <f>equip.xml!G752</f>
        <v>15</v>
      </c>
      <c r="H748" s="1">
        <f>equip.xml!H752</f>
        <v>0</v>
      </c>
      <c r="I748" s="1">
        <f>equip.xml!J752</f>
        <v>20</v>
      </c>
      <c r="J748" s="1">
        <f>equip.xml!K752</f>
        <v>0</v>
      </c>
      <c r="K748" s="1">
        <f>equip.xml!L752</f>
        <v>10000</v>
      </c>
      <c r="L748" s="1" t="str">
        <f>equip.xml!M752</f>
        <v>105_39_39</v>
      </c>
      <c r="M748" s="7" t="str">
        <f>equip.xml!Q752</f>
        <v>equipment/7003.png</v>
      </c>
      <c r="N748" t="str">
        <f>equip.xml!P752</f>
        <v>10000_1002_15000,30000_30001_1,30000_30002_1,30000_30003_1</v>
      </c>
    </row>
    <row r="749" spans="1:14">
      <c r="A749" s="1" t="str">
        <f>equip.xml!A753</f>
        <v>30150071</v>
      </c>
      <c r="B749" s="1">
        <f>equip.xml!B753</f>
        <v>0</v>
      </c>
      <c r="C749" s="1" t="str">
        <f>equip.xml!C753</f>
        <v>学徒短裤</v>
      </c>
      <c r="D749" s="1" t="str">
        <f>equip.xml!D753</f>
        <v>护腿</v>
      </c>
      <c r="E749" s="1">
        <f>equip.xml!E753</f>
        <v>7</v>
      </c>
      <c r="F749" s="1">
        <f>equip.xml!F753</f>
        <v>3</v>
      </c>
      <c r="G749" s="1">
        <f>equip.xml!G753</f>
        <v>15</v>
      </c>
      <c r="H749" s="1">
        <f>equip.xml!H753</f>
        <v>0</v>
      </c>
      <c r="I749" s="1">
        <f>equip.xml!J753</f>
        <v>20</v>
      </c>
      <c r="J749" s="1">
        <f>equip.xml!K753</f>
        <v>0</v>
      </c>
      <c r="K749" s="1">
        <f>equip.xml!L753</f>
        <v>12500</v>
      </c>
      <c r="L749" s="1" t="str">
        <f>equip.xml!M753</f>
        <v>105_50_50</v>
      </c>
      <c r="M749" s="7" t="str">
        <f>equip.xml!Q753</f>
        <v>equipment/7001.png</v>
      </c>
      <c r="N749" t="str">
        <f>equip.xml!P753</f>
        <v>10000_1002_15000,30000_30001_1,30000_30002_1,30000_30003_1</v>
      </c>
    </row>
    <row r="750" spans="1:14">
      <c r="A750" s="1" t="str">
        <f>equip.xml!A754</f>
        <v>30200010</v>
      </c>
      <c r="B750" s="1">
        <f>equip.xml!B754</f>
        <v>1</v>
      </c>
      <c r="C750" s="1" t="str">
        <f>equip.xml!C754</f>
        <v>卫士头盔</v>
      </c>
      <c r="D750" s="1" t="str">
        <f>equip.xml!D754</f>
        <v>头盔</v>
      </c>
      <c r="E750" s="1">
        <f>equip.xml!E754</f>
        <v>1</v>
      </c>
      <c r="F750" s="1">
        <f>equip.xml!F754</f>
        <v>3</v>
      </c>
      <c r="G750" s="1">
        <f>equip.xml!G754</f>
        <v>20</v>
      </c>
      <c r="H750" s="1">
        <f>equip.xml!H754</f>
        <v>0</v>
      </c>
      <c r="I750" s="1">
        <f>equip.xml!J754</f>
        <v>20</v>
      </c>
      <c r="J750" s="1">
        <f>equip.xml!K754</f>
        <v>0</v>
      </c>
      <c r="K750" s="1">
        <f>equip.xml!L754</f>
        <v>12500</v>
      </c>
      <c r="L750" s="1" t="str">
        <f>equip.xml!M754</f>
        <v>106_136_136</v>
      </c>
      <c r="M750" s="7" t="str">
        <f>equip.xml!Q754</f>
        <v>equipment/3003.png</v>
      </c>
      <c r="N750" t="str">
        <f>equip.xml!P754</f>
        <v>10000_1002_20000,30000_30001_1,30000_30002_1,30000_30003_1</v>
      </c>
    </row>
    <row r="751" spans="1:14">
      <c r="A751" s="1" t="str">
        <f>equip.xml!A755</f>
        <v>30200020</v>
      </c>
      <c r="B751" s="1">
        <f>equip.xml!B755</f>
        <v>1</v>
      </c>
      <c r="C751" s="1" t="str">
        <f>equip.xml!C755</f>
        <v>石岩指环</v>
      </c>
      <c r="D751" s="1" t="str">
        <f>equip.xml!D755</f>
        <v>戒指</v>
      </c>
      <c r="E751" s="1">
        <f>equip.xml!E755</f>
        <v>2</v>
      </c>
      <c r="F751" s="1">
        <f>equip.xml!F755</f>
        <v>3</v>
      </c>
      <c r="G751" s="1">
        <f>equip.xml!G755</f>
        <v>20</v>
      </c>
      <c r="H751" s="1">
        <f>equip.xml!H755</f>
        <v>0</v>
      </c>
      <c r="I751" s="1">
        <f>equip.xml!J755</f>
        <v>20</v>
      </c>
      <c r="J751" s="1">
        <f>equip.xml!K755</f>
        <v>0</v>
      </c>
      <c r="K751" s="1">
        <f>equip.xml!L755</f>
        <v>12500</v>
      </c>
      <c r="L751" s="1" t="str">
        <f>equip.xml!M755</f>
        <v>102_240_240</v>
      </c>
      <c r="M751" s="7" t="str">
        <f>equip.xml!Q755</f>
        <v>equipment/14003.png</v>
      </c>
      <c r="N751" t="str">
        <f>equip.xml!P755</f>
        <v>10000_1002_20000,30000_30001_1,30000_30002_1,30000_30003_1</v>
      </c>
    </row>
    <row r="752" spans="1:14">
      <c r="A752" s="1" t="str">
        <f>equip.xml!A756</f>
        <v>30200030</v>
      </c>
      <c r="B752" s="1">
        <f>equip.xml!B756</f>
        <v>1</v>
      </c>
      <c r="C752" s="1" t="str">
        <f>equip.xml!C756</f>
        <v>战士束带</v>
      </c>
      <c r="D752" s="1" t="str">
        <f>equip.xml!D756</f>
        <v>腰带</v>
      </c>
      <c r="E752" s="1">
        <f>equip.xml!E756</f>
        <v>3</v>
      </c>
      <c r="F752" s="1">
        <f>equip.xml!F756</f>
        <v>3</v>
      </c>
      <c r="G752" s="1">
        <f>equip.xml!G756</f>
        <v>20</v>
      </c>
      <c r="H752" s="1">
        <f>equip.xml!H756</f>
        <v>0</v>
      </c>
      <c r="I752" s="1">
        <f>equip.xml!J756</f>
        <v>20</v>
      </c>
      <c r="J752" s="1">
        <f>equip.xml!K756</f>
        <v>0</v>
      </c>
      <c r="K752" s="1">
        <f>equip.xml!L756</f>
        <v>12500</v>
      </c>
      <c r="L752" s="1" t="str">
        <f>equip.xml!M756</f>
        <v>101_2120_2120</v>
      </c>
      <c r="M752" s="7" t="str">
        <f>equip.xml!Q756</f>
        <v>equipment/6004.png</v>
      </c>
      <c r="N752" t="str">
        <f>equip.xml!P756</f>
        <v>10000_1002_20000,30000_30001_1,30000_30002_1,30000_30003_1</v>
      </c>
    </row>
    <row r="753" spans="1:14">
      <c r="A753" s="1" t="str">
        <f>equip.xml!A757</f>
        <v>30200080</v>
      </c>
      <c r="B753" s="1">
        <f>equip.xml!B757</f>
        <v>0</v>
      </c>
      <c r="C753" s="1" t="str">
        <f>equip.xml!C757</f>
        <v>皮靴</v>
      </c>
      <c r="D753" s="1" t="str">
        <f>equip.xml!D757</f>
        <v>鞋子</v>
      </c>
      <c r="E753" s="1">
        <f>equip.xml!E757</f>
        <v>8</v>
      </c>
      <c r="F753" s="1">
        <f>equip.xml!F757</f>
        <v>3</v>
      </c>
      <c r="G753" s="1">
        <f>equip.xml!G757</f>
        <v>20</v>
      </c>
      <c r="H753" s="1">
        <f>equip.xml!H757</f>
        <v>0</v>
      </c>
      <c r="I753" s="1">
        <f>equip.xml!J757</f>
        <v>20</v>
      </c>
      <c r="J753" s="1">
        <f>equip.xml!K757</f>
        <v>0</v>
      </c>
      <c r="K753" s="1">
        <f>equip.xml!L757</f>
        <v>12500</v>
      </c>
      <c r="L753" s="1" t="str">
        <f>equip.xml!M757</f>
        <v>110_40_40</v>
      </c>
      <c r="M753" s="7" t="str">
        <f>equip.xml!Q757</f>
        <v>equipment/8001.png</v>
      </c>
      <c r="N753" t="str">
        <f>equip.xml!P757</f>
        <v>10000_1002_20000,30000_30001_1,30000_30002_1,30000_30003_1</v>
      </c>
    </row>
    <row r="754" spans="1:14">
      <c r="A754" s="1" t="str">
        <f>equip.xml!A758</f>
        <v>30200090</v>
      </c>
      <c r="B754" s="1">
        <f>equip.xml!B758</f>
        <v>1</v>
      </c>
      <c r="C754" s="1" t="str">
        <f>equip.xml!C758</f>
        <v>工程手套</v>
      </c>
      <c r="D754" s="1" t="str">
        <f>equip.xml!D758</f>
        <v>手套</v>
      </c>
      <c r="E754" s="1">
        <f>equip.xml!E758</f>
        <v>9</v>
      </c>
      <c r="F754" s="1">
        <f>equip.xml!F758</f>
        <v>3</v>
      </c>
      <c r="G754" s="1">
        <f>equip.xml!G758</f>
        <v>20</v>
      </c>
      <c r="H754" s="1">
        <f>equip.xml!H758</f>
        <v>0</v>
      </c>
      <c r="I754" s="1">
        <f>equip.xml!J758</f>
        <v>20</v>
      </c>
      <c r="J754" s="1">
        <f>equip.xml!K758</f>
        <v>0</v>
      </c>
      <c r="K754" s="1">
        <f>equip.xml!L758</f>
        <v>12500</v>
      </c>
      <c r="L754" s="1" t="str">
        <f>equip.xml!M758</f>
        <v>108_211_211</v>
      </c>
      <c r="M754" s="7" t="str">
        <f>equip.xml!Q758</f>
        <v>equipment/10004.png</v>
      </c>
      <c r="N754" t="str">
        <f>equip.xml!P758</f>
        <v>10000_1002_20000,30000_30001_1,30000_30002_1,30000_30003_1</v>
      </c>
    </row>
    <row r="755" spans="1:14">
      <c r="A755" s="1" t="str">
        <f>equip.xml!A759</f>
        <v>30200100</v>
      </c>
      <c r="B755" s="1">
        <f>equip.xml!B759</f>
        <v>1</v>
      </c>
      <c r="C755" s="1" t="str">
        <f>equip.xml!C759</f>
        <v>翡翠项链</v>
      </c>
      <c r="D755" s="1" t="str">
        <f>equip.xml!D759</f>
        <v>项链</v>
      </c>
      <c r="E755" s="1">
        <f>equip.xml!E759</f>
        <v>10</v>
      </c>
      <c r="F755" s="1">
        <f>equip.xml!F759</f>
        <v>3</v>
      </c>
      <c r="G755" s="1">
        <f>equip.xml!G759</f>
        <v>20</v>
      </c>
      <c r="H755" s="1">
        <f>equip.xml!H759</f>
        <v>0</v>
      </c>
      <c r="I755" s="1">
        <f>equip.xml!J759</f>
        <v>20</v>
      </c>
      <c r="J755" s="1">
        <f>equip.xml!K759</f>
        <v>0</v>
      </c>
      <c r="K755" s="1">
        <f>equip.xml!L759</f>
        <v>12500</v>
      </c>
      <c r="L755" s="1" t="str">
        <f>equip.xml!M759</f>
        <v>107_136_136</v>
      </c>
      <c r="M755" s="7" t="str">
        <f>equip.xml!Q759</f>
        <v>equipment/12003.png</v>
      </c>
      <c r="N755" t="str">
        <f>equip.xml!P759</f>
        <v>10000_1002_20000,30000_30001_1,30000_30002_1,30000_30003_1</v>
      </c>
    </row>
    <row r="756" spans="1:14">
      <c r="A756" s="1" t="str">
        <f>equip.xml!A760</f>
        <v>30201050</v>
      </c>
      <c r="B756" s="1">
        <f>equip.xml!B760</f>
        <v>1</v>
      </c>
      <c r="C756" s="1" t="str">
        <f>equip.xml!C760</f>
        <v>勇者长剑</v>
      </c>
      <c r="D756" s="1" t="str">
        <f>equip.xml!D760</f>
        <v>主手武器</v>
      </c>
      <c r="E756" s="1">
        <f>equip.xml!E760</f>
        <v>5</v>
      </c>
      <c r="F756" s="1">
        <f>equip.xml!F760</f>
        <v>3</v>
      </c>
      <c r="G756" s="1">
        <f>equip.xml!G760</f>
        <v>20</v>
      </c>
      <c r="H756" s="1" t="str">
        <f>equip.xml!H760</f>
        <v>1,1001</v>
      </c>
      <c r="I756" s="1">
        <f>equip.xml!J760</f>
        <v>20</v>
      </c>
      <c r="J756" s="1">
        <f>equip.xml!K760</f>
        <v>0</v>
      </c>
      <c r="K756" s="1">
        <f>equip.xml!L760</f>
        <v>12500</v>
      </c>
      <c r="L756" s="1" t="str">
        <f>equip.xml!M760</f>
        <v>103_113_113,104_226_226</v>
      </c>
      <c r="M756" s="7" t="str">
        <f>equip.xml!Q760</f>
        <v>equipment/1109.png</v>
      </c>
      <c r="N756" t="str">
        <f>equip.xml!P760</f>
        <v>10000_1002_20000,30000_30001_1,30000_30002_1,30000_30003_1</v>
      </c>
    </row>
    <row r="757" spans="1:14">
      <c r="A757" s="1" t="str">
        <f>equip.xml!A761</f>
        <v>30201051</v>
      </c>
      <c r="B757" s="1">
        <f>equip.xml!B761</f>
        <v>0</v>
      </c>
      <c r="C757" s="1" t="str">
        <f>equip.xml!C761</f>
        <v>军刀</v>
      </c>
      <c r="D757" s="1" t="str">
        <f>equip.xml!D761</f>
        <v>主手武器</v>
      </c>
      <c r="E757" s="1">
        <f>equip.xml!E761</f>
        <v>5</v>
      </c>
      <c r="F757" s="1">
        <f>equip.xml!F761</f>
        <v>3</v>
      </c>
      <c r="G757" s="1">
        <f>equip.xml!G761</f>
        <v>20</v>
      </c>
      <c r="H757" s="1" t="str">
        <f>equip.xml!H761</f>
        <v>1,1001</v>
      </c>
      <c r="I757" s="1">
        <f>equip.xml!J761</f>
        <v>20</v>
      </c>
      <c r="J757" s="1">
        <f>equip.xml!K761</f>
        <v>0</v>
      </c>
      <c r="K757" s="1">
        <f>equip.xml!L761</f>
        <v>15000</v>
      </c>
      <c r="L757" s="1" t="str">
        <f>equip.xml!M761</f>
        <v>103_138_138,104_276_276</v>
      </c>
      <c r="M757" s="7" t="str">
        <f>equip.xml!Q761</f>
        <v>equipment/1101.png</v>
      </c>
      <c r="N757" t="str">
        <f>equip.xml!P761</f>
        <v>10000_1002_20000,30000_30001_1,30000_30002_1,30000_30003_1</v>
      </c>
    </row>
    <row r="758" spans="1:14">
      <c r="A758" s="1" t="str">
        <f>equip.xml!A762</f>
        <v>30201060</v>
      </c>
      <c r="B758" s="1">
        <f>equip.xml!B762</f>
        <v>1</v>
      </c>
      <c r="C758" s="1" t="str">
        <f>equip.xml!C762</f>
        <v>护卫之盾</v>
      </c>
      <c r="D758" s="1" t="str">
        <f>equip.xml!D762</f>
        <v>副手武器</v>
      </c>
      <c r="E758" s="1">
        <f>equip.xml!E762</f>
        <v>6</v>
      </c>
      <c r="F758" s="1">
        <f>equip.xml!F762</f>
        <v>3</v>
      </c>
      <c r="G758" s="1">
        <f>equip.xml!G762</f>
        <v>20</v>
      </c>
      <c r="H758" s="1" t="str">
        <f>equip.xml!H762</f>
        <v>1,1001</v>
      </c>
      <c r="I758" s="1">
        <f>equip.xml!J762</f>
        <v>20</v>
      </c>
      <c r="J758" s="1">
        <f>equip.xml!K762</f>
        <v>0</v>
      </c>
      <c r="K758" s="1">
        <f>equip.xml!L762</f>
        <v>12500</v>
      </c>
      <c r="L758" s="1" t="str">
        <f>equip.xml!M762</f>
        <v>105_171_171</v>
      </c>
      <c r="M758" s="7" t="str">
        <f>equip.xml!Q762</f>
        <v>equipment/2104.png</v>
      </c>
      <c r="N758" t="str">
        <f>equip.xml!P762</f>
        <v>10000_1002_20000,30000_30001_1,30000_30002_1,30000_30003_1</v>
      </c>
    </row>
    <row r="759" spans="1:14">
      <c r="A759" s="1" t="str">
        <f>equip.xml!A763</f>
        <v>30201061</v>
      </c>
      <c r="B759" s="1">
        <f>equip.xml!B763</f>
        <v>0</v>
      </c>
      <c r="C759" s="1" t="str">
        <f>equip.xml!C763</f>
        <v>尖头盾</v>
      </c>
      <c r="D759" s="1" t="str">
        <f>equip.xml!D763</f>
        <v>副手武器</v>
      </c>
      <c r="E759" s="1">
        <f>equip.xml!E763</f>
        <v>6</v>
      </c>
      <c r="F759" s="1">
        <f>equip.xml!F763</f>
        <v>3</v>
      </c>
      <c r="G759" s="1">
        <f>equip.xml!G763</f>
        <v>20</v>
      </c>
      <c r="H759" s="1" t="str">
        <f>equip.xml!H763</f>
        <v>1,1001</v>
      </c>
      <c r="I759" s="1">
        <f>equip.xml!J763</f>
        <v>20</v>
      </c>
      <c r="J759" s="1">
        <f>equip.xml!K763</f>
        <v>0</v>
      </c>
      <c r="K759" s="1">
        <f>equip.xml!L763</f>
        <v>15000</v>
      </c>
      <c r="L759" s="1" t="str">
        <f>equip.xml!M763</f>
        <v>105_205_205</v>
      </c>
      <c r="M759" s="7" t="str">
        <f>equip.xml!Q763</f>
        <v>equipment/2101.png</v>
      </c>
      <c r="N759" t="str">
        <f>equip.xml!P763</f>
        <v>10000_1002_20000,30000_30001_1,30000_30002_1,30000_30003_1</v>
      </c>
    </row>
    <row r="760" spans="1:14">
      <c r="A760" s="1" t="str">
        <f>equip.xml!A764</f>
        <v>30202050</v>
      </c>
      <c r="B760" s="1">
        <f>equip.xml!B764</f>
        <v>1</v>
      </c>
      <c r="C760" s="1" t="str">
        <f>equip.xml!C764</f>
        <v>护卫之弓</v>
      </c>
      <c r="D760" s="1" t="str">
        <f>equip.xml!D764</f>
        <v>主手武器</v>
      </c>
      <c r="E760" s="1">
        <f>equip.xml!E764</f>
        <v>5</v>
      </c>
      <c r="F760" s="1">
        <f>equip.xml!F764</f>
        <v>3</v>
      </c>
      <c r="G760" s="1">
        <f>equip.xml!G764</f>
        <v>20</v>
      </c>
      <c r="H760" s="1" t="str">
        <f>equip.xml!H764</f>
        <v>2,1002</v>
      </c>
      <c r="I760" s="1">
        <f>equip.xml!J764</f>
        <v>20</v>
      </c>
      <c r="J760" s="1">
        <f>equip.xml!K764</f>
        <v>0</v>
      </c>
      <c r="K760" s="1">
        <f>equip.xml!L764</f>
        <v>12500</v>
      </c>
      <c r="L760" s="1" t="str">
        <f>equip.xml!M764</f>
        <v>103_113_113,104_226_226</v>
      </c>
      <c r="M760" s="7" t="str">
        <f>equip.xml!Q764</f>
        <v>equipment/1209.png</v>
      </c>
      <c r="N760" t="str">
        <f>equip.xml!P764</f>
        <v>10000_1002_20000,30000_30001_1,30000_30002_1,30000_30003_1</v>
      </c>
    </row>
    <row r="761" spans="1:14">
      <c r="A761" s="1" t="str">
        <f>equip.xml!A765</f>
        <v>30202051</v>
      </c>
      <c r="B761" s="1">
        <f>equip.xml!B765</f>
        <v>0</v>
      </c>
      <c r="C761" s="1" t="str">
        <f>equip.xml!C765</f>
        <v>棘木弓</v>
      </c>
      <c r="D761" s="1" t="str">
        <f>equip.xml!D765</f>
        <v>主手武器</v>
      </c>
      <c r="E761" s="1">
        <f>equip.xml!E765</f>
        <v>5</v>
      </c>
      <c r="F761" s="1">
        <f>equip.xml!F765</f>
        <v>3</v>
      </c>
      <c r="G761" s="1">
        <f>equip.xml!G765</f>
        <v>20</v>
      </c>
      <c r="H761" s="1" t="str">
        <f>equip.xml!H765</f>
        <v>2,1002</v>
      </c>
      <c r="I761" s="1">
        <f>equip.xml!J765</f>
        <v>20</v>
      </c>
      <c r="J761" s="1">
        <f>equip.xml!K765</f>
        <v>0</v>
      </c>
      <c r="K761" s="1">
        <f>equip.xml!L765</f>
        <v>15000</v>
      </c>
      <c r="L761" s="1" t="str">
        <f>equip.xml!M765</f>
        <v>103_138_138,104_276_276</v>
      </c>
      <c r="M761" s="7" t="str">
        <f>equip.xml!Q765</f>
        <v>equipment/1201.png</v>
      </c>
      <c r="N761" t="str">
        <f>equip.xml!P765</f>
        <v>10000_1002_20000,30000_30001_1,30000_30002_1,30000_30003_1</v>
      </c>
    </row>
    <row r="762" spans="1:14">
      <c r="A762" s="1" t="str">
        <f>equip.xml!A766</f>
        <v>30202060</v>
      </c>
      <c r="B762" s="1">
        <f>equip.xml!B766</f>
        <v>1</v>
      </c>
      <c r="C762" s="1" t="str">
        <f>equip.xml!C766</f>
        <v>狩猎箭筒</v>
      </c>
      <c r="D762" s="1" t="str">
        <f>equip.xml!D766</f>
        <v>副手武器</v>
      </c>
      <c r="E762" s="1">
        <f>equip.xml!E766</f>
        <v>6</v>
      </c>
      <c r="F762" s="1">
        <f>equip.xml!F766</f>
        <v>3</v>
      </c>
      <c r="G762" s="1">
        <f>equip.xml!G766</f>
        <v>20</v>
      </c>
      <c r="H762" s="1" t="str">
        <f>equip.xml!H766</f>
        <v>2,1002</v>
      </c>
      <c r="I762" s="1">
        <f>equip.xml!J766</f>
        <v>20</v>
      </c>
      <c r="J762" s="1">
        <f>equip.xml!K766</f>
        <v>0</v>
      </c>
      <c r="K762" s="1">
        <f>equip.xml!L766</f>
        <v>12500</v>
      </c>
      <c r="L762" s="1" t="str">
        <f>equip.xml!M766</f>
        <v>108_171_171</v>
      </c>
      <c r="M762" s="7" t="str">
        <f>equip.xml!Q766</f>
        <v>equipment/2205.png</v>
      </c>
      <c r="N762" t="str">
        <f>equip.xml!P766</f>
        <v>10000_1002_20000,30000_30001_1,30000_30002_1,30000_30003_1</v>
      </c>
    </row>
    <row r="763" spans="1:14">
      <c r="A763" s="1" t="str">
        <f>equip.xml!A767</f>
        <v>30202061</v>
      </c>
      <c r="B763" s="1">
        <f>equip.xml!B767</f>
        <v>0</v>
      </c>
      <c r="C763" s="1" t="str">
        <f>equip.xml!C767</f>
        <v>箭筒</v>
      </c>
      <c r="D763" s="1" t="str">
        <f>equip.xml!D767</f>
        <v>副手武器</v>
      </c>
      <c r="E763" s="1">
        <f>equip.xml!E767</f>
        <v>6</v>
      </c>
      <c r="F763" s="1">
        <f>equip.xml!F767</f>
        <v>3</v>
      </c>
      <c r="G763" s="1">
        <f>equip.xml!G767</f>
        <v>20</v>
      </c>
      <c r="H763" s="1" t="str">
        <f>equip.xml!H767</f>
        <v>2,1002</v>
      </c>
      <c r="I763" s="1">
        <f>equip.xml!J767</f>
        <v>20</v>
      </c>
      <c r="J763" s="1">
        <f>equip.xml!K767</f>
        <v>0</v>
      </c>
      <c r="K763" s="1">
        <f>equip.xml!L767</f>
        <v>15000</v>
      </c>
      <c r="L763" s="1" t="str">
        <f>equip.xml!M767</f>
        <v>108_205_205</v>
      </c>
      <c r="M763" s="7" t="str">
        <f>equip.xml!Q767</f>
        <v>equipment/2201.png</v>
      </c>
      <c r="N763" t="str">
        <f>equip.xml!P767</f>
        <v>10000_1002_20000,30000_30001_1,30000_30002_1,30000_30003_1</v>
      </c>
    </row>
    <row r="764" spans="1:14">
      <c r="A764" s="1" t="str">
        <f>equip.xml!A768</f>
        <v>30203050</v>
      </c>
      <c r="B764" s="1">
        <f>equip.xml!B768</f>
        <v>1</v>
      </c>
      <c r="C764" s="1" t="str">
        <f>equip.xml!C768</f>
        <v>保护法杖</v>
      </c>
      <c r="D764" s="1" t="str">
        <f>equip.xml!D768</f>
        <v>主手武器</v>
      </c>
      <c r="E764" s="1">
        <f>equip.xml!E768</f>
        <v>5</v>
      </c>
      <c r="F764" s="1">
        <f>equip.xml!F768</f>
        <v>3</v>
      </c>
      <c r="G764" s="1">
        <f>equip.xml!G768</f>
        <v>20</v>
      </c>
      <c r="H764" s="1" t="str">
        <f>equip.xml!H768</f>
        <v>3,1003</v>
      </c>
      <c r="I764" s="1">
        <f>equip.xml!J768</f>
        <v>20</v>
      </c>
      <c r="J764" s="1">
        <f>equip.xml!K768</f>
        <v>0</v>
      </c>
      <c r="K764" s="1">
        <f>equip.xml!L768</f>
        <v>12500</v>
      </c>
      <c r="L764" s="1" t="str">
        <f>equip.xml!M768</f>
        <v>103_113_113,104_226_226</v>
      </c>
      <c r="M764" s="7" t="str">
        <f>equip.xml!Q768</f>
        <v>equipment/1309.png</v>
      </c>
      <c r="N764" t="str">
        <f>equip.xml!P768</f>
        <v>10000_1002_20000,30000_30001_1,30000_30002_1,30000_30003_1</v>
      </c>
    </row>
    <row r="765" spans="1:14">
      <c r="A765" s="1" t="str">
        <f>equip.xml!A769</f>
        <v>30203051</v>
      </c>
      <c r="B765" s="1">
        <f>equip.xml!B769</f>
        <v>1</v>
      </c>
      <c r="C765" s="1" t="str">
        <f>equip.xml!C769</f>
        <v>火石法杖</v>
      </c>
      <c r="D765" s="1" t="str">
        <f>equip.xml!D769</f>
        <v>主手武器</v>
      </c>
      <c r="E765" s="1">
        <f>equip.xml!E769</f>
        <v>5</v>
      </c>
      <c r="F765" s="1">
        <f>equip.xml!F769</f>
        <v>3</v>
      </c>
      <c r="G765" s="1">
        <f>equip.xml!G769</f>
        <v>20</v>
      </c>
      <c r="H765" s="1" t="str">
        <f>equip.xml!H769</f>
        <v>3,1003</v>
      </c>
      <c r="I765" s="1">
        <f>equip.xml!J769</f>
        <v>20</v>
      </c>
      <c r="J765" s="1">
        <f>equip.xml!K769</f>
        <v>0</v>
      </c>
      <c r="K765" s="1">
        <f>equip.xml!L769</f>
        <v>15000</v>
      </c>
      <c r="L765" s="1" t="str">
        <f>equip.xml!M769</f>
        <v>103_138_138,104_276_276</v>
      </c>
      <c r="M765" s="7" t="str">
        <f>equip.xml!Q769</f>
        <v>equipment/1310.png</v>
      </c>
      <c r="N765" t="str">
        <f>equip.xml!P769</f>
        <v>10000_1002_20000,30000_30001_1,30000_30002_1,30000_30003_1</v>
      </c>
    </row>
    <row r="766" spans="1:14">
      <c r="A766" s="1" t="str">
        <f>equip.xml!A770</f>
        <v>30203060</v>
      </c>
      <c r="B766" s="1">
        <f>equip.xml!B770</f>
        <v>1</v>
      </c>
      <c r="C766" s="1" t="str">
        <f>equip.xml!C770</f>
        <v>奥义之书</v>
      </c>
      <c r="D766" s="1" t="str">
        <f>equip.xml!D770</f>
        <v>副手武器</v>
      </c>
      <c r="E766" s="1">
        <f>equip.xml!E770</f>
        <v>6</v>
      </c>
      <c r="F766" s="1">
        <f>equip.xml!F770</f>
        <v>3</v>
      </c>
      <c r="G766" s="1">
        <f>equip.xml!G770</f>
        <v>20</v>
      </c>
      <c r="H766" s="1" t="str">
        <f>equip.xml!H770</f>
        <v>3,1003</v>
      </c>
      <c r="I766" s="1">
        <f>equip.xml!J770</f>
        <v>20</v>
      </c>
      <c r="J766" s="1">
        <f>equip.xml!K770</f>
        <v>0</v>
      </c>
      <c r="K766" s="1">
        <f>equip.xml!L770</f>
        <v>12500</v>
      </c>
      <c r="L766" s="1" t="str">
        <f>equip.xml!M770</f>
        <v>102_550_550</v>
      </c>
      <c r="M766" s="7" t="str">
        <f>equip.xml!Q770</f>
        <v>equipment/2305.png</v>
      </c>
      <c r="N766" t="str">
        <f>equip.xml!P770</f>
        <v>10000_1002_20000,30000_30001_1,30000_30002_1,30000_30003_1</v>
      </c>
    </row>
    <row r="767" spans="1:14">
      <c r="A767" s="1" t="str">
        <f>equip.xml!A771</f>
        <v>30203061</v>
      </c>
      <c r="B767" s="1">
        <f>equip.xml!B771</f>
        <v>0</v>
      </c>
      <c r="C767" s="1" t="str">
        <f>equip.xml!C771</f>
        <v>法术指南</v>
      </c>
      <c r="D767" s="1" t="str">
        <f>equip.xml!D771</f>
        <v>副手武器</v>
      </c>
      <c r="E767" s="1">
        <f>equip.xml!E771</f>
        <v>6</v>
      </c>
      <c r="F767" s="1">
        <f>equip.xml!F771</f>
        <v>3</v>
      </c>
      <c r="G767" s="1">
        <f>equip.xml!G771</f>
        <v>20</v>
      </c>
      <c r="H767" s="1" t="str">
        <f>equip.xml!H771</f>
        <v>3,1003</v>
      </c>
      <c r="I767" s="1">
        <f>equip.xml!J771</f>
        <v>20</v>
      </c>
      <c r="J767" s="1">
        <f>equip.xml!K771</f>
        <v>0</v>
      </c>
      <c r="K767" s="1">
        <f>equip.xml!L771</f>
        <v>15000</v>
      </c>
      <c r="L767" s="1" t="str">
        <f>equip.xml!M771</f>
        <v>102_606_606</v>
      </c>
      <c r="M767" s="7" t="str">
        <f>equip.xml!Q771</f>
        <v>equipment/2301.png</v>
      </c>
      <c r="N767" t="str">
        <f>equip.xml!P771</f>
        <v>10000_1002_20000,30000_30001_1,30000_30002_1,30000_30003_1</v>
      </c>
    </row>
    <row r="768" spans="1:14">
      <c r="A768" s="1" t="str">
        <f>equip.xml!A772</f>
        <v>30200040</v>
      </c>
      <c r="B768" s="1">
        <f>equip.xml!B772</f>
        <v>1</v>
      </c>
      <c r="C768" s="1" t="str">
        <f>equip.xml!C772</f>
        <v>卫兵胸甲</v>
      </c>
      <c r="D768" s="1" t="str">
        <f>equip.xml!D772</f>
        <v>胸甲</v>
      </c>
      <c r="E768" s="1">
        <f>equip.xml!E772</f>
        <v>4</v>
      </c>
      <c r="F768" s="1">
        <f>equip.xml!F772</f>
        <v>3</v>
      </c>
      <c r="G768" s="1">
        <f>equip.xml!G772</f>
        <v>20</v>
      </c>
      <c r="H768" s="1">
        <f>equip.xml!H772</f>
        <v>0</v>
      </c>
      <c r="I768" s="1">
        <f>equip.xml!J772</f>
        <v>20</v>
      </c>
      <c r="J768" s="1">
        <f>equip.xml!K772</f>
        <v>0</v>
      </c>
      <c r="K768" s="1">
        <f>equip.xml!L772</f>
        <v>12500</v>
      </c>
      <c r="L768" s="1" t="str">
        <f>equip.xml!M772</f>
        <v>105_102_102</v>
      </c>
      <c r="M768" s="7" t="str">
        <f>equip.xml!Q772</f>
        <v>equipment/5004.png</v>
      </c>
      <c r="N768" t="str">
        <f>equip.xml!P772</f>
        <v>10000_1002_20000,30000_30001_1,30000_30002_1,30000_30003_1</v>
      </c>
    </row>
    <row r="769" spans="1:14">
      <c r="A769" s="1" t="str">
        <f>equip.xml!A773</f>
        <v>30200041</v>
      </c>
      <c r="B769" s="1">
        <f>equip.xml!B773</f>
        <v>1</v>
      </c>
      <c r="C769" s="1" t="str">
        <f>equip.xml!C773</f>
        <v>银月护甲</v>
      </c>
      <c r="D769" s="1" t="str">
        <f>equip.xml!D773</f>
        <v>胸甲</v>
      </c>
      <c r="E769" s="1">
        <f>equip.xml!E773</f>
        <v>4</v>
      </c>
      <c r="F769" s="1">
        <f>equip.xml!F773</f>
        <v>3</v>
      </c>
      <c r="G769" s="1">
        <f>equip.xml!G773</f>
        <v>20</v>
      </c>
      <c r="H769" s="1">
        <f>equip.xml!H773</f>
        <v>0</v>
      </c>
      <c r="I769" s="1">
        <f>equip.xml!J773</f>
        <v>20</v>
      </c>
      <c r="J769" s="1">
        <f>equip.xml!K773</f>
        <v>0</v>
      </c>
      <c r="K769" s="1">
        <f>equip.xml!L773</f>
        <v>15000</v>
      </c>
      <c r="L769" s="1" t="str">
        <f>equip.xml!M773</f>
        <v>105_122_122</v>
      </c>
      <c r="M769" s="7" t="str">
        <f>equip.xml!Q773</f>
        <v>equipment/5006.png</v>
      </c>
      <c r="N769" t="str">
        <f>equip.xml!P773</f>
        <v>10000_1002_20000,30000_30001_1,30000_30002_1,30000_30003_1</v>
      </c>
    </row>
    <row r="770" spans="1:14">
      <c r="A770" s="1" t="str">
        <f>equip.xml!A774</f>
        <v>30200070</v>
      </c>
      <c r="B770" s="1">
        <f>equip.xml!B774</f>
        <v>1</v>
      </c>
      <c r="C770" s="1" t="str">
        <f>equip.xml!C774</f>
        <v>手工长裤</v>
      </c>
      <c r="D770" s="1" t="str">
        <f>equip.xml!D774</f>
        <v>护腿</v>
      </c>
      <c r="E770" s="1">
        <f>equip.xml!E774</f>
        <v>7</v>
      </c>
      <c r="F770" s="1">
        <f>equip.xml!F774</f>
        <v>3</v>
      </c>
      <c r="G770" s="1">
        <f>equip.xml!G774</f>
        <v>20</v>
      </c>
      <c r="H770" s="1">
        <f>equip.xml!H774</f>
        <v>0</v>
      </c>
      <c r="I770" s="1">
        <f>equip.xml!J774</f>
        <v>20</v>
      </c>
      <c r="J770" s="1">
        <f>equip.xml!K774</f>
        <v>0</v>
      </c>
      <c r="K770" s="1">
        <f>equip.xml!L774</f>
        <v>12500</v>
      </c>
      <c r="L770" s="1" t="str">
        <f>equip.xml!M774</f>
        <v>105_66_66</v>
      </c>
      <c r="M770" s="7" t="str">
        <f>equip.xml!Q774</f>
        <v>equipment/7005.png</v>
      </c>
      <c r="N770" t="str">
        <f>equip.xml!P774</f>
        <v>10000_1002_20000,30000_30001_1,30000_30002_1,30000_30003_1</v>
      </c>
    </row>
    <row r="771" spans="1:14">
      <c r="A771" s="1" t="str">
        <f>equip.xml!A775</f>
        <v>30200071</v>
      </c>
      <c r="B771" s="1">
        <f>equip.xml!B775</f>
        <v>1</v>
      </c>
      <c r="C771" s="1" t="str">
        <f>equip.xml!C775</f>
        <v>链甲护腿</v>
      </c>
      <c r="D771" s="1" t="str">
        <f>equip.xml!D775</f>
        <v>护腿</v>
      </c>
      <c r="E771" s="1">
        <f>equip.xml!E775</f>
        <v>7</v>
      </c>
      <c r="F771" s="1">
        <f>equip.xml!F775</f>
        <v>3</v>
      </c>
      <c r="G771" s="1">
        <f>equip.xml!G775</f>
        <v>20</v>
      </c>
      <c r="H771" s="1">
        <f>equip.xml!H775</f>
        <v>0</v>
      </c>
      <c r="I771" s="1">
        <f>equip.xml!J775</f>
        <v>20</v>
      </c>
      <c r="J771" s="1">
        <f>equip.xml!K775</f>
        <v>0</v>
      </c>
      <c r="K771" s="1">
        <f>equip.xml!L775</f>
        <v>15000</v>
      </c>
      <c r="L771" s="1" t="str">
        <f>equip.xml!M775</f>
        <v>105_81_81</v>
      </c>
      <c r="M771" s="7" t="str">
        <f>equip.xml!Q775</f>
        <v>equipment/7004.png</v>
      </c>
      <c r="N771" t="str">
        <f>equip.xml!P775</f>
        <v>10000_1002_20000,30000_30001_1,30000_30002_1,30000_30003_1</v>
      </c>
    </row>
    <row r="772" spans="1:14">
      <c r="A772" s="1" t="str">
        <f>equip.xml!A776</f>
        <v>30250010</v>
      </c>
      <c r="B772" s="1">
        <f>equip.xml!B776</f>
        <v>1</v>
      </c>
      <c r="C772" s="1" t="str">
        <f>equip.xml!C776</f>
        <v>盔帽</v>
      </c>
      <c r="D772" s="1" t="str">
        <f>equip.xml!D776</f>
        <v>头盔</v>
      </c>
      <c r="E772" s="1">
        <f>equip.xml!E776</f>
        <v>1</v>
      </c>
      <c r="F772" s="1">
        <f>equip.xml!F776</f>
        <v>3</v>
      </c>
      <c r="G772" s="1">
        <f>equip.xml!G776</f>
        <v>25</v>
      </c>
      <c r="H772" s="1">
        <f>equip.xml!H776</f>
        <v>0</v>
      </c>
      <c r="I772" s="1">
        <f>equip.xml!J776</f>
        <v>20</v>
      </c>
      <c r="J772" s="1">
        <f>equip.xml!K776</f>
        <v>0</v>
      </c>
      <c r="K772" s="1">
        <f>equip.xml!L776</f>
        <v>15000</v>
      </c>
      <c r="L772" s="1" t="str">
        <f>equip.xml!M776</f>
        <v>106_237_237</v>
      </c>
      <c r="M772" s="7" t="str">
        <f>equip.xml!Q776</f>
        <v>equipment/3005.png</v>
      </c>
      <c r="N772" t="str">
        <f>equip.xml!P776</f>
        <v>10000_1002_25000,30000_30001_1,30000_30002_1,30000_30003_1</v>
      </c>
    </row>
    <row r="773" spans="1:14">
      <c r="A773" s="1" t="str">
        <f>equip.xml!A777</f>
        <v>30250020</v>
      </c>
      <c r="B773" s="1">
        <f>equip.xml!B777</f>
        <v>1</v>
      </c>
      <c r="C773" s="1" t="str">
        <f>equip.xml!C777</f>
        <v>血岩戒指</v>
      </c>
      <c r="D773" s="1" t="str">
        <f>equip.xml!D777</f>
        <v>戒指</v>
      </c>
      <c r="E773" s="1">
        <f>equip.xml!E777</f>
        <v>2</v>
      </c>
      <c r="F773" s="1">
        <f>equip.xml!F777</f>
        <v>3</v>
      </c>
      <c r="G773" s="1">
        <f>equip.xml!G777</f>
        <v>25</v>
      </c>
      <c r="H773" s="1">
        <f>equip.xml!H777</f>
        <v>0</v>
      </c>
      <c r="I773" s="1">
        <f>equip.xml!J777</f>
        <v>20</v>
      </c>
      <c r="J773" s="1">
        <f>equip.xml!K777</f>
        <v>0</v>
      </c>
      <c r="K773" s="1">
        <f>equip.xml!L777</f>
        <v>15000</v>
      </c>
      <c r="L773" s="1" t="str">
        <f>equip.xml!M777</f>
        <v>102_330_330</v>
      </c>
      <c r="M773" s="7" t="str">
        <f>equip.xml!Q777</f>
        <v>equipment/14004.png</v>
      </c>
      <c r="N773" t="str">
        <f>equip.xml!P777</f>
        <v>10000_1002_25000,30000_30001_1,30000_30002_1,30000_30003_1</v>
      </c>
    </row>
    <row r="774" spans="1:14">
      <c r="A774" s="1" t="str">
        <f>equip.xml!A778</f>
        <v>30250030</v>
      </c>
      <c r="B774" s="1">
        <f>equip.xml!B778</f>
        <v>1</v>
      </c>
      <c r="C774" s="1" t="str">
        <f>equip.xml!C778</f>
        <v>前锋腰带</v>
      </c>
      <c r="D774" s="1" t="str">
        <f>equip.xml!D778</f>
        <v>腰带</v>
      </c>
      <c r="E774" s="1">
        <f>equip.xml!E778</f>
        <v>3</v>
      </c>
      <c r="F774" s="1">
        <f>equip.xml!F778</f>
        <v>3</v>
      </c>
      <c r="G774" s="1">
        <f>equip.xml!G778</f>
        <v>25</v>
      </c>
      <c r="H774" s="1">
        <f>equip.xml!H778</f>
        <v>0</v>
      </c>
      <c r="I774" s="1">
        <f>equip.xml!J778</f>
        <v>20</v>
      </c>
      <c r="J774" s="1">
        <f>equip.xml!K778</f>
        <v>0</v>
      </c>
      <c r="K774" s="1">
        <f>equip.xml!L778</f>
        <v>15000</v>
      </c>
      <c r="L774" s="1" t="str">
        <f>equip.xml!M778</f>
        <v>101_3360_3360</v>
      </c>
      <c r="M774" s="7" t="str">
        <f>equip.xml!Q778</f>
        <v>equipment/6005.png</v>
      </c>
      <c r="N774" t="str">
        <f>equip.xml!P778</f>
        <v>10000_1002_25000,30000_30001_1,30000_30002_1,30000_30003_1</v>
      </c>
    </row>
    <row r="775" spans="1:14">
      <c r="A775" s="1" t="str">
        <f>equip.xml!A779</f>
        <v>30250080</v>
      </c>
      <c r="B775" s="1">
        <f>equip.xml!B779</f>
        <v>1</v>
      </c>
      <c r="C775" s="1" t="str">
        <f>equip.xml!C779</f>
        <v>探寻者之靴</v>
      </c>
      <c r="D775" s="1" t="str">
        <f>equip.xml!D779</f>
        <v>鞋子</v>
      </c>
      <c r="E775" s="1">
        <f>equip.xml!E779</f>
        <v>8</v>
      </c>
      <c r="F775" s="1">
        <f>equip.xml!F779</f>
        <v>3</v>
      </c>
      <c r="G775" s="1">
        <f>equip.xml!G779</f>
        <v>25</v>
      </c>
      <c r="H775" s="1">
        <f>equip.xml!H779</f>
        <v>0</v>
      </c>
      <c r="I775" s="1">
        <f>equip.xml!J779</f>
        <v>20</v>
      </c>
      <c r="J775" s="1">
        <f>equip.xml!K779</f>
        <v>0</v>
      </c>
      <c r="K775" s="1">
        <f>equip.xml!L779</f>
        <v>15000</v>
      </c>
      <c r="L775" s="1" t="str">
        <f>equip.xml!M779</f>
        <v>110_40_40</v>
      </c>
      <c r="M775" s="7" t="str">
        <f>equip.xml!Q779</f>
        <v>equipment/8004.png</v>
      </c>
      <c r="N775" t="str">
        <f>equip.xml!P779</f>
        <v>10000_1002_25000,30000_30001_1,30000_30002_1,30000_30003_1</v>
      </c>
    </row>
    <row r="776" spans="1:14">
      <c r="A776" s="1" t="str">
        <f>equip.xml!A780</f>
        <v>30250090</v>
      </c>
      <c r="B776" s="1">
        <f>equip.xml!B780</f>
        <v>0</v>
      </c>
      <c r="C776" s="1" t="str">
        <f>equip.xml!C780</f>
        <v>轻布手套</v>
      </c>
      <c r="D776" s="1" t="str">
        <f>equip.xml!D780</f>
        <v>手套</v>
      </c>
      <c r="E776" s="1">
        <f>equip.xml!E780</f>
        <v>9</v>
      </c>
      <c r="F776" s="1">
        <f>equip.xml!F780</f>
        <v>3</v>
      </c>
      <c r="G776" s="1">
        <f>equip.xml!G780</f>
        <v>25</v>
      </c>
      <c r="H776" s="1">
        <f>equip.xml!H780</f>
        <v>0</v>
      </c>
      <c r="I776" s="1">
        <f>equip.xml!J780</f>
        <v>20</v>
      </c>
      <c r="J776" s="1">
        <f>equip.xml!K780</f>
        <v>0</v>
      </c>
      <c r="K776" s="1">
        <f>equip.xml!L780</f>
        <v>15000</v>
      </c>
      <c r="L776" s="1" t="str">
        <f>equip.xml!M780</f>
        <v>108_286_286</v>
      </c>
      <c r="M776" s="7" t="str">
        <f>equip.xml!Q780</f>
        <v>equipment/10001.png</v>
      </c>
      <c r="N776" t="str">
        <f>equip.xml!P780</f>
        <v>10000_1002_25000,30000_30001_1,30000_30002_1,30000_30003_1</v>
      </c>
    </row>
    <row r="777" spans="1:14">
      <c r="A777" s="1" t="str">
        <f>equip.xml!A781</f>
        <v>30250100</v>
      </c>
      <c r="B777" s="1">
        <f>equip.xml!B781</f>
        <v>1</v>
      </c>
      <c r="C777" s="1" t="str">
        <f>equip.xml!C781</f>
        <v>魔光项链</v>
      </c>
      <c r="D777" s="1" t="str">
        <f>equip.xml!D781</f>
        <v>项链</v>
      </c>
      <c r="E777" s="1">
        <f>equip.xml!E781</f>
        <v>10</v>
      </c>
      <c r="F777" s="1">
        <f>equip.xml!F781</f>
        <v>3</v>
      </c>
      <c r="G777" s="1">
        <f>equip.xml!G781</f>
        <v>25</v>
      </c>
      <c r="H777" s="1">
        <f>equip.xml!H781</f>
        <v>0</v>
      </c>
      <c r="I777" s="1">
        <f>equip.xml!J781</f>
        <v>20</v>
      </c>
      <c r="J777" s="1">
        <f>equip.xml!K781</f>
        <v>0</v>
      </c>
      <c r="K777" s="1">
        <f>equip.xml!L781</f>
        <v>15000</v>
      </c>
      <c r="L777" s="1" t="str">
        <f>equip.xml!M781</f>
        <v>107_237_237</v>
      </c>
      <c r="M777" s="7" t="str">
        <f>equip.xml!Q781</f>
        <v>equipment/12004.png</v>
      </c>
      <c r="N777" t="str">
        <f>equip.xml!P781</f>
        <v>10000_1002_25000,30000_30001_1,30000_30002_1,30000_30003_1</v>
      </c>
    </row>
    <row r="778" spans="1:14">
      <c r="A778" s="1" t="str">
        <f>equip.xml!A782</f>
        <v>30251050</v>
      </c>
      <c r="B778" s="1">
        <f>equip.xml!B782</f>
        <v>1</v>
      </c>
      <c r="C778" s="1" t="str">
        <f>equip.xml!C782</f>
        <v>血刃</v>
      </c>
      <c r="D778" s="1" t="str">
        <f>equip.xml!D782</f>
        <v>主手武器</v>
      </c>
      <c r="E778" s="1">
        <f>equip.xml!E782</f>
        <v>5</v>
      </c>
      <c r="F778" s="1">
        <f>equip.xml!F782</f>
        <v>3</v>
      </c>
      <c r="G778" s="1">
        <f>equip.xml!G782</f>
        <v>25</v>
      </c>
      <c r="H778" s="1" t="str">
        <f>equip.xml!H782</f>
        <v>1,1001</v>
      </c>
      <c r="I778" s="1">
        <f>equip.xml!J782</f>
        <v>20</v>
      </c>
      <c r="J778" s="1">
        <f>equip.xml!K782</f>
        <v>0</v>
      </c>
      <c r="K778" s="1">
        <f>equip.xml!L782</f>
        <v>15000</v>
      </c>
      <c r="L778" s="1" t="str">
        <f>equip.xml!M782</f>
        <v>103_177_177,104_354_354</v>
      </c>
      <c r="M778" s="7" t="str">
        <f>equip.xml!Q782</f>
        <v>equipment/1110.png</v>
      </c>
      <c r="N778" t="str">
        <f>equip.xml!P782</f>
        <v>10000_1002_25000,30000_30001_1,30000_30002_1,30000_30003_1</v>
      </c>
    </row>
    <row r="779" spans="1:14">
      <c r="A779" s="1" t="str">
        <f>equip.xml!A783</f>
        <v>30251051</v>
      </c>
      <c r="B779" s="1">
        <f>equip.xml!B783</f>
        <v>1</v>
      </c>
      <c r="C779" s="1" t="str">
        <f>equip.xml!C783</f>
        <v>游侠利刃</v>
      </c>
      <c r="D779" s="1" t="str">
        <f>equip.xml!D783</f>
        <v>主手武器</v>
      </c>
      <c r="E779" s="1">
        <f>equip.xml!E783</f>
        <v>5</v>
      </c>
      <c r="F779" s="1">
        <f>equip.xml!F783</f>
        <v>3</v>
      </c>
      <c r="G779" s="1">
        <f>equip.xml!G783</f>
        <v>25</v>
      </c>
      <c r="H779" s="1" t="str">
        <f>equip.xml!H783</f>
        <v>1,1001</v>
      </c>
      <c r="I779" s="1">
        <f>equip.xml!J783</f>
        <v>20</v>
      </c>
      <c r="J779" s="1">
        <f>equip.xml!K783</f>
        <v>0</v>
      </c>
      <c r="K779" s="1">
        <f>equip.xml!L783</f>
        <v>17500</v>
      </c>
      <c r="L779" s="1" t="str">
        <f>equip.xml!M783</f>
        <v>103_216_216,104_432_432</v>
      </c>
      <c r="M779" s="7" t="str">
        <f>equip.xml!Q783</f>
        <v>equipment/1111.png</v>
      </c>
      <c r="N779" t="str">
        <f>equip.xml!P783</f>
        <v>10000_1002_25000,30000_30001_1,30000_30002_1,30000_30003_1</v>
      </c>
    </row>
    <row r="780" spans="1:14">
      <c r="A780" s="1" t="str">
        <f>equip.xml!A784</f>
        <v>30251060</v>
      </c>
      <c r="B780" s="1">
        <f>equip.xml!B784</f>
        <v>1</v>
      </c>
      <c r="C780" s="1" t="str">
        <f>equip.xml!C784</f>
        <v>坚固重盾</v>
      </c>
      <c r="D780" s="1" t="str">
        <f>equip.xml!D784</f>
        <v>副手武器</v>
      </c>
      <c r="E780" s="1">
        <f>equip.xml!E784</f>
        <v>6</v>
      </c>
      <c r="F780" s="1">
        <f>equip.xml!F784</f>
        <v>3</v>
      </c>
      <c r="G780" s="1">
        <f>equip.xml!G784</f>
        <v>25</v>
      </c>
      <c r="H780" s="1" t="str">
        <f>equip.xml!H784</f>
        <v>1,1001</v>
      </c>
      <c r="I780" s="1">
        <f>equip.xml!J784</f>
        <v>20</v>
      </c>
      <c r="J780" s="1">
        <f>equip.xml!K784</f>
        <v>0</v>
      </c>
      <c r="K780" s="1">
        <f>equip.xml!L784</f>
        <v>15000</v>
      </c>
      <c r="L780" s="1" t="str">
        <f>equip.xml!M784</f>
        <v>105_256_256</v>
      </c>
      <c r="M780" s="7" t="str">
        <f>equip.xml!Q784</f>
        <v>equipment/2106.png</v>
      </c>
      <c r="N780" t="str">
        <f>equip.xml!P784</f>
        <v>10000_1002_25000,30000_30001_1,30000_30002_1,30000_30003_1</v>
      </c>
    </row>
    <row r="781" spans="1:14">
      <c r="A781" s="1" t="str">
        <f>equip.xml!A785</f>
        <v>30251061</v>
      </c>
      <c r="B781" s="1">
        <f>equip.xml!B785</f>
        <v>0</v>
      </c>
      <c r="C781" s="1" t="str">
        <f>equip.xml!C785</f>
        <v>尖头盾</v>
      </c>
      <c r="D781" s="1" t="str">
        <f>equip.xml!D785</f>
        <v>副手武器</v>
      </c>
      <c r="E781" s="1">
        <f>equip.xml!E785</f>
        <v>6</v>
      </c>
      <c r="F781" s="1">
        <f>equip.xml!F785</f>
        <v>3</v>
      </c>
      <c r="G781" s="1">
        <f>equip.xml!G785</f>
        <v>25</v>
      </c>
      <c r="H781" s="1" t="str">
        <f>equip.xml!H785</f>
        <v>1,1001</v>
      </c>
      <c r="I781" s="1">
        <f>equip.xml!J785</f>
        <v>20</v>
      </c>
      <c r="J781" s="1">
        <f>equip.xml!K785</f>
        <v>0</v>
      </c>
      <c r="K781" s="1">
        <f>equip.xml!L785</f>
        <v>17500</v>
      </c>
      <c r="L781" s="1" t="str">
        <f>equip.xml!M785</f>
        <v>105_301_301</v>
      </c>
      <c r="M781" s="7" t="str">
        <f>equip.xml!Q785</f>
        <v>equipment/2101.png</v>
      </c>
      <c r="N781" t="str">
        <f>equip.xml!P785</f>
        <v>10000_1002_25000,30000_30001_1,30000_30002_1,30000_30003_1</v>
      </c>
    </row>
    <row r="782" spans="1:14">
      <c r="A782" s="1" t="str">
        <f>equip.xml!A786</f>
        <v>30252050</v>
      </c>
      <c r="B782" s="1">
        <f>equip.xml!B786</f>
        <v>1</v>
      </c>
      <c r="C782" s="1" t="str">
        <f>equip.xml!C786</f>
        <v>精准之弓</v>
      </c>
      <c r="D782" s="1" t="str">
        <f>equip.xml!D786</f>
        <v>主手武器</v>
      </c>
      <c r="E782" s="1">
        <f>equip.xml!E786</f>
        <v>5</v>
      </c>
      <c r="F782" s="1">
        <f>equip.xml!F786</f>
        <v>3</v>
      </c>
      <c r="G782" s="1">
        <f>equip.xml!G786</f>
        <v>25</v>
      </c>
      <c r="H782" s="1" t="str">
        <f>equip.xml!H786</f>
        <v>2,1002</v>
      </c>
      <c r="I782" s="1">
        <f>equip.xml!J786</f>
        <v>20</v>
      </c>
      <c r="J782" s="1">
        <f>equip.xml!K786</f>
        <v>0</v>
      </c>
      <c r="K782" s="1">
        <f>equip.xml!L786</f>
        <v>15000</v>
      </c>
      <c r="L782" s="1" t="str">
        <f>equip.xml!M786</f>
        <v>103_177_177,104_354_354</v>
      </c>
      <c r="M782" s="7" t="str">
        <f>equip.xml!Q786</f>
        <v>equipment/1210.png</v>
      </c>
      <c r="N782" t="str">
        <f>equip.xml!P786</f>
        <v>10000_1002_25000,30000_30001_1,30000_30002_1,30000_30003_1</v>
      </c>
    </row>
    <row r="783" spans="1:14">
      <c r="A783" s="1" t="str">
        <f>equip.xml!A787</f>
        <v>30252051</v>
      </c>
      <c r="B783" s="1">
        <f>equip.xml!B787</f>
        <v>1</v>
      </c>
      <c r="C783" s="1" t="str">
        <f>equip.xml!C787</f>
        <v>行者弯弓</v>
      </c>
      <c r="D783" s="1" t="str">
        <f>equip.xml!D787</f>
        <v>主手武器</v>
      </c>
      <c r="E783" s="1">
        <f>equip.xml!E787</f>
        <v>5</v>
      </c>
      <c r="F783" s="1">
        <f>equip.xml!F787</f>
        <v>3</v>
      </c>
      <c r="G783" s="1">
        <f>equip.xml!G787</f>
        <v>25</v>
      </c>
      <c r="H783" s="1" t="str">
        <f>equip.xml!H787</f>
        <v>2,1002</v>
      </c>
      <c r="I783" s="1">
        <f>equip.xml!J787</f>
        <v>20</v>
      </c>
      <c r="J783" s="1">
        <f>equip.xml!K787</f>
        <v>0</v>
      </c>
      <c r="K783" s="1">
        <f>equip.xml!L787</f>
        <v>17500</v>
      </c>
      <c r="L783" s="1" t="str">
        <f>equip.xml!M787</f>
        <v>103_216_216,104_432_432</v>
      </c>
      <c r="M783" s="7" t="str">
        <f>equip.xml!Q787</f>
        <v>equipment/1215.png</v>
      </c>
      <c r="N783" t="str">
        <f>equip.xml!P787</f>
        <v>10000_1002_25000,30000_30001_1,30000_30002_1,30000_30003_1</v>
      </c>
    </row>
    <row r="784" spans="1:14">
      <c r="A784" s="1" t="str">
        <f>equip.xml!A788</f>
        <v>30252060</v>
      </c>
      <c r="B784" s="1">
        <f>equip.xml!B788</f>
        <v>1</v>
      </c>
      <c r="C784" s="1" t="str">
        <f>equip.xml!C788</f>
        <v>刺客箭筒</v>
      </c>
      <c r="D784" s="1" t="str">
        <f>equip.xml!D788</f>
        <v>副手武器</v>
      </c>
      <c r="E784" s="1">
        <f>equip.xml!E788</f>
        <v>6</v>
      </c>
      <c r="F784" s="1">
        <f>equip.xml!F788</f>
        <v>3</v>
      </c>
      <c r="G784" s="1">
        <f>equip.xml!G788</f>
        <v>25</v>
      </c>
      <c r="H784" s="1" t="str">
        <f>equip.xml!H788</f>
        <v>2,1002</v>
      </c>
      <c r="I784" s="1">
        <f>equip.xml!J788</f>
        <v>20</v>
      </c>
      <c r="J784" s="1">
        <f>equip.xml!K788</f>
        <v>0</v>
      </c>
      <c r="K784" s="1">
        <f>equip.xml!L788</f>
        <v>15000</v>
      </c>
      <c r="L784" s="1" t="str">
        <f>equip.xml!M788</f>
        <v>108_256_256</v>
      </c>
      <c r="M784" s="7" t="str">
        <f>equip.xml!Q788</f>
        <v>equipment/2206.png</v>
      </c>
      <c r="N784" t="str">
        <f>equip.xml!P788</f>
        <v>10000_1002_25000,30000_30001_1,30000_30002_1,30000_30003_1</v>
      </c>
    </row>
    <row r="785" spans="1:14">
      <c r="A785" s="1" t="str">
        <f>equip.xml!A789</f>
        <v>30252061</v>
      </c>
      <c r="B785" s="1">
        <f>equip.xml!B789</f>
        <v>0</v>
      </c>
      <c r="C785" s="1" t="str">
        <f>equip.xml!C789</f>
        <v>箭筒</v>
      </c>
      <c r="D785" s="1" t="str">
        <f>equip.xml!D789</f>
        <v>副手武器</v>
      </c>
      <c r="E785" s="1">
        <f>equip.xml!E789</f>
        <v>6</v>
      </c>
      <c r="F785" s="1">
        <f>equip.xml!F789</f>
        <v>3</v>
      </c>
      <c r="G785" s="1">
        <f>equip.xml!G789</f>
        <v>25</v>
      </c>
      <c r="H785" s="1" t="str">
        <f>equip.xml!H789</f>
        <v>2,1002</v>
      </c>
      <c r="I785" s="1">
        <f>equip.xml!J789</f>
        <v>20</v>
      </c>
      <c r="J785" s="1">
        <f>equip.xml!K789</f>
        <v>0</v>
      </c>
      <c r="K785" s="1">
        <f>equip.xml!L789</f>
        <v>17500</v>
      </c>
      <c r="L785" s="1" t="str">
        <f>equip.xml!M789</f>
        <v>108_301_301</v>
      </c>
      <c r="M785" s="7" t="str">
        <f>equip.xml!Q789</f>
        <v>equipment/2201.png</v>
      </c>
      <c r="N785" t="str">
        <f>equip.xml!P789</f>
        <v>10000_1002_25000,30000_30001_1,30000_30002_1,30000_30003_1</v>
      </c>
    </row>
    <row r="786" spans="1:14">
      <c r="A786" s="1" t="str">
        <f>equip.xml!A790</f>
        <v>30253050</v>
      </c>
      <c r="B786" s="1">
        <f>equip.xml!B790</f>
        <v>1</v>
      </c>
      <c r="C786" s="1" t="str">
        <f>equip.xml!C790</f>
        <v>预言法杖</v>
      </c>
      <c r="D786" s="1" t="str">
        <f>equip.xml!D790</f>
        <v>主手武器</v>
      </c>
      <c r="E786" s="1">
        <f>equip.xml!E790</f>
        <v>5</v>
      </c>
      <c r="F786" s="1">
        <f>equip.xml!F790</f>
        <v>3</v>
      </c>
      <c r="G786" s="1">
        <f>equip.xml!G790</f>
        <v>25</v>
      </c>
      <c r="H786" s="1" t="str">
        <f>equip.xml!H790</f>
        <v>3,1003</v>
      </c>
      <c r="I786" s="1">
        <f>equip.xml!J790</f>
        <v>20</v>
      </c>
      <c r="J786" s="1">
        <f>equip.xml!K790</f>
        <v>0</v>
      </c>
      <c r="K786" s="1">
        <f>equip.xml!L790</f>
        <v>15000</v>
      </c>
      <c r="L786" s="1" t="str">
        <f>equip.xml!M790</f>
        <v>103_177_177,104_354_354</v>
      </c>
      <c r="M786" s="7" t="str">
        <f>equip.xml!Q790</f>
        <v>equipment/1311.png</v>
      </c>
      <c r="N786" t="str">
        <f>equip.xml!P790</f>
        <v>10000_1002_25000,30000_30001_1,30000_30002_1,30000_30003_1</v>
      </c>
    </row>
    <row r="787" spans="1:14">
      <c r="A787" s="1" t="str">
        <f>equip.xml!A791</f>
        <v>30253051</v>
      </c>
      <c r="B787" s="1">
        <f>equip.xml!B791</f>
        <v>0</v>
      </c>
      <c r="C787" s="1" t="str">
        <f>equip.xml!C791</f>
        <v>荒骨法杖</v>
      </c>
      <c r="D787" s="1" t="str">
        <f>equip.xml!D791</f>
        <v>主手武器</v>
      </c>
      <c r="E787" s="1">
        <f>equip.xml!E791</f>
        <v>5</v>
      </c>
      <c r="F787" s="1">
        <f>equip.xml!F791</f>
        <v>3</v>
      </c>
      <c r="G787" s="1">
        <f>equip.xml!G791</f>
        <v>25</v>
      </c>
      <c r="H787" s="1" t="str">
        <f>equip.xml!H791</f>
        <v>3,1003</v>
      </c>
      <c r="I787" s="1">
        <f>equip.xml!J791</f>
        <v>20</v>
      </c>
      <c r="J787" s="1">
        <f>equip.xml!K791</f>
        <v>0</v>
      </c>
      <c r="K787" s="1">
        <f>equip.xml!L791</f>
        <v>17500</v>
      </c>
      <c r="L787" s="1" t="str">
        <f>equip.xml!M791</f>
        <v>103_216_216,104_432_432</v>
      </c>
      <c r="M787" s="7" t="str">
        <f>equip.xml!Q791</f>
        <v>equipment/1312.png</v>
      </c>
      <c r="N787" t="str">
        <f>equip.xml!P791</f>
        <v>10000_1002_25000,30000_30001_1,30000_30002_1,30000_30003_1</v>
      </c>
    </row>
    <row r="788" spans="1:14">
      <c r="A788" s="1" t="str">
        <f>equip.xml!A792</f>
        <v>30253060</v>
      </c>
      <c r="B788" s="1">
        <f>equip.xml!B792</f>
        <v>1</v>
      </c>
      <c r="C788" s="1" t="str">
        <f>equip.xml!C792</f>
        <v>魔法秘典</v>
      </c>
      <c r="D788" s="1" t="str">
        <f>equip.xml!D792</f>
        <v>副手武器</v>
      </c>
      <c r="E788" s="1">
        <f>equip.xml!E792</f>
        <v>6</v>
      </c>
      <c r="F788" s="1">
        <f>equip.xml!F792</f>
        <v>3</v>
      </c>
      <c r="G788" s="1">
        <f>equip.xml!G792</f>
        <v>25</v>
      </c>
      <c r="H788" s="1" t="str">
        <f>equip.xml!H792</f>
        <v>3,1003</v>
      </c>
      <c r="I788" s="1">
        <f>equip.xml!J792</f>
        <v>20</v>
      </c>
      <c r="J788" s="1">
        <f>equip.xml!K792</f>
        <v>0</v>
      </c>
      <c r="K788" s="1">
        <f>equip.xml!L792</f>
        <v>15000</v>
      </c>
      <c r="L788" s="1" t="str">
        <f>equip.xml!M792</f>
        <v>102_690_690</v>
      </c>
      <c r="M788" s="7" t="str">
        <f>equip.xml!Q792</f>
        <v>equipment/2306.png</v>
      </c>
      <c r="N788" t="str">
        <f>equip.xml!P792</f>
        <v>10000_1002_25000,30000_30001_1,30000_30002_1,30000_30003_1</v>
      </c>
    </row>
    <row r="789" spans="1:14">
      <c r="A789" s="1" t="str">
        <f>equip.xml!A793</f>
        <v>30253061</v>
      </c>
      <c r="B789" s="1">
        <f>equip.xml!B793</f>
        <v>0</v>
      </c>
      <c r="C789" s="1" t="str">
        <f>equip.xml!C793</f>
        <v>法术指南</v>
      </c>
      <c r="D789" s="1" t="str">
        <f>equip.xml!D793</f>
        <v>副手武器</v>
      </c>
      <c r="E789" s="1">
        <f>equip.xml!E793</f>
        <v>6</v>
      </c>
      <c r="F789" s="1">
        <f>equip.xml!F793</f>
        <v>3</v>
      </c>
      <c r="G789" s="1">
        <f>equip.xml!G793</f>
        <v>25</v>
      </c>
      <c r="H789" s="1" t="str">
        <f>equip.xml!H793</f>
        <v>3,1003</v>
      </c>
      <c r="I789" s="1">
        <f>equip.xml!J793</f>
        <v>20</v>
      </c>
      <c r="J789" s="1">
        <f>equip.xml!K793</f>
        <v>0</v>
      </c>
      <c r="K789" s="1">
        <f>equip.xml!L793</f>
        <v>17500</v>
      </c>
      <c r="L789" s="1" t="str">
        <f>equip.xml!M793</f>
        <v>102_301_301</v>
      </c>
      <c r="M789" s="7" t="str">
        <f>equip.xml!Q793</f>
        <v>equipment/2301.png</v>
      </c>
      <c r="N789" t="str">
        <f>equip.xml!P793</f>
        <v>10000_1002_25000,30000_30001_1,30000_30002_1,30000_30003_1</v>
      </c>
    </row>
    <row r="790" spans="1:14">
      <c r="A790" s="1" t="str">
        <f>equip.xml!A794</f>
        <v>30250040</v>
      </c>
      <c r="B790" s="1">
        <f>equip.xml!B794</f>
        <v>1</v>
      </c>
      <c r="C790" s="1" t="str">
        <f>equip.xml!C794</f>
        <v>烙铁胸甲</v>
      </c>
      <c r="D790" s="1" t="str">
        <f>equip.xml!D794</f>
        <v>胸甲</v>
      </c>
      <c r="E790" s="1">
        <f>equip.xml!E794</f>
        <v>4</v>
      </c>
      <c r="F790" s="1">
        <f>equip.xml!F794</f>
        <v>3</v>
      </c>
      <c r="G790" s="1">
        <f>equip.xml!G794</f>
        <v>25</v>
      </c>
      <c r="H790" s="1">
        <f>equip.xml!H794</f>
        <v>0</v>
      </c>
      <c r="I790" s="1">
        <f>equip.xml!J794</f>
        <v>20</v>
      </c>
      <c r="J790" s="1">
        <f>equip.xml!K794</f>
        <v>0</v>
      </c>
      <c r="K790" s="1">
        <f>equip.xml!L794</f>
        <v>15000</v>
      </c>
      <c r="L790" s="1" t="str">
        <f>equip.xml!M794</f>
        <v>105_153_153</v>
      </c>
      <c r="M790" s="7" t="str">
        <f>equip.xml!Q794</f>
        <v>equipment/5007.png</v>
      </c>
      <c r="N790" t="str">
        <f>equip.xml!P794</f>
        <v>10000_1002_25000,30000_30001_1,30000_30002_1,30000_30003_1</v>
      </c>
    </row>
    <row r="791" spans="1:14">
      <c r="A791" s="1" t="str">
        <f>equip.xml!A795</f>
        <v>30250041</v>
      </c>
      <c r="B791" s="1">
        <f>equip.xml!B795</f>
        <v>0</v>
      </c>
      <c r="C791" s="1" t="str">
        <f>equip.xml!C795</f>
        <v>新兵外套</v>
      </c>
      <c r="D791" s="1" t="str">
        <f>equip.xml!D795</f>
        <v>胸甲</v>
      </c>
      <c r="E791" s="1">
        <f>equip.xml!E795</f>
        <v>4</v>
      </c>
      <c r="F791" s="1">
        <f>equip.xml!F795</f>
        <v>3</v>
      </c>
      <c r="G791" s="1">
        <f>equip.xml!G795</f>
        <v>25</v>
      </c>
      <c r="H791" s="1">
        <f>equip.xml!H795</f>
        <v>0</v>
      </c>
      <c r="I791" s="1">
        <f>equip.xml!J795</f>
        <v>20</v>
      </c>
      <c r="J791" s="1">
        <f>equip.xml!K795</f>
        <v>0</v>
      </c>
      <c r="K791" s="1">
        <f>equip.xml!L795</f>
        <v>17500</v>
      </c>
      <c r="L791" s="1" t="str">
        <f>equip.xml!M795</f>
        <v>105_178_178</v>
      </c>
      <c r="M791" s="7" t="str">
        <f>equip.xml!Q795</f>
        <v>equipment/5001.png</v>
      </c>
      <c r="N791" t="str">
        <f>equip.xml!P795</f>
        <v>10000_1002_25000,30000_30001_1,30000_30002_1,30000_30003_1</v>
      </c>
    </row>
    <row r="792" spans="1:14">
      <c r="A792" s="1" t="str">
        <f>equip.xml!A796</f>
        <v>30250070</v>
      </c>
      <c r="B792" s="1">
        <f>equip.xml!B796</f>
        <v>1</v>
      </c>
      <c r="C792" s="1" t="str">
        <f>equip.xml!C796</f>
        <v>勇气腿甲</v>
      </c>
      <c r="D792" s="1" t="str">
        <f>equip.xml!D796</f>
        <v>护腿</v>
      </c>
      <c r="E792" s="1">
        <f>equip.xml!E796</f>
        <v>7</v>
      </c>
      <c r="F792" s="1">
        <f>equip.xml!F796</f>
        <v>3</v>
      </c>
      <c r="G792" s="1">
        <f>equip.xml!G796</f>
        <v>25</v>
      </c>
      <c r="H792" s="1">
        <f>equip.xml!H796</f>
        <v>0</v>
      </c>
      <c r="I792" s="1">
        <f>equip.xml!J796</f>
        <v>20</v>
      </c>
      <c r="J792" s="1">
        <f>equip.xml!K796</f>
        <v>0</v>
      </c>
      <c r="K792" s="1">
        <f>equip.xml!L796</f>
        <v>15000</v>
      </c>
      <c r="L792" s="1" t="str">
        <f>equip.xml!M796</f>
        <v>105_104_104</v>
      </c>
      <c r="M792" s="7" t="str">
        <f>equip.xml!Q796</f>
        <v>equipment/7006.png</v>
      </c>
      <c r="N792" t="str">
        <f>equip.xml!P796</f>
        <v>10000_1002_25000,30000_30001_1,30000_30002_1,30000_30003_1</v>
      </c>
    </row>
    <row r="793" spans="1:14">
      <c r="A793" s="1" t="str">
        <f>equip.xml!A797</f>
        <v>30250071</v>
      </c>
      <c r="B793" s="1">
        <f>equip.xml!B797</f>
        <v>0</v>
      </c>
      <c r="C793" s="1" t="str">
        <f>equip.xml!C797</f>
        <v>学徒短裤</v>
      </c>
      <c r="D793" s="1" t="str">
        <f>equip.xml!D797</f>
        <v>护腿</v>
      </c>
      <c r="E793" s="1">
        <f>equip.xml!E797</f>
        <v>7</v>
      </c>
      <c r="F793" s="1">
        <f>equip.xml!F797</f>
        <v>3</v>
      </c>
      <c r="G793" s="1">
        <f>equip.xml!G797</f>
        <v>25</v>
      </c>
      <c r="H793" s="1">
        <f>equip.xml!H797</f>
        <v>0</v>
      </c>
      <c r="I793" s="1">
        <f>equip.xml!J797</f>
        <v>20</v>
      </c>
      <c r="J793" s="1">
        <f>equip.xml!K797</f>
        <v>0</v>
      </c>
      <c r="K793" s="1">
        <f>equip.xml!L797</f>
        <v>17500</v>
      </c>
      <c r="L793" s="1" t="str">
        <f>equip.xml!M797</f>
        <v>105_149_149</v>
      </c>
      <c r="M793" s="7" t="str">
        <f>equip.xml!Q797</f>
        <v>equipment/7001.png</v>
      </c>
      <c r="N793" t="str">
        <f>equip.xml!P797</f>
        <v>10000_1002_25000,30000_30001_1,30000_30002_1,30000_30003_1</v>
      </c>
    </row>
    <row r="794" spans="1:14">
      <c r="A794" s="1" t="str">
        <f>equip.xml!A798</f>
        <v>30300010</v>
      </c>
      <c r="B794" s="1">
        <f>equip.xml!B798</f>
        <v>1</v>
      </c>
      <c r="C794" s="1" t="str">
        <f>equip.xml!C798</f>
        <v>双链罩帽</v>
      </c>
      <c r="D794" s="1" t="str">
        <f>equip.xml!D798</f>
        <v>头盔</v>
      </c>
      <c r="E794" s="1">
        <f>equip.xml!E798</f>
        <v>1</v>
      </c>
      <c r="F794" s="1">
        <f>equip.xml!F798</f>
        <v>3</v>
      </c>
      <c r="G794" s="1">
        <f>equip.xml!G798</f>
        <v>30</v>
      </c>
      <c r="H794" s="1">
        <f>equip.xml!H798</f>
        <v>0</v>
      </c>
      <c r="I794" s="1">
        <f>equip.xml!J798</f>
        <v>20</v>
      </c>
      <c r="J794" s="1">
        <f>equip.xml!K798</f>
        <v>0</v>
      </c>
      <c r="K794" s="1">
        <f>equip.xml!L798</f>
        <v>17500</v>
      </c>
      <c r="L794" s="1" t="str">
        <f>equip.xml!M798</f>
        <v>106_372_372</v>
      </c>
      <c r="M794" s="7" t="str">
        <f>equip.xml!Q798</f>
        <v>equipment/3004.png</v>
      </c>
      <c r="N794" t="str">
        <f>equip.xml!P798</f>
        <v>10000_1002_30000,30000_30001_1,30000_30002_1,30000_30003_1</v>
      </c>
    </row>
    <row r="795" spans="1:14">
      <c r="A795" s="1" t="str">
        <f>equip.xml!A799</f>
        <v>30300020</v>
      </c>
      <c r="B795" s="1">
        <f>equip.xml!B799</f>
        <v>1</v>
      </c>
      <c r="C795" s="1" t="str">
        <f>equip.xml!C799</f>
        <v>繁星之戒</v>
      </c>
      <c r="D795" s="1" t="str">
        <f>equip.xml!D799</f>
        <v>戒指</v>
      </c>
      <c r="E795" s="1">
        <f>equip.xml!E799</f>
        <v>2</v>
      </c>
      <c r="F795" s="1">
        <f>equip.xml!F799</f>
        <v>3</v>
      </c>
      <c r="G795" s="1">
        <f>equip.xml!G799</f>
        <v>30</v>
      </c>
      <c r="H795" s="1">
        <f>equip.xml!H799</f>
        <v>0</v>
      </c>
      <c r="I795" s="1">
        <f>equip.xml!J799</f>
        <v>20</v>
      </c>
      <c r="J795" s="1">
        <f>equip.xml!K799</f>
        <v>0</v>
      </c>
      <c r="K795" s="1">
        <f>equip.xml!L799</f>
        <v>17500</v>
      </c>
      <c r="L795" s="1" t="str">
        <f>equip.xml!M799</f>
        <v>102_460_460</v>
      </c>
      <c r="M795" s="7" t="str">
        <f>equip.xml!Q799</f>
        <v>equipment/14005.png</v>
      </c>
      <c r="N795" t="str">
        <f>equip.xml!P799</f>
        <v>10000_1002_30000,30000_30001_1,30000_30002_1,30000_30003_1</v>
      </c>
    </row>
    <row r="796" spans="1:14">
      <c r="A796" s="1" t="str">
        <f>equip.xml!A800</f>
        <v>30300030</v>
      </c>
      <c r="B796" s="1">
        <f>equip.xml!B800</f>
        <v>0</v>
      </c>
      <c r="C796" s="1" t="str">
        <f>equip.xml!C800</f>
        <v>秘银腰带</v>
      </c>
      <c r="D796" s="1" t="str">
        <f>equip.xml!D800</f>
        <v>腰带</v>
      </c>
      <c r="E796" s="1">
        <f>equip.xml!E800</f>
        <v>3</v>
      </c>
      <c r="F796" s="1">
        <f>equip.xml!F800</f>
        <v>3</v>
      </c>
      <c r="G796" s="1">
        <f>equip.xml!G800</f>
        <v>30</v>
      </c>
      <c r="H796" s="1">
        <f>equip.xml!H800</f>
        <v>0</v>
      </c>
      <c r="I796" s="1">
        <f>equip.xml!J800</f>
        <v>20</v>
      </c>
      <c r="J796" s="1">
        <f>equip.xml!K800</f>
        <v>0</v>
      </c>
      <c r="K796" s="1">
        <f>equip.xml!L800</f>
        <v>17500</v>
      </c>
      <c r="L796" s="1" t="str">
        <f>equip.xml!M800</f>
        <v>101_3360_3360</v>
      </c>
      <c r="M796" s="7" t="str">
        <f>equip.xml!Q800</f>
        <v>equipment/6001.png</v>
      </c>
      <c r="N796" t="str">
        <f>equip.xml!P800</f>
        <v>10000_1002_30000,30000_30001_1,30000_30002_1,30000_30003_1</v>
      </c>
    </row>
    <row r="797" spans="1:14">
      <c r="A797" s="1" t="str">
        <f>equip.xml!A801</f>
        <v>30300080</v>
      </c>
      <c r="B797" s="1">
        <f>equip.xml!B801</f>
        <v>1</v>
      </c>
      <c r="C797" s="1" t="str">
        <f>equip.xml!C801</f>
        <v>镶饰胫甲</v>
      </c>
      <c r="D797" s="1" t="str">
        <f>equip.xml!D801</f>
        <v>鞋子</v>
      </c>
      <c r="E797" s="1">
        <f>equip.xml!E801</f>
        <v>8</v>
      </c>
      <c r="F797" s="1">
        <f>equip.xml!F801</f>
        <v>3</v>
      </c>
      <c r="G797" s="1">
        <f>equip.xml!G801</f>
        <v>30</v>
      </c>
      <c r="H797" s="1">
        <f>equip.xml!H801</f>
        <v>0</v>
      </c>
      <c r="I797" s="1">
        <f>equip.xml!J801</f>
        <v>20</v>
      </c>
      <c r="J797" s="1">
        <f>equip.xml!K801</f>
        <v>0</v>
      </c>
      <c r="K797" s="1">
        <f>equip.xml!L801</f>
        <v>17500</v>
      </c>
      <c r="L797" s="1" t="str">
        <f>equip.xml!M801</f>
        <v>110_65_65</v>
      </c>
      <c r="M797" s="7" t="str">
        <f>equip.xml!Q801</f>
        <v>equipment/8005.png</v>
      </c>
      <c r="N797" t="str">
        <f>equip.xml!P801</f>
        <v>10000_1002_30000,30000_30001_1,30000_30002_1,30000_30003_1</v>
      </c>
    </row>
    <row r="798" spans="1:14">
      <c r="A798" s="1" t="str">
        <f>equip.xml!A802</f>
        <v>30300090</v>
      </c>
      <c r="B798" s="1">
        <f>equip.xml!B802</f>
        <v>1</v>
      </c>
      <c r="C798" s="1" t="str">
        <f>equip.xml!C802</f>
        <v>链甲手套</v>
      </c>
      <c r="D798" s="1" t="str">
        <f>equip.xml!D802</f>
        <v>手套</v>
      </c>
      <c r="E798" s="1">
        <f>equip.xml!E802</f>
        <v>9</v>
      </c>
      <c r="F798" s="1">
        <f>equip.xml!F802</f>
        <v>3</v>
      </c>
      <c r="G798" s="1">
        <f>equip.xml!G802</f>
        <v>30</v>
      </c>
      <c r="H798" s="1">
        <f>equip.xml!H802</f>
        <v>0</v>
      </c>
      <c r="I798" s="1">
        <f>equip.xml!J802</f>
        <v>20</v>
      </c>
      <c r="J798" s="1">
        <f>equip.xml!K802</f>
        <v>0</v>
      </c>
      <c r="K798" s="1">
        <f>equip.xml!L802</f>
        <v>17500</v>
      </c>
      <c r="L798" s="1" t="str">
        <f>equip.xml!M802</f>
        <v>108_367_367</v>
      </c>
      <c r="M798" s="7" t="str">
        <f>equip.xml!Q802</f>
        <v>equipment/10005.png</v>
      </c>
      <c r="N798" t="str">
        <f>equip.xml!P802</f>
        <v>10000_1002_30000,30000_30001_1,30000_30002_1,30000_30003_1</v>
      </c>
    </row>
    <row r="799" spans="1:14">
      <c r="A799" s="1" t="str">
        <f>equip.xml!A803</f>
        <v>30300100</v>
      </c>
      <c r="B799" s="1">
        <f>equip.xml!B803</f>
        <v>1</v>
      </c>
      <c r="C799" s="1" t="str">
        <f>equip.xml!C803</f>
        <v>虎眼石项链</v>
      </c>
      <c r="D799" s="1" t="str">
        <f>equip.xml!D803</f>
        <v>项链</v>
      </c>
      <c r="E799" s="1">
        <f>equip.xml!E803</f>
        <v>10</v>
      </c>
      <c r="F799" s="1">
        <f>equip.xml!F803</f>
        <v>3</v>
      </c>
      <c r="G799" s="1">
        <f>equip.xml!G803</f>
        <v>30</v>
      </c>
      <c r="H799" s="1">
        <f>equip.xml!H803</f>
        <v>0</v>
      </c>
      <c r="I799" s="1">
        <f>equip.xml!J803</f>
        <v>20</v>
      </c>
      <c r="J799" s="1">
        <f>equip.xml!K803</f>
        <v>0</v>
      </c>
      <c r="K799" s="1">
        <f>equip.xml!L803</f>
        <v>17500</v>
      </c>
      <c r="L799" s="1" t="str">
        <f>equip.xml!M803</f>
        <v>107_372_372</v>
      </c>
      <c r="M799" s="7" t="str">
        <f>equip.xml!Q803</f>
        <v>equipment/12005.png</v>
      </c>
      <c r="N799" t="str">
        <f>equip.xml!P803</f>
        <v>10000_1002_30000,30000_30001_1,30000_30002_1,30000_30003_1</v>
      </c>
    </row>
    <row r="800" spans="1:14">
      <c r="A800" s="1" t="str">
        <f>equip.xml!A804</f>
        <v>30301050</v>
      </c>
      <c r="B800" s="1">
        <f>equip.xml!B804</f>
        <v>1</v>
      </c>
      <c r="C800" s="1" t="str">
        <f>equip.xml!C804</f>
        <v>炽热长剑</v>
      </c>
      <c r="D800" s="1" t="str">
        <f>equip.xml!D804</f>
        <v>主手武器</v>
      </c>
      <c r="E800" s="1">
        <f>equip.xml!E804</f>
        <v>5</v>
      </c>
      <c r="F800" s="1">
        <f>equip.xml!F804</f>
        <v>3</v>
      </c>
      <c r="G800" s="1">
        <f>equip.xml!G804</f>
        <v>30</v>
      </c>
      <c r="H800" s="1" t="str">
        <f>equip.xml!H804</f>
        <v>1,1001</v>
      </c>
      <c r="I800" s="1">
        <f>equip.xml!J804</f>
        <v>20</v>
      </c>
      <c r="J800" s="1">
        <f>equip.xml!K804</f>
        <v>0</v>
      </c>
      <c r="K800" s="1">
        <f>equip.xml!L804</f>
        <v>17500</v>
      </c>
      <c r="L800" s="1" t="str">
        <f>equip.xml!M804</f>
        <v>103_275_275,104_550_550</v>
      </c>
      <c r="M800" s="7" t="str">
        <f>equip.xml!Q804</f>
        <v>equipment/1112.png</v>
      </c>
      <c r="N800" t="str">
        <f>equip.xml!P804</f>
        <v>10000_1002_30000,30000_30001_1,30000_30002_1,30000_30003_1</v>
      </c>
    </row>
    <row r="801" spans="1:14">
      <c r="A801" s="1" t="str">
        <f>equip.xml!A805</f>
        <v>30301051</v>
      </c>
      <c r="B801" s="1">
        <f>equip.xml!B805</f>
        <v>1</v>
      </c>
      <c r="C801" s="1" t="str">
        <f>equip.xml!C805</f>
        <v>贵族阔剑</v>
      </c>
      <c r="D801" s="1" t="str">
        <f>equip.xml!D805</f>
        <v>主手武器</v>
      </c>
      <c r="E801" s="1">
        <f>equip.xml!E805</f>
        <v>5</v>
      </c>
      <c r="F801" s="1">
        <f>equip.xml!F805</f>
        <v>3</v>
      </c>
      <c r="G801" s="1">
        <f>equip.xml!G805</f>
        <v>30</v>
      </c>
      <c r="H801" s="1" t="str">
        <f>equip.xml!H805</f>
        <v>1,1001</v>
      </c>
      <c r="I801" s="1">
        <f>equip.xml!J805</f>
        <v>20</v>
      </c>
      <c r="J801" s="1">
        <f>equip.xml!K805</f>
        <v>0</v>
      </c>
      <c r="K801" s="1">
        <f>equip.xml!L805</f>
        <v>20000</v>
      </c>
      <c r="L801" s="1" t="str">
        <f>equip.xml!M805</f>
        <v>103_342_342,104_684_684</v>
      </c>
      <c r="M801" s="7" t="str">
        <f>equip.xml!Q805</f>
        <v>equipment/1113.png</v>
      </c>
      <c r="N801" t="str">
        <f>equip.xml!P805</f>
        <v>10000_1002_30000,30000_30001_1,30000_30002_1,30000_30003_1</v>
      </c>
    </row>
    <row r="802" spans="1:14">
      <c r="A802" s="1" t="str">
        <f>equip.xml!A806</f>
        <v>30301060</v>
      </c>
      <c r="B802" s="1">
        <f>equip.xml!B806</f>
        <v>1</v>
      </c>
      <c r="C802" s="1" t="str">
        <f>equip.xml!C806</f>
        <v>耐久盾牌</v>
      </c>
      <c r="D802" s="1" t="str">
        <f>equip.xml!D806</f>
        <v>副手武器</v>
      </c>
      <c r="E802" s="1">
        <f>equip.xml!E806</f>
        <v>6</v>
      </c>
      <c r="F802" s="1">
        <f>equip.xml!F806</f>
        <v>3</v>
      </c>
      <c r="G802" s="1">
        <f>equip.xml!G806</f>
        <v>30</v>
      </c>
      <c r="H802" s="1" t="str">
        <f>equip.xml!H806</f>
        <v>1,1001</v>
      </c>
      <c r="I802" s="1">
        <f>equip.xml!J806</f>
        <v>20</v>
      </c>
      <c r="J802" s="1">
        <f>equip.xml!K806</f>
        <v>0</v>
      </c>
      <c r="K802" s="1">
        <f>equip.xml!L806</f>
        <v>17500</v>
      </c>
      <c r="L802" s="1" t="str">
        <f>equip.xml!M806</f>
        <v>105_368_368</v>
      </c>
      <c r="M802" s="7" t="str">
        <f>equip.xml!Q806</f>
        <v>equipment/2107.png</v>
      </c>
      <c r="N802" t="str">
        <f>equip.xml!P806</f>
        <v>10000_1002_30000,30000_30001_1,30000_30002_1,30000_30003_1</v>
      </c>
    </row>
    <row r="803" spans="1:14">
      <c r="A803" s="1" t="str">
        <f>equip.xml!A807</f>
        <v>30301061</v>
      </c>
      <c r="B803" s="1">
        <f>equip.xml!B807</f>
        <v>0</v>
      </c>
      <c r="C803" s="1" t="str">
        <f>equip.xml!C807</f>
        <v>盐石盾牌</v>
      </c>
      <c r="D803" s="1" t="str">
        <f>equip.xml!D807</f>
        <v>副手武器</v>
      </c>
      <c r="E803" s="1">
        <f>equip.xml!E807</f>
        <v>6</v>
      </c>
      <c r="F803" s="1">
        <f>equip.xml!F807</f>
        <v>3</v>
      </c>
      <c r="G803" s="1">
        <f>equip.xml!G807</f>
        <v>30</v>
      </c>
      <c r="H803" s="1" t="str">
        <f>equip.xml!H807</f>
        <v>1,1001</v>
      </c>
      <c r="I803" s="1">
        <f>equip.xml!J807</f>
        <v>20</v>
      </c>
      <c r="J803" s="1">
        <f>equip.xml!K807</f>
        <v>0</v>
      </c>
      <c r="K803" s="1">
        <f>equip.xml!L807</f>
        <v>20000</v>
      </c>
      <c r="L803" s="1" t="str">
        <f>equip.xml!M807</f>
        <v>105_491_491</v>
      </c>
      <c r="M803" s="7" t="str">
        <f>equip.xml!Q807</f>
        <v>equipment/2108.png</v>
      </c>
      <c r="N803" t="str">
        <f>equip.xml!P807</f>
        <v>10000_1002_30000,30000_30001_1,30000_30002_1,30000_30003_1</v>
      </c>
    </row>
    <row r="804" spans="1:14">
      <c r="A804" s="1" t="str">
        <f>equip.xml!A808</f>
        <v>30302050</v>
      </c>
      <c r="B804" s="1">
        <f>equip.xml!B808</f>
        <v>1</v>
      </c>
      <c r="C804" s="1" t="str">
        <f>equip.xml!C808</f>
        <v>红木长弓</v>
      </c>
      <c r="D804" s="1" t="str">
        <f>equip.xml!D808</f>
        <v>主手武器</v>
      </c>
      <c r="E804" s="1">
        <f>equip.xml!E808</f>
        <v>5</v>
      </c>
      <c r="F804" s="1">
        <f>equip.xml!F808</f>
        <v>3</v>
      </c>
      <c r="G804" s="1">
        <f>equip.xml!G808</f>
        <v>30</v>
      </c>
      <c r="H804" s="1" t="str">
        <f>equip.xml!H808</f>
        <v>2,1002</v>
      </c>
      <c r="I804" s="1">
        <f>equip.xml!J808</f>
        <v>20</v>
      </c>
      <c r="J804" s="1">
        <f>equip.xml!K808</f>
        <v>0</v>
      </c>
      <c r="K804" s="1">
        <f>equip.xml!L808</f>
        <v>17500</v>
      </c>
      <c r="L804" s="1" t="str">
        <f>equip.xml!M808</f>
        <v>103_275_275,104_550_550</v>
      </c>
      <c r="M804" s="7" t="str">
        <f>equip.xml!Q808</f>
        <v>equipment/1211.png</v>
      </c>
      <c r="N804" t="str">
        <f>equip.xml!P808</f>
        <v>10000_1002_30000,30000_30001_1,30000_30002_1,30000_30003_1</v>
      </c>
    </row>
    <row r="805" spans="1:14">
      <c r="A805" s="1" t="str">
        <f>equip.xml!A809</f>
        <v>30302051</v>
      </c>
      <c r="B805" s="1">
        <f>equip.xml!B809</f>
        <v>1</v>
      </c>
      <c r="C805" s="1" t="str">
        <f>equip.xml!C809</f>
        <v>灼热弓</v>
      </c>
      <c r="D805" s="1" t="str">
        <f>equip.xml!D809</f>
        <v>主手武器</v>
      </c>
      <c r="E805" s="1">
        <f>equip.xml!E809</f>
        <v>5</v>
      </c>
      <c r="F805" s="1">
        <f>equip.xml!F809</f>
        <v>3</v>
      </c>
      <c r="G805" s="1">
        <f>equip.xml!G809</f>
        <v>30</v>
      </c>
      <c r="H805" s="1" t="str">
        <f>equip.xml!H809</f>
        <v>2,1002</v>
      </c>
      <c r="I805" s="1">
        <f>equip.xml!J809</f>
        <v>20</v>
      </c>
      <c r="J805" s="1">
        <f>equip.xml!K809</f>
        <v>0</v>
      </c>
      <c r="K805" s="1">
        <f>equip.xml!L809</f>
        <v>20000</v>
      </c>
      <c r="L805" s="1" t="str">
        <f>equip.xml!M809</f>
        <v>103_342_342,104_684_684</v>
      </c>
      <c r="M805" s="7" t="str">
        <f>equip.xml!Q809</f>
        <v>equipment/1212.png</v>
      </c>
      <c r="N805" t="str">
        <f>equip.xml!P809</f>
        <v>10000_1002_30000,30000_30001_1,30000_30002_1,30000_30003_1</v>
      </c>
    </row>
    <row r="806" spans="1:14">
      <c r="A806" s="1" t="str">
        <f>equip.xml!A810</f>
        <v>30302060</v>
      </c>
      <c r="B806" s="1">
        <f>equip.xml!B810</f>
        <v>1</v>
      </c>
      <c r="C806" s="1" t="str">
        <f>equip.xml!C810</f>
        <v>倒刺箭筒</v>
      </c>
      <c r="D806" s="1" t="str">
        <f>equip.xml!D810</f>
        <v>副手武器</v>
      </c>
      <c r="E806" s="1">
        <f>equip.xml!E810</f>
        <v>6</v>
      </c>
      <c r="F806" s="1">
        <f>equip.xml!F810</f>
        <v>3</v>
      </c>
      <c r="G806" s="1">
        <f>equip.xml!G810</f>
        <v>30</v>
      </c>
      <c r="H806" s="1" t="str">
        <f>equip.xml!H810</f>
        <v>2,1002</v>
      </c>
      <c r="I806" s="1">
        <f>equip.xml!J810</f>
        <v>20</v>
      </c>
      <c r="J806" s="1">
        <f>equip.xml!K810</f>
        <v>0</v>
      </c>
      <c r="K806" s="1">
        <f>equip.xml!L810</f>
        <v>17500</v>
      </c>
      <c r="L806" s="1" t="str">
        <f>equip.xml!M810</f>
        <v>108_368_368</v>
      </c>
      <c r="M806" s="7" t="str">
        <f>equip.xml!Q810</f>
        <v>equipment/2207.png</v>
      </c>
      <c r="N806" t="str">
        <f>equip.xml!P810</f>
        <v>10000_1002_30000,30000_30001_1,30000_30002_1,30000_30003_1</v>
      </c>
    </row>
    <row r="807" spans="1:14">
      <c r="A807" s="1" t="str">
        <f>equip.xml!A811</f>
        <v>30302061</v>
      </c>
      <c r="B807" s="1">
        <f>equip.xml!B811</f>
        <v>0</v>
      </c>
      <c r="C807" s="1" t="str">
        <f>equip.xml!C811</f>
        <v>崇圣箭筒</v>
      </c>
      <c r="D807" s="1" t="str">
        <f>equip.xml!D811</f>
        <v>副手武器</v>
      </c>
      <c r="E807" s="1">
        <f>equip.xml!E811</f>
        <v>6</v>
      </c>
      <c r="F807" s="1">
        <f>equip.xml!F811</f>
        <v>3</v>
      </c>
      <c r="G807" s="1">
        <f>equip.xml!G811</f>
        <v>30</v>
      </c>
      <c r="H807" s="1" t="str">
        <f>equip.xml!H811</f>
        <v>2,1002</v>
      </c>
      <c r="I807" s="1">
        <f>equip.xml!J811</f>
        <v>20</v>
      </c>
      <c r="J807" s="1">
        <f>equip.xml!K811</f>
        <v>0</v>
      </c>
      <c r="K807" s="1">
        <f>equip.xml!L811</f>
        <v>20000</v>
      </c>
      <c r="L807" s="1" t="str">
        <f>equip.xml!M811</f>
        <v>108_491_491</v>
      </c>
      <c r="M807" s="7" t="str">
        <f>equip.xml!Q811</f>
        <v>equipment/2208.png</v>
      </c>
      <c r="N807" t="str">
        <f>equip.xml!P811</f>
        <v>10000_1002_30000,30000_30001_1,30000_30002_1,30000_30003_1</v>
      </c>
    </row>
    <row r="808" spans="1:14">
      <c r="A808" s="1" t="str">
        <f>equip.xml!A812</f>
        <v>30303050</v>
      </c>
      <c r="B808" s="1">
        <f>equip.xml!B812</f>
        <v>1</v>
      </c>
      <c r="C808" s="1" t="str">
        <f>equip.xml!C812</f>
        <v>荒骨法杖</v>
      </c>
      <c r="D808" s="1" t="str">
        <f>equip.xml!D812</f>
        <v>主手武器</v>
      </c>
      <c r="E808" s="1">
        <f>equip.xml!E812</f>
        <v>5</v>
      </c>
      <c r="F808" s="1">
        <f>equip.xml!F812</f>
        <v>3</v>
      </c>
      <c r="G808" s="1">
        <f>equip.xml!G812</f>
        <v>30</v>
      </c>
      <c r="H808" s="1" t="str">
        <f>equip.xml!H812</f>
        <v>3,1003</v>
      </c>
      <c r="I808" s="1">
        <f>equip.xml!J812</f>
        <v>20</v>
      </c>
      <c r="J808" s="1">
        <f>equip.xml!K812</f>
        <v>0</v>
      </c>
      <c r="K808" s="1">
        <f>equip.xml!L812</f>
        <v>17500</v>
      </c>
      <c r="L808" s="1" t="str">
        <f>equip.xml!M812</f>
        <v>103_275_275,104_550_550</v>
      </c>
      <c r="M808" s="7" t="str">
        <f>equip.xml!Q812</f>
        <v>equipment/1312.png</v>
      </c>
      <c r="N808" t="str">
        <f>equip.xml!P812</f>
        <v>10000_1002_30000,30000_30001_1,30000_30002_1,30000_30003_1</v>
      </c>
    </row>
    <row r="809" spans="1:14">
      <c r="A809" s="1" t="str">
        <f>equip.xml!A813</f>
        <v>30303051</v>
      </c>
      <c r="B809" s="1">
        <f>equip.xml!B813</f>
        <v>1</v>
      </c>
      <c r="C809" s="1" t="str">
        <f>equip.xml!C813</f>
        <v>新月法杖</v>
      </c>
      <c r="D809" s="1" t="str">
        <f>equip.xml!D813</f>
        <v>主手武器</v>
      </c>
      <c r="E809" s="1">
        <f>equip.xml!E813</f>
        <v>5</v>
      </c>
      <c r="F809" s="1">
        <f>equip.xml!F813</f>
        <v>3</v>
      </c>
      <c r="G809" s="1">
        <f>equip.xml!G813</f>
        <v>30</v>
      </c>
      <c r="H809" s="1" t="str">
        <f>equip.xml!H813</f>
        <v>3,1003</v>
      </c>
      <c r="I809" s="1">
        <f>equip.xml!J813</f>
        <v>20</v>
      </c>
      <c r="J809" s="1">
        <f>equip.xml!K813</f>
        <v>0</v>
      </c>
      <c r="K809" s="1">
        <f>equip.xml!L813</f>
        <v>20000</v>
      </c>
      <c r="L809" s="1" t="str">
        <f>equip.xml!M813</f>
        <v>103_342_342,104_684_684</v>
      </c>
      <c r="M809" s="7" t="str">
        <f>equip.xml!Q813</f>
        <v>equipment/1313.png</v>
      </c>
      <c r="N809" t="str">
        <f>equip.xml!P813</f>
        <v>10000_1002_30000,30000_30001_1,30000_30002_1,30000_30003_1</v>
      </c>
    </row>
    <row r="810" spans="1:14">
      <c r="A810" s="1" t="str">
        <f>equip.xml!A814</f>
        <v>30303060</v>
      </c>
      <c r="B810" s="1">
        <f>equip.xml!B814</f>
        <v>1</v>
      </c>
      <c r="C810" s="1" t="str">
        <f>equip.xml!C814</f>
        <v>神圣典籍</v>
      </c>
      <c r="D810" s="1" t="str">
        <f>equip.xml!D814</f>
        <v>副手武器</v>
      </c>
      <c r="E810" s="1">
        <f>equip.xml!E814</f>
        <v>6</v>
      </c>
      <c r="F810" s="1">
        <f>equip.xml!F814</f>
        <v>3</v>
      </c>
      <c r="G810" s="1">
        <f>equip.xml!G814</f>
        <v>30</v>
      </c>
      <c r="H810" s="1" t="str">
        <f>equip.xml!H814</f>
        <v>3,1003</v>
      </c>
      <c r="I810" s="1">
        <f>equip.xml!J814</f>
        <v>20</v>
      </c>
      <c r="J810" s="1">
        <f>equip.xml!K814</f>
        <v>0</v>
      </c>
      <c r="K810" s="1">
        <f>equip.xml!L814</f>
        <v>17500</v>
      </c>
      <c r="L810" s="1" t="str">
        <f>equip.xml!M814</f>
        <v>102_880_880</v>
      </c>
      <c r="M810" s="7" t="str">
        <f>equip.xml!Q814</f>
        <v>equipment/2307.png</v>
      </c>
      <c r="N810" t="str">
        <f>equip.xml!P814</f>
        <v>10000_1002_30000,30000_30001_1,30000_30002_1,30000_30003_1</v>
      </c>
    </row>
    <row r="811" spans="1:14">
      <c r="A811" s="1" t="str">
        <f>equip.xml!A815</f>
        <v>30303061</v>
      </c>
      <c r="B811" s="1">
        <f>equip.xml!B815</f>
        <v>0</v>
      </c>
      <c r="C811" s="1" t="str">
        <f>equip.xml!C815</f>
        <v>召唤之书</v>
      </c>
      <c r="D811" s="1" t="str">
        <f>equip.xml!D815</f>
        <v>副手武器</v>
      </c>
      <c r="E811" s="1">
        <f>equip.xml!E815</f>
        <v>6</v>
      </c>
      <c r="F811" s="1">
        <f>equip.xml!F815</f>
        <v>3</v>
      </c>
      <c r="G811" s="1">
        <f>equip.xml!G815</f>
        <v>30</v>
      </c>
      <c r="H811" s="1" t="str">
        <f>equip.xml!H815</f>
        <v>3,1003</v>
      </c>
      <c r="I811" s="1">
        <f>equip.xml!J815</f>
        <v>20</v>
      </c>
      <c r="J811" s="1">
        <f>equip.xml!K815</f>
        <v>0</v>
      </c>
      <c r="K811" s="1">
        <f>equip.xml!L815</f>
        <v>20000</v>
      </c>
      <c r="L811" s="1" t="str">
        <f>equip.xml!M815</f>
        <v>102_944_944</v>
      </c>
      <c r="M811" s="7" t="str">
        <f>equip.xml!Q815</f>
        <v>equipment/2308.png</v>
      </c>
      <c r="N811" t="str">
        <f>equip.xml!P815</f>
        <v>10000_1002_30000,30000_30001_1,30000_30002_1,30000_30003_1</v>
      </c>
    </row>
    <row r="812" spans="1:14">
      <c r="A812" s="1" t="str">
        <f>equip.xml!A816</f>
        <v>30300040</v>
      </c>
      <c r="B812" s="1">
        <f>equip.xml!B816</f>
        <v>1</v>
      </c>
      <c r="C812" s="1" t="str">
        <f>equip.xml!C816</f>
        <v>水滴胸铠</v>
      </c>
      <c r="D812" s="1" t="str">
        <f>equip.xml!D816</f>
        <v>胸甲</v>
      </c>
      <c r="E812" s="1">
        <f>equip.xml!E816</f>
        <v>4</v>
      </c>
      <c r="F812" s="1">
        <f>equip.xml!F816</f>
        <v>3</v>
      </c>
      <c r="G812" s="1">
        <f>equip.xml!G816</f>
        <v>30</v>
      </c>
      <c r="H812" s="1">
        <f>equip.xml!H816</f>
        <v>0</v>
      </c>
      <c r="I812" s="1">
        <f>equip.xml!J816</f>
        <v>20</v>
      </c>
      <c r="J812" s="1">
        <f>equip.xml!K816</f>
        <v>0</v>
      </c>
      <c r="K812" s="1">
        <f>equip.xml!L816</f>
        <v>17500</v>
      </c>
      <c r="L812" s="1" t="str">
        <f>equip.xml!M816</f>
        <v>105_216_216</v>
      </c>
      <c r="M812" s="7" t="str">
        <f>equip.xml!Q816</f>
        <v>equipment/5008.png</v>
      </c>
      <c r="N812" t="str">
        <f>equip.xml!P816</f>
        <v>10000_1002_30000,30000_30001_1,30000_30002_1,30000_30003_1</v>
      </c>
    </row>
    <row r="813" spans="1:14">
      <c r="A813" s="1" t="str">
        <f>equip.xml!A817</f>
        <v>30300041</v>
      </c>
      <c r="B813" s="1">
        <f>equip.xml!B817</f>
        <v>1</v>
      </c>
      <c r="C813" s="1" t="str">
        <f>equip.xml!C817</f>
        <v>防卫者外套</v>
      </c>
      <c r="D813" s="1" t="str">
        <f>equip.xml!D817</f>
        <v>胸甲</v>
      </c>
      <c r="E813" s="1">
        <f>equip.xml!E817</f>
        <v>4</v>
      </c>
      <c r="F813" s="1">
        <f>equip.xml!F817</f>
        <v>3</v>
      </c>
      <c r="G813" s="1">
        <f>equip.xml!G817</f>
        <v>30</v>
      </c>
      <c r="H813" s="1">
        <f>equip.xml!H817</f>
        <v>0</v>
      </c>
      <c r="I813" s="1">
        <f>equip.xml!J817</f>
        <v>20</v>
      </c>
      <c r="J813" s="1">
        <f>equip.xml!K817</f>
        <v>0</v>
      </c>
      <c r="K813" s="1">
        <f>equip.xml!L817</f>
        <v>20000</v>
      </c>
      <c r="L813" s="1" t="str">
        <f>equip.xml!M817</f>
        <v>105_247_247</v>
      </c>
      <c r="M813" s="7" t="str">
        <f>equip.xml!Q817</f>
        <v>equipment/5009.png</v>
      </c>
      <c r="N813" t="str">
        <f>equip.xml!P817</f>
        <v>10000_1002_30000,30000_30001_1,30000_30002_1,30000_30003_1</v>
      </c>
    </row>
    <row r="814" spans="1:14">
      <c r="A814" s="1" t="str">
        <f>equip.xml!A818</f>
        <v>30300070</v>
      </c>
      <c r="B814" s="1">
        <f>equip.xml!B818</f>
        <v>1</v>
      </c>
      <c r="C814" s="1" t="str">
        <f>equip.xml!C818</f>
        <v>游侠护腿</v>
      </c>
      <c r="D814" s="1" t="str">
        <f>equip.xml!D818</f>
        <v>护腿</v>
      </c>
      <c r="E814" s="1">
        <f>equip.xml!E818</f>
        <v>7</v>
      </c>
      <c r="F814" s="1">
        <f>equip.xml!F818</f>
        <v>3</v>
      </c>
      <c r="G814" s="1">
        <f>equip.xml!G818</f>
        <v>30</v>
      </c>
      <c r="H814" s="1">
        <f>equip.xml!H818</f>
        <v>0</v>
      </c>
      <c r="I814" s="1">
        <f>equip.xml!J818</f>
        <v>20</v>
      </c>
      <c r="J814" s="1">
        <f>equip.xml!K818</f>
        <v>0</v>
      </c>
      <c r="K814" s="1">
        <f>equip.xml!L818</f>
        <v>17500</v>
      </c>
      <c r="L814" s="1" t="str">
        <f>equip.xml!M818</f>
        <v>105_216_216</v>
      </c>
      <c r="M814" s="7" t="str">
        <f>equip.xml!Q818</f>
        <v>equipment/7007.png</v>
      </c>
      <c r="N814" t="str">
        <f>equip.xml!P818</f>
        <v>10000_1002_30000,30000_30001_1,30000_30002_1,30000_30003_1</v>
      </c>
    </row>
    <row r="815" spans="1:14">
      <c r="A815" s="1" t="str">
        <f>equip.xml!A819</f>
        <v>30300071</v>
      </c>
      <c r="B815" s="1">
        <f>equip.xml!B819</f>
        <v>1</v>
      </c>
      <c r="C815" s="1" t="str">
        <f>equip.xml!C819</f>
        <v>逐风护腿</v>
      </c>
      <c r="D815" s="1" t="str">
        <f>equip.xml!D819</f>
        <v>护腿</v>
      </c>
      <c r="E815" s="1">
        <f>equip.xml!E819</f>
        <v>7</v>
      </c>
      <c r="F815" s="1">
        <f>equip.xml!F819</f>
        <v>3</v>
      </c>
      <c r="G815" s="1">
        <f>equip.xml!G819</f>
        <v>30</v>
      </c>
      <c r="H815" s="1">
        <f>equip.xml!H819</f>
        <v>0</v>
      </c>
      <c r="I815" s="1">
        <f>equip.xml!J819</f>
        <v>20</v>
      </c>
      <c r="J815" s="1">
        <f>equip.xml!K819</f>
        <v>0</v>
      </c>
      <c r="K815" s="1">
        <f>equip.xml!L819</f>
        <v>20000</v>
      </c>
      <c r="L815" s="1" t="str">
        <f>equip.xml!M819</f>
        <v>105_247_247</v>
      </c>
      <c r="M815" s="7" t="str">
        <f>equip.xml!Q819</f>
        <v>equipment/7008.png</v>
      </c>
      <c r="N815" t="str">
        <f>equip.xml!P819</f>
        <v>10000_1002_30000,30000_30001_1,30000_30002_1,30000_30003_1</v>
      </c>
    </row>
    <row r="816" spans="1:14">
      <c r="A816" s="1" t="str">
        <f>equip.xml!A820</f>
        <v>30350010</v>
      </c>
      <c r="B816" s="1">
        <f>equip.xml!B820</f>
        <v>1</v>
      </c>
      <c r="C816" s="1" t="str">
        <f>equip.xml!C820</f>
        <v>镶带头盔</v>
      </c>
      <c r="D816" s="1" t="str">
        <f>equip.xml!D820</f>
        <v>头盔</v>
      </c>
      <c r="E816" s="1">
        <f>equip.xml!E820</f>
        <v>1</v>
      </c>
      <c r="F816" s="1">
        <f>equip.xml!F820</f>
        <v>3</v>
      </c>
      <c r="G816" s="1">
        <f>equip.xml!G820</f>
        <v>35</v>
      </c>
      <c r="H816" s="1">
        <f>equip.xml!H820</f>
        <v>0</v>
      </c>
      <c r="I816" s="1">
        <f>equip.xml!J820</f>
        <v>20</v>
      </c>
      <c r="J816" s="1">
        <f>equip.xml!K820</f>
        <v>0</v>
      </c>
      <c r="K816" s="1">
        <f>equip.xml!L820</f>
        <v>20000</v>
      </c>
      <c r="L816" s="1" t="str">
        <f>equip.xml!M820</f>
        <v>106_596_596</v>
      </c>
      <c r="M816" s="7" t="str">
        <f>equip.xml!Q820</f>
        <v>equipment/3006.png</v>
      </c>
      <c r="N816" t="str">
        <f>equip.xml!P820</f>
        <v>10000_1002_35000,30000_30001_1,30000_30002_1,30000_30003_1</v>
      </c>
    </row>
    <row r="817" spans="1:14">
      <c r="A817" s="1" t="str">
        <f>equip.xml!A821</f>
        <v>30350020</v>
      </c>
      <c r="B817" s="1">
        <f>equip.xml!B821</f>
        <v>1</v>
      </c>
      <c r="C817" s="1" t="str">
        <f>equip.xml!C821</f>
        <v>烈焰指环</v>
      </c>
      <c r="D817" s="1" t="str">
        <f>equip.xml!D821</f>
        <v>戒指</v>
      </c>
      <c r="E817" s="1">
        <f>equip.xml!E821</f>
        <v>2</v>
      </c>
      <c r="F817" s="1">
        <f>equip.xml!F821</f>
        <v>3</v>
      </c>
      <c r="G817" s="1">
        <f>equip.xml!G821</f>
        <v>35</v>
      </c>
      <c r="H817" s="1">
        <f>equip.xml!H821</f>
        <v>0</v>
      </c>
      <c r="I817" s="1">
        <f>equip.xml!J821</f>
        <v>20</v>
      </c>
      <c r="J817" s="1">
        <f>equip.xml!K821</f>
        <v>0</v>
      </c>
      <c r="K817" s="1">
        <f>equip.xml!L821</f>
        <v>20000</v>
      </c>
      <c r="L817" s="1" t="str">
        <f>equip.xml!M821</f>
        <v>102_590_590</v>
      </c>
      <c r="M817" s="7" t="str">
        <f>equip.xml!Q821</f>
        <v>equipment/14006.png</v>
      </c>
      <c r="N817" t="str">
        <f>equip.xml!P821</f>
        <v>10000_1002_35000,30000_30001_1,30000_30002_1,30000_30003_1</v>
      </c>
    </row>
    <row r="818" spans="1:14">
      <c r="A818" s="1" t="str">
        <f>equip.xml!A822</f>
        <v>30350030</v>
      </c>
      <c r="B818" s="1">
        <f>equip.xml!B822</f>
        <v>1</v>
      </c>
      <c r="C818" s="1" t="str">
        <f>equip.xml!C822</f>
        <v>斗士腰带</v>
      </c>
      <c r="D818" s="1" t="str">
        <f>equip.xml!D822</f>
        <v>腰带</v>
      </c>
      <c r="E818" s="1">
        <f>equip.xml!E822</f>
        <v>3</v>
      </c>
      <c r="F818" s="1">
        <f>equip.xml!F822</f>
        <v>3</v>
      </c>
      <c r="G818" s="1">
        <f>equip.xml!G822</f>
        <v>35</v>
      </c>
      <c r="H818" s="1">
        <f>equip.xml!H822</f>
        <v>0</v>
      </c>
      <c r="I818" s="1">
        <f>equip.xml!J822</f>
        <v>20</v>
      </c>
      <c r="J818" s="1">
        <f>equip.xml!K822</f>
        <v>0</v>
      </c>
      <c r="K818" s="1">
        <f>equip.xml!L822</f>
        <v>20000</v>
      </c>
      <c r="L818" s="1" t="str">
        <f>equip.xml!M822</f>
        <v>101_4900_4900</v>
      </c>
      <c r="M818" s="7" t="str">
        <f>equip.xml!Q822</f>
        <v>equipment/6006.png</v>
      </c>
      <c r="N818" t="str">
        <f>equip.xml!P822</f>
        <v>10000_1002_35000,30000_30001_1,30000_30002_1,30000_30003_1</v>
      </c>
    </row>
    <row r="819" spans="1:14">
      <c r="A819" s="1" t="str">
        <f>equip.xml!A823</f>
        <v>30350080</v>
      </c>
      <c r="B819" s="1">
        <f>equip.xml!B823</f>
        <v>1</v>
      </c>
      <c r="C819" s="1" t="str">
        <f>equip.xml!C823</f>
        <v>混乱之靴</v>
      </c>
      <c r="D819" s="1" t="str">
        <f>equip.xml!D823</f>
        <v>鞋子</v>
      </c>
      <c r="E819" s="1">
        <f>equip.xml!E823</f>
        <v>8</v>
      </c>
      <c r="F819" s="1">
        <f>equip.xml!F823</f>
        <v>3</v>
      </c>
      <c r="G819" s="1">
        <f>equip.xml!G823</f>
        <v>35</v>
      </c>
      <c r="H819" s="1">
        <f>equip.xml!H823</f>
        <v>0</v>
      </c>
      <c r="I819" s="1">
        <f>equip.xml!J823</f>
        <v>20</v>
      </c>
      <c r="J819" s="1">
        <f>equip.xml!K823</f>
        <v>0</v>
      </c>
      <c r="K819" s="1">
        <f>equip.xml!L823</f>
        <v>20000</v>
      </c>
      <c r="L819" s="1" t="str">
        <f>equip.xml!M823</f>
        <v>110_82_82</v>
      </c>
      <c r="M819" s="7" t="str">
        <f>equip.xml!Q823</f>
        <v>equipment/8006.png</v>
      </c>
      <c r="N819" t="str">
        <f>equip.xml!P823</f>
        <v>10000_1002_35000,30000_30001_1,30000_30002_1,30000_30003_1</v>
      </c>
    </row>
    <row r="820" spans="1:14">
      <c r="A820" s="1" t="str">
        <f>equip.xml!A824</f>
        <v>30350090</v>
      </c>
      <c r="B820" s="1">
        <f>equip.xml!B824</f>
        <v>1</v>
      </c>
      <c r="C820" s="1" t="str">
        <f>equip.xml!C824</f>
        <v>激励手甲</v>
      </c>
      <c r="D820" s="1" t="str">
        <f>equip.xml!D824</f>
        <v>手套</v>
      </c>
      <c r="E820" s="1">
        <f>equip.xml!E824</f>
        <v>9</v>
      </c>
      <c r="F820" s="1">
        <f>equip.xml!F824</f>
        <v>3</v>
      </c>
      <c r="G820" s="1">
        <f>equip.xml!G824</f>
        <v>35</v>
      </c>
      <c r="H820" s="1">
        <f>equip.xml!H824</f>
        <v>0</v>
      </c>
      <c r="I820" s="1">
        <f>equip.xml!J824</f>
        <v>20</v>
      </c>
      <c r="J820" s="1">
        <f>equip.xml!K824</f>
        <v>0</v>
      </c>
      <c r="K820" s="1">
        <f>equip.xml!L824</f>
        <v>20000</v>
      </c>
      <c r="L820" s="1" t="str">
        <f>equip.xml!M824</f>
        <v>108_588_588</v>
      </c>
      <c r="M820" s="7" t="str">
        <f>equip.xml!Q824</f>
        <v>equipment/10006.png</v>
      </c>
      <c r="N820" t="str">
        <f>equip.xml!P824</f>
        <v>10000_1002_35000,30000_30001_1,30000_30002_1,30000_30003_1</v>
      </c>
    </row>
    <row r="821" spans="1:14">
      <c r="A821" s="1" t="str">
        <f>equip.xml!A825</f>
        <v>30350100</v>
      </c>
      <c r="B821" s="1">
        <f>equip.xml!B825</f>
        <v>1</v>
      </c>
      <c r="C821" s="1" t="str">
        <f>equip.xml!C825</f>
        <v>苍蓝挂坠</v>
      </c>
      <c r="D821" s="1" t="str">
        <f>equip.xml!D825</f>
        <v>项链</v>
      </c>
      <c r="E821" s="1">
        <f>equip.xml!E825</f>
        <v>10</v>
      </c>
      <c r="F821" s="1">
        <f>equip.xml!F825</f>
        <v>3</v>
      </c>
      <c r="G821" s="1">
        <f>equip.xml!G825</f>
        <v>35</v>
      </c>
      <c r="H821" s="1">
        <f>equip.xml!H825</f>
        <v>0</v>
      </c>
      <c r="I821" s="1">
        <f>equip.xml!J825</f>
        <v>20</v>
      </c>
      <c r="J821" s="1">
        <f>equip.xml!K825</f>
        <v>0</v>
      </c>
      <c r="K821" s="1">
        <f>equip.xml!L825</f>
        <v>20000</v>
      </c>
      <c r="L821" s="1" t="str">
        <f>equip.xml!M825</f>
        <v>107_542_542</v>
      </c>
      <c r="M821" s="7" t="str">
        <f>equip.xml!Q825</f>
        <v>equipment/12006.png</v>
      </c>
      <c r="N821" t="str">
        <f>equip.xml!P825</f>
        <v>10000_1002_35000,30000_30001_1,30000_30002_1,30000_30003_1</v>
      </c>
    </row>
    <row r="822" spans="1:14">
      <c r="A822" s="1" t="str">
        <f>equip.xml!A826</f>
        <v>30351050</v>
      </c>
      <c r="B822" s="1">
        <f>equip.xml!B826</f>
        <v>1</v>
      </c>
      <c r="C822" s="1" t="str">
        <f>equip.xml!C826</f>
        <v>水晶剑</v>
      </c>
      <c r="D822" s="1" t="str">
        <f>equip.xml!D826</f>
        <v>主手武器</v>
      </c>
      <c r="E822" s="1">
        <f>equip.xml!E826</f>
        <v>5</v>
      </c>
      <c r="F822" s="1">
        <f>equip.xml!F826</f>
        <v>3</v>
      </c>
      <c r="G822" s="1">
        <f>equip.xml!G826</f>
        <v>35</v>
      </c>
      <c r="H822" s="1" t="str">
        <f>equip.xml!H826</f>
        <v>1,1001</v>
      </c>
      <c r="I822" s="1">
        <f>equip.xml!J826</f>
        <v>20</v>
      </c>
      <c r="J822" s="1">
        <f>equip.xml!K826</f>
        <v>0</v>
      </c>
      <c r="K822" s="1">
        <f>equip.xml!L826</f>
        <v>20000</v>
      </c>
      <c r="L822" s="1" t="str">
        <f>equip.xml!M826</f>
        <v>103_443_443,104_886_886</v>
      </c>
      <c r="M822" s="7" t="str">
        <f>equip.xml!Q826</f>
        <v>equipment/1114.png</v>
      </c>
      <c r="N822" t="str">
        <f>equip.xml!P826</f>
        <v>10000_1002_35000,30000_30001_1,30000_30002_1,30000_30003_1</v>
      </c>
    </row>
    <row r="823" spans="1:14">
      <c r="A823" s="1" t="str">
        <f>equip.xml!A827</f>
        <v>30351051</v>
      </c>
      <c r="B823" s="1">
        <f>equip.xml!B827</f>
        <v>0</v>
      </c>
      <c r="C823" s="1" t="str">
        <f>equip.xml!C827</f>
        <v>军刀</v>
      </c>
      <c r="D823" s="1" t="str">
        <f>equip.xml!D827</f>
        <v>主手武器</v>
      </c>
      <c r="E823" s="1">
        <f>equip.xml!E827</f>
        <v>5</v>
      </c>
      <c r="F823" s="1">
        <f>equip.xml!F827</f>
        <v>3</v>
      </c>
      <c r="G823" s="1">
        <f>equip.xml!G827</f>
        <v>35</v>
      </c>
      <c r="H823" s="1" t="str">
        <f>equip.xml!H827</f>
        <v>1,1001</v>
      </c>
      <c r="I823" s="1">
        <f>equip.xml!J827</f>
        <v>20</v>
      </c>
      <c r="J823" s="1">
        <f>equip.xml!K827</f>
        <v>0</v>
      </c>
      <c r="K823" s="1">
        <f>equip.xml!L827</f>
        <v>22500</v>
      </c>
      <c r="L823" s="1" t="str">
        <f>equip.xml!M827</f>
        <v>103_533_533,104_1066_1066</v>
      </c>
      <c r="M823" s="7" t="str">
        <f>equip.xml!Q827</f>
        <v>equipment/1101.png</v>
      </c>
      <c r="N823" t="str">
        <f>equip.xml!P827</f>
        <v>10000_1002_35000,30000_30001_1,30000_30002_1,30000_30003_1</v>
      </c>
    </row>
    <row r="824" spans="1:14">
      <c r="A824" s="1" t="str">
        <f>equip.xml!A828</f>
        <v>30351060</v>
      </c>
      <c r="B824" s="1">
        <f>equip.xml!B828</f>
        <v>1</v>
      </c>
      <c r="C824" s="1" t="str">
        <f>equip.xml!C828</f>
        <v>符记盾牌</v>
      </c>
      <c r="D824" s="1" t="str">
        <f>equip.xml!D828</f>
        <v>副手武器</v>
      </c>
      <c r="E824" s="1">
        <f>equip.xml!E828</f>
        <v>6</v>
      </c>
      <c r="F824" s="1">
        <f>equip.xml!F828</f>
        <v>3</v>
      </c>
      <c r="G824" s="1">
        <f>equip.xml!G828</f>
        <v>35</v>
      </c>
      <c r="H824" s="1" t="str">
        <f>equip.xml!H828</f>
        <v>1,1001</v>
      </c>
      <c r="I824" s="1">
        <f>equip.xml!J828</f>
        <v>20</v>
      </c>
      <c r="J824" s="1">
        <f>equip.xml!K828</f>
        <v>0</v>
      </c>
      <c r="K824" s="1">
        <f>equip.xml!L828</f>
        <v>20000</v>
      </c>
      <c r="L824" s="1" t="str">
        <f>equip.xml!M828</f>
        <v>105_676_676</v>
      </c>
      <c r="M824" s="7" t="str">
        <f>equip.xml!Q828</f>
        <v>equipment/2108.png</v>
      </c>
      <c r="N824" t="str">
        <f>equip.xml!P828</f>
        <v>10000_1002_35000,30000_30001_1,30000_30002_1,30000_30003_1</v>
      </c>
    </row>
    <row r="825" spans="1:14">
      <c r="A825" s="1" t="str">
        <f>equip.xml!A829</f>
        <v>30351061</v>
      </c>
      <c r="B825" s="1">
        <f>equip.xml!B829</f>
        <v>1</v>
      </c>
      <c r="C825" s="1" t="str">
        <f>equip.xml!C829</f>
        <v>秩序盾牌</v>
      </c>
      <c r="D825" s="1" t="str">
        <f>equip.xml!D829</f>
        <v>副手武器</v>
      </c>
      <c r="E825" s="1">
        <f>equip.xml!E829</f>
        <v>6</v>
      </c>
      <c r="F825" s="1">
        <f>equip.xml!F829</f>
        <v>3</v>
      </c>
      <c r="G825" s="1">
        <f>equip.xml!G829</f>
        <v>35</v>
      </c>
      <c r="H825" s="1" t="str">
        <f>equip.xml!H829</f>
        <v>1,1001</v>
      </c>
      <c r="I825" s="1">
        <f>equip.xml!J829</f>
        <v>20</v>
      </c>
      <c r="J825" s="1">
        <f>equip.xml!K829</f>
        <v>0</v>
      </c>
      <c r="K825" s="1">
        <f>equip.xml!L829</f>
        <v>22500</v>
      </c>
      <c r="L825" s="1" t="str">
        <f>equip.xml!M829</f>
        <v>105_758_758</v>
      </c>
      <c r="M825" s="7" t="str">
        <f>equip.xml!Q829</f>
        <v>equipment/2117.png</v>
      </c>
      <c r="N825" t="str">
        <f>equip.xml!P829</f>
        <v>10000_1002_35000,30000_30001_1,30000_30002_1,30000_30003_1</v>
      </c>
    </row>
    <row r="826" spans="1:14">
      <c r="A826" s="1" t="str">
        <f>equip.xml!A830</f>
        <v>30352050</v>
      </c>
      <c r="B826" s="1">
        <f>equip.xml!B830</f>
        <v>1</v>
      </c>
      <c r="C826" s="1" t="str">
        <f>equip.xml!C830</f>
        <v>风语者弯弓</v>
      </c>
      <c r="D826" s="1" t="str">
        <f>equip.xml!D830</f>
        <v>主手武器</v>
      </c>
      <c r="E826" s="1">
        <f>equip.xml!E830</f>
        <v>5</v>
      </c>
      <c r="F826" s="1">
        <f>equip.xml!F830</f>
        <v>3</v>
      </c>
      <c r="G826" s="1">
        <f>equip.xml!G830</f>
        <v>35</v>
      </c>
      <c r="H826" s="1" t="str">
        <f>equip.xml!H830</f>
        <v>2,1002</v>
      </c>
      <c r="I826" s="1">
        <f>equip.xml!J830</f>
        <v>20</v>
      </c>
      <c r="J826" s="1">
        <f>equip.xml!K830</f>
        <v>0</v>
      </c>
      <c r="K826" s="1">
        <f>equip.xml!L830</f>
        <v>20000</v>
      </c>
      <c r="L826" s="1" t="str">
        <f>equip.xml!M830</f>
        <v>103_443_443,104_886_886</v>
      </c>
      <c r="M826" s="7" t="str">
        <f>equip.xml!Q830</f>
        <v>equipment/1213.png</v>
      </c>
      <c r="N826" t="str">
        <f>equip.xml!P830</f>
        <v>10000_1002_35000,30000_30001_1,30000_30002_1,30000_30003_1</v>
      </c>
    </row>
    <row r="827" spans="1:14">
      <c r="A827" s="1" t="str">
        <f>equip.xml!A831</f>
        <v>30352051</v>
      </c>
      <c r="B827" s="1">
        <f>equip.xml!B831</f>
        <v>0</v>
      </c>
      <c r="C827" s="1" t="str">
        <f>equip.xml!C831</f>
        <v>棘木弓</v>
      </c>
      <c r="D827" s="1" t="str">
        <f>equip.xml!D831</f>
        <v>主手武器</v>
      </c>
      <c r="E827" s="1">
        <f>equip.xml!E831</f>
        <v>5</v>
      </c>
      <c r="F827" s="1">
        <f>equip.xml!F831</f>
        <v>3</v>
      </c>
      <c r="G827" s="1">
        <f>equip.xml!G831</f>
        <v>35</v>
      </c>
      <c r="H827" s="1" t="str">
        <f>equip.xml!H831</f>
        <v>2,1002</v>
      </c>
      <c r="I827" s="1">
        <f>equip.xml!J831</f>
        <v>20</v>
      </c>
      <c r="J827" s="1">
        <f>equip.xml!K831</f>
        <v>0</v>
      </c>
      <c r="K827" s="1">
        <f>equip.xml!L831</f>
        <v>22500</v>
      </c>
      <c r="L827" s="1" t="str">
        <f>equip.xml!M831</f>
        <v>103_533_533,104_1066_1066</v>
      </c>
      <c r="M827" s="7" t="str">
        <f>equip.xml!Q831</f>
        <v>equipment/1201.png</v>
      </c>
      <c r="N827" t="str">
        <f>equip.xml!P831</f>
        <v>10000_1002_35000,30000_30001_1,30000_30002_1,30000_30003_1</v>
      </c>
    </row>
    <row r="828" spans="1:14">
      <c r="A828" s="1" t="str">
        <f>equip.xml!A832</f>
        <v>30352060</v>
      </c>
      <c r="B828" s="1">
        <f>equip.xml!B832</f>
        <v>1</v>
      </c>
      <c r="C828" s="1" t="str">
        <f>equip.xml!C832</f>
        <v>游侠箭筒</v>
      </c>
      <c r="D828" s="1" t="str">
        <f>equip.xml!D832</f>
        <v>副手武器</v>
      </c>
      <c r="E828" s="1">
        <f>equip.xml!E832</f>
        <v>6</v>
      </c>
      <c r="F828" s="1">
        <f>equip.xml!F832</f>
        <v>3</v>
      </c>
      <c r="G828" s="1">
        <f>equip.xml!G832</f>
        <v>35</v>
      </c>
      <c r="H828" s="1" t="str">
        <f>equip.xml!H832</f>
        <v>2,1002</v>
      </c>
      <c r="I828" s="1">
        <f>equip.xml!J832</f>
        <v>20</v>
      </c>
      <c r="J828" s="1">
        <f>equip.xml!K832</f>
        <v>0</v>
      </c>
      <c r="K828" s="1">
        <f>equip.xml!L832</f>
        <v>20000</v>
      </c>
      <c r="L828" s="1" t="str">
        <f>equip.xml!M832</f>
        <v>108_676_676</v>
      </c>
      <c r="M828" s="7" t="str">
        <f>equip.xml!Q832</f>
        <v>equipment/2208.png</v>
      </c>
      <c r="N828" t="str">
        <f>equip.xml!P832</f>
        <v>10000_1002_35000,30000_30001_1,30000_30002_1,30000_30003_1</v>
      </c>
    </row>
    <row r="829" spans="1:14">
      <c r="A829" s="1" t="str">
        <f>equip.xml!A833</f>
        <v>30352061</v>
      </c>
      <c r="B829" s="1">
        <f>equip.xml!B833</f>
        <v>1</v>
      </c>
      <c r="C829" s="1" t="str">
        <f>equip.xml!C833</f>
        <v>风行者箭筒</v>
      </c>
      <c r="D829" s="1" t="str">
        <f>equip.xml!D833</f>
        <v>副手武器</v>
      </c>
      <c r="E829" s="1">
        <f>equip.xml!E833</f>
        <v>6</v>
      </c>
      <c r="F829" s="1">
        <f>equip.xml!F833</f>
        <v>3</v>
      </c>
      <c r="G829" s="1">
        <f>equip.xml!G833</f>
        <v>35</v>
      </c>
      <c r="H829" s="1" t="str">
        <f>equip.xml!H833</f>
        <v>2,1002</v>
      </c>
      <c r="I829" s="1">
        <f>equip.xml!J833</f>
        <v>20</v>
      </c>
      <c r="J829" s="1">
        <f>equip.xml!K833</f>
        <v>0</v>
      </c>
      <c r="K829" s="1">
        <f>equip.xml!L833</f>
        <v>22500</v>
      </c>
      <c r="L829" s="1" t="str">
        <f>equip.xml!M833</f>
        <v>108_758_758</v>
      </c>
      <c r="M829" s="7" t="str">
        <f>equip.xml!Q833</f>
        <v>equipment/2201.png</v>
      </c>
      <c r="N829" t="str">
        <f>equip.xml!P833</f>
        <v>10000_1002_35000,30000_30001_1,30000_30002_1,30000_30003_1</v>
      </c>
    </row>
    <row r="830" spans="1:14">
      <c r="A830" s="1" t="str">
        <f>equip.xml!A834</f>
        <v>30353050</v>
      </c>
      <c r="B830" s="1">
        <f>equip.xml!B834</f>
        <v>1</v>
      </c>
      <c r="C830" s="1" t="str">
        <f>equip.xml!C834</f>
        <v>聚能之杖</v>
      </c>
      <c r="D830" s="1" t="str">
        <f>equip.xml!D834</f>
        <v>主手武器</v>
      </c>
      <c r="E830" s="1">
        <f>equip.xml!E834</f>
        <v>5</v>
      </c>
      <c r="F830" s="1">
        <f>equip.xml!F834</f>
        <v>3</v>
      </c>
      <c r="G830" s="1">
        <f>equip.xml!G834</f>
        <v>35</v>
      </c>
      <c r="H830" s="1" t="str">
        <f>equip.xml!H834</f>
        <v>3,1003</v>
      </c>
      <c r="I830" s="1">
        <f>equip.xml!J834</f>
        <v>20</v>
      </c>
      <c r="J830" s="1">
        <f>equip.xml!K834</f>
        <v>0</v>
      </c>
      <c r="K830" s="1">
        <f>equip.xml!L834</f>
        <v>20000</v>
      </c>
      <c r="L830" s="1" t="str">
        <f>equip.xml!M834</f>
        <v>103_443_443,104_886_886</v>
      </c>
      <c r="M830" s="7" t="str">
        <f>equip.xml!Q834</f>
        <v>equipment/1314.png</v>
      </c>
      <c r="N830" t="str">
        <f>equip.xml!P834</f>
        <v>10000_1002_35000,30000_30001_1,30000_30002_1,30000_30003_1</v>
      </c>
    </row>
    <row r="831" spans="1:14">
      <c r="A831" s="1" t="str">
        <f>equip.xml!A835</f>
        <v>30353051</v>
      </c>
      <c r="B831" s="1">
        <f>equip.xml!B835</f>
        <v>0</v>
      </c>
      <c r="C831" s="1" t="str">
        <f>equip.xml!C835</f>
        <v>学徒法杖</v>
      </c>
      <c r="D831" s="1" t="str">
        <f>equip.xml!D835</f>
        <v>主手武器</v>
      </c>
      <c r="E831" s="1">
        <f>equip.xml!E835</f>
        <v>5</v>
      </c>
      <c r="F831" s="1">
        <f>equip.xml!F835</f>
        <v>3</v>
      </c>
      <c r="G831" s="1">
        <f>equip.xml!G835</f>
        <v>35</v>
      </c>
      <c r="H831" s="1" t="str">
        <f>equip.xml!H835</f>
        <v>3,1003</v>
      </c>
      <c r="I831" s="1">
        <f>equip.xml!J835</f>
        <v>20</v>
      </c>
      <c r="J831" s="1">
        <f>equip.xml!K835</f>
        <v>0</v>
      </c>
      <c r="K831" s="1">
        <f>equip.xml!L835</f>
        <v>22500</v>
      </c>
      <c r="L831" s="1" t="str">
        <f>equip.xml!M835</f>
        <v>103_533_533,104_1066_1066</v>
      </c>
      <c r="M831" s="7" t="str">
        <f>equip.xml!Q835</f>
        <v>equipment/1301.png</v>
      </c>
      <c r="N831" t="str">
        <f>equip.xml!P835</f>
        <v>10000_1002_35000,30000_30001_1,30000_30002_1,30000_30003_1</v>
      </c>
    </row>
    <row r="832" spans="1:14">
      <c r="A832" s="1" t="str">
        <f>equip.xml!A836</f>
        <v>30353060</v>
      </c>
      <c r="B832" s="1">
        <f>equip.xml!B836</f>
        <v>1</v>
      </c>
      <c r="C832" s="1" t="str">
        <f>equip.xml!C836</f>
        <v>召唤魔典</v>
      </c>
      <c r="D832" s="1" t="str">
        <f>equip.xml!D836</f>
        <v>副手武器</v>
      </c>
      <c r="E832" s="1">
        <f>equip.xml!E836</f>
        <v>6</v>
      </c>
      <c r="F832" s="1">
        <f>equip.xml!F836</f>
        <v>3</v>
      </c>
      <c r="G832" s="1">
        <f>equip.xml!G836</f>
        <v>35</v>
      </c>
      <c r="H832" s="1" t="str">
        <f>equip.xml!H836</f>
        <v>3,1003</v>
      </c>
      <c r="I832" s="1">
        <f>equip.xml!J836</f>
        <v>20</v>
      </c>
      <c r="J832" s="1">
        <f>equip.xml!K836</f>
        <v>0</v>
      </c>
      <c r="K832" s="1">
        <f>equip.xml!L836</f>
        <v>20000</v>
      </c>
      <c r="L832" s="1" t="str">
        <f>equip.xml!M836</f>
        <v>102_1040_1040</v>
      </c>
      <c r="M832" s="7" t="str">
        <f>equip.xml!Q836</f>
        <v>equipment/2308.png</v>
      </c>
      <c r="N832" t="str">
        <f>equip.xml!P836</f>
        <v>10000_1002_35000,30000_30001_1,30000_30002_1,30000_30003_1</v>
      </c>
    </row>
    <row r="833" spans="1:14">
      <c r="A833" s="1" t="str">
        <f>equip.xml!A837</f>
        <v>30353061</v>
      </c>
      <c r="B833" s="1">
        <f>equip.xml!B837</f>
        <v>1</v>
      </c>
      <c r="C833" s="1" t="str">
        <f>equip.xml!C837</f>
        <v>大法师之书</v>
      </c>
      <c r="D833" s="1" t="str">
        <f>equip.xml!D837</f>
        <v>副手武器</v>
      </c>
      <c r="E833" s="1">
        <f>equip.xml!E837</f>
        <v>6</v>
      </c>
      <c r="F833" s="1">
        <f>equip.xml!F837</f>
        <v>3</v>
      </c>
      <c r="G833" s="1">
        <f>equip.xml!G837</f>
        <v>35</v>
      </c>
      <c r="H833" s="1" t="str">
        <f>equip.xml!H837</f>
        <v>3,1003</v>
      </c>
      <c r="I833" s="1">
        <f>equip.xml!J837</f>
        <v>20</v>
      </c>
      <c r="J833" s="1">
        <f>equip.xml!K837</f>
        <v>0</v>
      </c>
      <c r="K833" s="1">
        <f>equip.xml!L837</f>
        <v>22500</v>
      </c>
      <c r="L833" s="1" t="str">
        <f>equip.xml!M837</f>
        <v>102_1120_1120</v>
      </c>
      <c r="M833" s="7" t="str">
        <f>equip.xml!Q837</f>
        <v>equipment/2314.png</v>
      </c>
      <c r="N833" t="str">
        <f>equip.xml!P837</f>
        <v>10000_1002_35000,30000_30001_1,30000_30002_1,30000_30003_1</v>
      </c>
    </row>
    <row r="834" spans="1:14">
      <c r="A834" s="1" t="str">
        <f>equip.xml!A838</f>
        <v>30350040</v>
      </c>
      <c r="B834" s="1">
        <f>equip.xml!B838</f>
        <v>1</v>
      </c>
      <c r="C834" s="1" t="str">
        <f>equip.xml!C838</f>
        <v>蛮兽胸甲</v>
      </c>
      <c r="D834" s="1" t="str">
        <f>equip.xml!D838</f>
        <v>胸甲</v>
      </c>
      <c r="E834" s="1">
        <f>equip.xml!E838</f>
        <v>4</v>
      </c>
      <c r="F834" s="1">
        <f>equip.xml!F838</f>
        <v>3</v>
      </c>
      <c r="G834" s="1">
        <f>equip.xml!G838</f>
        <v>35</v>
      </c>
      <c r="H834" s="1">
        <f>equip.xml!H838</f>
        <v>0</v>
      </c>
      <c r="I834" s="1">
        <f>equip.xml!J838</f>
        <v>20</v>
      </c>
      <c r="J834" s="1">
        <f>equip.xml!K838</f>
        <v>0</v>
      </c>
      <c r="K834" s="1">
        <f>equip.xml!L838</f>
        <v>20000</v>
      </c>
      <c r="L834" s="1" t="str">
        <f>equip.xml!M838</f>
        <v>105_293_293</v>
      </c>
      <c r="M834" s="7" t="str">
        <f>equip.xml!Q838</f>
        <v>equipment/5011.png</v>
      </c>
      <c r="N834" t="str">
        <f>equip.xml!P838</f>
        <v>10000_1002_35000,30000_30001_1,30000_30002_1,30000_30003_1</v>
      </c>
    </row>
    <row r="835" spans="1:14">
      <c r="A835" s="1" t="str">
        <f>equip.xml!A839</f>
        <v>30350041</v>
      </c>
      <c r="B835" s="1">
        <f>equip.xml!B839</f>
        <v>1</v>
      </c>
      <c r="C835" s="1" t="str">
        <f>equip.xml!C839</f>
        <v>魔鳞外衣</v>
      </c>
      <c r="D835" s="1" t="str">
        <f>equip.xml!D839</f>
        <v>胸甲</v>
      </c>
      <c r="E835" s="1">
        <f>equip.xml!E839</f>
        <v>4</v>
      </c>
      <c r="F835" s="1">
        <f>equip.xml!F839</f>
        <v>3</v>
      </c>
      <c r="G835" s="1">
        <f>equip.xml!G839</f>
        <v>35</v>
      </c>
      <c r="H835" s="1">
        <f>equip.xml!H839</f>
        <v>0</v>
      </c>
      <c r="I835" s="1">
        <f>equip.xml!J839</f>
        <v>20</v>
      </c>
      <c r="J835" s="1">
        <f>equip.xml!K839</f>
        <v>0</v>
      </c>
      <c r="K835" s="1">
        <f>equip.xml!L839</f>
        <v>22500</v>
      </c>
      <c r="L835" s="1" t="str">
        <f>equip.xml!M839</f>
        <v>105_375_375</v>
      </c>
      <c r="M835" s="7" t="str">
        <f>equip.xml!Q839</f>
        <v>equipment/5001.png</v>
      </c>
      <c r="N835" t="str">
        <f>equip.xml!P839</f>
        <v>10000_1002_35000,30000_30001_1,30000_30002_1,30000_30003_1</v>
      </c>
    </row>
    <row r="836" spans="1:14">
      <c r="A836" s="1" t="str">
        <f>equip.xml!A840</f>
        <v>30350070</v>
      </c>
      <c r="B836" s="1">
        <f>equip.xml!B840</f>
        <v>1</v>
      </c>
      <c r="C836" s="1" t="str">
        <f>equip.xml!C840</f>
        <v>残忍腿甲</v>
      </c>
      <c r="D836" s="1" t="str">
        <f>equip.xml!D840</f>
        <v>护腿</v>
      </c>
      <c r="E836" s="1">
        <f>equip.xml!E840</f>
        <v>7</v>
      </c>
      <c r="F836" s="1">
        <f>equip.xml!F840</f>
        <v>3</v>
      </c>
      <c r="G836" s="1">
        <f>equip.xml!G840</f>
        <v>35</v>
      </c>
      <c r="H836" s="1">
        <f>equip.xml!H840</f>
        <v>0</v>
      </c>
      <c r="I836" s="1">
        <f>equip.xml!J840</f>
        <v>20</v>
      </c>
      <c r="J836" s="1">
        <f>equip.xml!K840</f>
        <v>0</v>
      </c>
      <c r="K836" s="1">
        <f>equip.xml!L840</f>
        <v>20000</v>
      </c>
      <c r="L836" s="1" t="str">
        <f>equip.xml!M840</f>
        <v>105_293_293</v>
      </c>
      <c r="M836" s="7" t="str">
        <f>equip.xml!Q840</f>
        <v>equipment/7008.png</v>
      </c>
      <c r="N836" t="str">
        <f>equip.xml!P840</f>
        <v>10000_1002_35000,30000_30001_1,30000_30002_1,30000_30003_1</v>
      </c>
    </row>
    <row r="837" spans="1:14">
      <c r="A837" s="1" t="str">
        <f>equip.xml!A841</f>
        <v>30350071</v>
      </c>
      <c r="B837" s="1">
        <f>equip.xml!B841</f>
        <v>0</v>
      </c>
      <c r="C837" s="1" t="str">
        <f>equip.xml!C841</f>
        <v>学徒短裤</v>
      </c>
      <c r="D837" s="1" t="str">
        <f>equip.xml!D841</f>
        <v>护腿</v>
      </c>
      <c r="E837" s="1">
        <f>equip.xml!E841</f>
        <v>7</v>
      </c>
      <c r="F837" s="1">
        <f>equip.xml!F841</f>
        <v>3</v>
      </c>
      <c r="G837" s="1">
        <f>equip.xml!G841</f>
        <v>35</v>
      </c>
      <c r="H837" s="1">
        <f>equip.xml!H841</f>
        <v>0</v>
      </c>
      <c r="I837" s="1">
        <f>equip.xml!J841</f>
        <v>20</v>
      </c>
      <c r="J837" s="1">
        <f>equip.xml!K841</f>
        <v>0</v>
      </c>
      <c r="K837" s="1">
        <f>equip.xml!L841</f>
        <v>22500</v>
      </c>
      <c r="L837" s="1" t="str">
        <f>equip.xml!M841</f>
        <v>105_331_331</v>
      </c>
      <c r="M837" s="7" t="str">
        <f>equip.xml!Q841</f>
        <v>equipment/7001.png</v>
      </c>
      <c r="N837" t="str">
        <f>equip.xml!P841</f>
        <v>10000_1002_35000,30000_30001_1,30000_30002_1,30000_30003_1</v>
      </c>
    </row>
    <row r="838" spans="1:14">
      <c r="A838" s="1" t="str">
        <f>equip.xml!A842</f>
        <v>30400010</v>
      </c>
      <c r="B838" s="1">
        <f>equip.xml!B842</f>
        <v>1</v>
      </c>
      <c r="C838" s="1" t="str">
        <f>equip.xml!C842</f>
        <v>烈焰头罩</v>
      </c>
      <c r="D838" s="1" t="str">
        <f>equip.xml!D842</f>
        <v>头盔</v>
      </c>
      <c r="E838" s="1">
        <f>equip.xml!E842</f>
        <v>1</v>
      </c>
      <c r="F838" s="1">
        <f>equip.xml!F842</f>
        <v>3</v>
      </c>
      <c r="G838" s="1">
        <f>equip.xml!G842</f>
        <v>40</v>
      </c>
      <c r="H838" s="1">
        <f>equip.xml!H842</f>
        <v>0</v>
      </c>
      <c r="I838" s="1">
        <f>equip.xml!J842</f>
        <v>20</v>
      </c>
      <c r="J838" s="1">
        <f>equip.xml!K842</f>
        <v>0</v>
      </c>
      <c r="K838" s="1">
        <f>equip.xml!L842</f>
        <v>22500</v>
      </c>
      <c r="L838" s="1" t="str">
        <f>equip.xml!M842</f>
        <v>106_751_751</v>
      </c>
      <c r="M838" s="7" t="str">
        <f>equip.xml!Q842</f>
        <v>equipment/3007.png</v>
      </c>
      <c r="N838" t="str">
        <f>equip.xml!P842</f>
        <v>10000_1002_40000,30000_30001_1,30000_30002_1,30000_30003_1</v>
      </c>
    </row>
    <row r="839" spans="1:14">
      <c r="A839" s="1" t="str">
        <f>equip.xml!A843</f>
        <v>30400020</v>
      </c>
      <c r="B839" s="1">
        <f>equip.xml!B843</f>
        <v>1</v>
      </c>
      <c r="C839" s="1" t="str">
        <f>equip.xml!C843</f>
        <v>龙纹戒指</v>
      </c>
      <c r="D839" s="1" t="str">
        <f>equip.xml!D843</f>
        <v>戒指</v>
      </c>
      <c r="E839" s="1">
        <f>equip.xml!E843</f>
        <v>2</v>
      </c>
      <c r="F839" s="1">
        <f>equip.xml!F843</f>
        <v>3</v>
      </c>
      <c r="G839" s="1">
        <f>equip.xml!G843</f>
        <v>40</v>
      </c>
      <c r="H839" s="1">
        <f>equip.xml!H843</f>
        <v>0</v>
      </c>
      <c r="I839" s="1">
        <f>equip.xml!J843</f>
        <v>20</v>
      </c>
      <c r="J839" s="1">
        <f>equip.xml!K843</f>
        <v>0</v>
      </c>
      <c r="K839" s="1">
        <f>equip.xml!L843</f>
        <v>22500</v>
      </c>
      <c r="L839" s="1" t="str">
        <f>equip.xml!M843</f>
        <v>102_740_740</v>
      </c>
      <c r="M839" s="7" t="str">
        <f>equip.xml!Q843</f>
        <v>equipment/14007.png</v>
      </c>
      <c r="N839" t="str">
        <f>equip.xml!P843</f>
        <v>10000_1002_40000,30000_30001_1,30000_30002_1,30000_30003_1</v>
      </c>
    </row>
    <row r="840" spans="1:14">
      <c r="A840" s="1" t="str">
        <f>equip.xml!A844</f>
        <v>30400030</v>
      </c>
      <c r="B840" s="1">
        <f>equip.xml!B844</f>
        <v>1</v>
      </c>
      <c r="C840" s="1" t="str">
        <f>equip.xml!C844</f>
        <v>力量腰带</v>
      </c>
      <c r="D840" s="1" t="str">
        <f>equip.xml!D844</f>
        <v>腰带</v>
      </c>
      <c r="E840" s="1">
        <f>equip.xml!E844</f>
        <v>3</v>
      </c>
      <c r="F840" s="1">
        <f>equip.xml!F844</f>
        <v>3</v>
      </c>
      <c r="G840" s="1">
        <f>equip.xml!G844</f>
        <v>40</v>
      </c>
      <c r="H840" s="1">
        <f>equip.xml!H844</f>
        <v>0</v>
      </c>
      <c r="I840" s="1">
        <f>equip.xml!J844</f>
        <v>20</v>
      </c>
      <c r="J840" s="1">
        <f>equip.xml!K844</f>
        <v>0</v>
      </c>
      <c r="K840" s="1">
        <f>equip.xml!L844</f>
        <v>22500</v>
      </c>
      <c r="L840" s="1" t="str">
        <f>equip.xml!M844</f>
        <v>101_6720_6720</v>
      </c>
      <c r="M840" s="7" t="str">
        <f>equip.xml!Q844</f>
        <v>equipment/6007.png</v>
      </c>
      <c r="N840" t="str">
        <f>equip.xml!P844</f>
        <v>10000_1002_40000,30000_30001_1,30000_30002_1,30000_30003_1</v>
      </c>
    </row>
    <row r="841" spans="1:14">
      <c r="A841" s="1" t="str">
        <f>equip.xml!A845</f>
        <v>30400080</v>
      </c>
      <c r="B841" s="1">
        <f>equip.xml!B845</f>
        <v>1</v>
      </c>
      <c r="C841" s="1" t="str">
        <f>equip.xml!C845</f>
        <v>征战之靴</v>
      </c>
      <c r="D841" s="1" t="str">
        <f>equip.xml!D845</f>
        <v>鞋子</v>
      </c>
      <c r="E841" s="1">
        <f>equip.xml!E845</f>
        <v>8</v>
      </c>
      <c r="F841" s="1">
        <f>equip.xml!F845</f>
        <v>3</v>
      </c>
      <c r="G841" s="1">
        <f>equip.xml!G845</f>
        <v>40</v>
      </c>
      <c r="H841" s="1">
        <f>equip.xml!H845</f>
        <v>0</v>
      </c>
      <c r="I841" s="1">
        <f>equip.xml!J845</f>
        <v>20</v>
      </c>
      <c r="J841" s="1">
        <f>equip.xml!K845</f>
        <v>0</v>
      </c>
      <c r="K841" s="1">
        <f>equip.xml!L845</f>
        <v>22500</v>
      </c>
      <c r="L841" s="1" t="str">
        <f>equip.xml!M845</f>
        <v>110_108_108</v>
      </c>
      <c r="M841" s="7" t="str">
        <f>equip.xml!Q845</f>
        <v>equipment/8007.png</v>
      </c>
      <c r="N841" t="str">
        <f>equip.xml!P845</f>
        <v>10000_1002_40000,30000_30001_1,30000_30002_1,30000_30003_1</v>
      </c>
    </row>
    <row r="842" spans="1:14">
      <c r="A842" s="1" t="str">
        <f>equip.xml!A846</f>
        <v>30400090</v>
      </c>
      <c r="B842" s="1">
        <f>equip.xml!B846</f>
        <v>1</v>
      </c>
      <c r="C842" s="1" t="str">
        <f>equip.xml!C846</f>
        <v>重拳手套</v>
      </c>
      <c r="D842" s="1" t="str">
        <f>equip.xml!D846</f>
        <v>手套</v>
      </c>
      <c r="E842" s="1">
        <f>equip.xml!E846</f>
        <v>9</v>
      </c>
      <c r="F842" s="1">
        <f>equip.xml!F846</f>
        <v>3</v>
      </c>
      <c r="G842" s="1">
        <f>equip.xml!G846</f>
        <v>40</v>
      </c>
      <c r="H842" s="1">
        <f>equip.xml!H846</f>
        <v>0</v>
      </c>
      <c r="I842" s="1">
        <f>equip.xml!J846</f>
        <v>20</v>
      </c>
      <c r="J842" s="1">
        <f>equip.xml!K846</f>
        <v>0</v>
      </c>
      <c r="K842" s="1">
        <f>equip.xml!L846</f>
        <v>22500</v>
      </c>
      <c r="L842" s="1" t="str">
        <f>equip.xml!M846</f>
        <v>108_880_880</v>
      </c>
      <c r="M842" s="7" t="str">
        <f>equip.xml!Q846</f>
        <v>equipment/10007.png</v>
      </c>
      <c r="N842" t="str">
        <f>equip.xml!P846</f>
        <v>10000_1002_40000,30000_30001_1,30000_30002_1,30000_30003_1</v>
      </c>
    </row>
    <row r="843" spans="1:14">
      <c r="A843" s="1" t="str">
        <f>equip.xml!A847</f>
        <v>30400100</v>
      </c>
      <c r="B843" s="1">
        <f>equip.xml!B847</f>
        <v>0</v>
      </c>
      <c r="C843" s="1" t="str">
        <f>equip.xml!C847</f>
        <v>贝壳项链</v>
      </c>
      <c r="D843" s="1" t="str">
        <f>equip.xml!D847</f>
        <v>项链</v>
      </c>
      <c r="E843" s="1">
        <f>equip.xml!E847</f>
        <v>10</v>
      </c>
      <c r="F843" s="1">
        <f>equip.xml!F847</f>
        <v>3</v>
      </c>
      <c r="G843" s="1">
        <f>equip.xml!G847</f>
        <v>40</v>
      </c>
      <c r="H843" s="1">
        <f>equip.xml!H847</f>
        <v>0</v>
      </c>
      <c r="I843" s="1">
        <f>equip.xml!J847</f>
        <v>20</v>
      </c>
      <c r="J843" s="1">
        <f>equip.xml!K847</f>
        <v>0</v>
      </c>
      <c r="K843" s="1">
        <f>equip.xml!L847</f>
        <v>22500</v>
      </c>
      <c r="L843" s="1" t="str">
        <f>equip.xml!M847</f>
        <v>107_542_542</v>
      </c>
      <c r="M843" s="7" t="str">
        <f>equip.xml!Q847</f>
        <v>equipment/12001.png</v>
      </c>
      <c r="N843" t="str">
        <f>equip.xml!P847</f>
        <v>10000_1002_40000,30000_30001_1,30000_30002_1,30000_30003_1</v>
      </c>
    </row>
    <row r="844" spans="1:14">
      <c r="A844" s="1" t="str">
        <f>equip.xml!A848</f>
        <v>30401050</v>
      </c>
      <c r="B844" s="1">
        <f>equip.xml!B848</f>
        <v>1</v>
      </c>
      <c r="C844" s="1" t="str">
        <f>equip.xml!C848</f>
        <v>魔铁巨剑</v>
      </c>
      <c r="D844" s="1" t="str">
        <f>equip.xml!D848</f>
        <v>主手武器</v>
      </c>
      <c r="E844" s="1">
        <f>equip.xml!E848</f>
        <v>5</v>
      </c>
      <c r="F844" s="1">
        <f>equip.xml!F848</f>
        <v>3</v>
      </c>
      <c r="G844" s="1">
        <f>equip.xml!G848</f>
        <v>40</v>
      </c>
      <c r="H844" s="1" t="str">
        <f>equip.xml!H848</f>
        <v>1,1001</v>
      </c>
      <c r="I844" s="1">
        <f>equip.xml!J848</f>
        <v>20</v>
      </c>
      <c r="J844" s="1">
        <f>equip.xml!K848</f>
        <v>0</v>
      </c>
      <c r="K844" s="1">
        <f>equip.xml!L848</f>
        <v>22500</v>
      </c>
      <c r="L844" s="1" t="str">
        <f>equip.xml!M848</f>
        <v>103_670_670,104_1340_1340</v>
      </c>
      <c r="M844" s="7" t="str">
        <f>equip.xml!Q848</f>
        <v>equipment/1115.png</v>
      </c>
      <c r="N844" t="str">
        <f>equip.xml!P848</f>
        <v>10000_1002_40000,30000_30001_1,30000_30002_1,30000_30003_1</v>
      </c>
    </row>
    <row r="845" spans="1:14">
      <c r="A845" s="1" t="str">
        <f>equip.xml!A849</f>
        <v>30401051</v>
      </c>
      <c r="B845" s="1">
        <f>equip.xml!B849</f>
        <v>1</v>
      </c>
      <c r="C845" s="1" t="str">
        <f>equip.xml!C849</f>
        <v>破咒之刃</v>
      </c>
      <c r="D845" s="1" t="str">
        <f>equip.xml!D849</f>
        <v>主手武器</v>
      </c>
      <c r="E845" s="1">
        <f>equip.xml!E849</f>
        <v>5</v>
      </c>
      <c r="F845" s="1">
        <f>equip.xml!F849</f>
        <v>3</v>
      </c>
      <c r="G845" s="1">
        <f>equip.xml!G849</f>
        <v>40</v>
      </c>
      <c r="H845" s="1" t="str">
        <f>equip.xml!H849</f>
        <v>1,1001</v>
      </c>
      <c r="I845" s="1">
        <f>equip.xml!J849</f>
        <v>20</v>
      </c>
      <c r="J845" s="1">
        <f>equip.xml!K849</f>
        <v>0</v>
      </c>
      <c r="K845" s="1">
        <f>equip.xml!L849</f>
        <v>25000</v>
      </c>
      <c r="L845" s="1" t="str">
        <f>equip.xml!M849</f>
        <v>103_743_743,104_1486_1486</v>
      </c>
      <c r="M845" s="7" t="str">
        <f>equip.xml!Q849</f>
        <v>equipment/1116.png</v>
      </c>
      <c r="N845" t="str">
        <f>equip.xml!P849</f>
        <v>10000_1002_40000,30000_30001_1,30000_30002_1,30000_30003_1</v>
      </c>
    </row>
    <row r="846" spans="1:14">
      <c r="A846" s="1" t="str">
        <f>equip.xml!A850</f>
        <v>30401060</v>
      </c>
      <c r="B846" s="1">
        <f>equip.xml!B850</f>
        <v>1</v>
      </c>
      <c r="C846" s="1" t="str">
        <f>equip.xml!C850</f>
        <v>洛阿巨盾</v>
      </c>
      <c r="D846" s="1" t="str">
        <f>equip.xml!D850</f>
        <v>副手武器</v>
      </c>
      <c r="E846" s="1">
        <f>equip.xml!E850</f>
        <v>6</v>
      </c>
      <c r="F846" s="1">
        <f>equip.xml!F850</f>
        <v>3</v>
      </c>
      <c r="G846" s="1">
        <f>equip.xml!G850</f>
        <v>40</v>
      </c>
      <c r="H846" s="1" t="str">
        <f>equip.xml!H850</f>
        <v>1,1001</v>
      </c>
      <c r="I846" s="1">
        <f>equip.xml!J850</f>
        <v>20</v>
      </c>
      <c r="J846" s="1">
        <f>equip.xml!K850</f>
        <v>0</v>
      </c>
      <c r="K846" s="1">
        <f>equip.xml!L850</f>
        <v>22500</v>
      </c>
      <c r="L846" s="1" t="str">
        <f>equip.xml!M850</f>
        <v>105_880_880</v>
      </c>
      <c r="M846" s="7" t="str">
        <f>equip.xml!Q850</f>
        <v>equipment/2109.png</v>
      </c>
      <c r="N846" t="str">
        <f>equip.xml!P850</f>
        <v>10000_1002_40000,30000_30001_1,30000_30002_1,30000_30003_1</v>
      </c>
    </row>
    <row r="847" spans="1:14">
      <c r="A847" s="1" t="str">
        <f>equip.xml!A851</f>
        <v>30401061</v>
      </c>
      <c r="B847" s="1">
        <f>equip.xml!B851</f>
        <v>0</v>
      </c>
      <c r="C847" s="1" t="str">
        <f>equip.xml!C851</f>
        <v>尖头盾</v>
      </c>
      <c r="D847" s="1" t="str">
        <f>equip.xml!D851</f>
        <v>副手武器</v>
      </c>
      <c r="E847" s="1">
        <f>equip.xml!E851</f>
        <v>6</v>
      </c>
      <c r="F847" s="1">
        <f>equip.xml!F851</f>
        <v>3</v>
      </c>
      <c r="G847" s="1">
        <f>equip.xml!G851</f>
        <v>40</v>
      </c>
      <c r="H847" s="1" t="str">
        <f>equip.xml!H851</f>
        <v>1,1001</v>
      </c>
      <c r="I847" s="1">
        <f>equip.xml!J851</f>
        <v>20</v>
      </c>
      <c r="J847" s="1">
        <f>equip.xml!K851</f>
        <v>0</v>
      </c>
      <c r="K847" s="1">
        <f>equip.xml!L851</f>
        <v>25000</v>
      </c>
      <c r="L847" s="1" t="str">
        <f>equip.xml!M851</f>
        <v>105_1029_1029</v>
      </c>
      <c r="M847" s="7" t="str">
        <f>equip.xml!Q851</f>
        <v>equipment/2101.png</v>
      </c>
      <c r="N847" t="str">
        <f>equip.xml!P851</f>
        <v>10000_1002_40000,30000_30001_1,30000_30002_1,30000_30003_1</v>
      </c>
    </row>
    <row r="848" spans="1:14">
      <c r="A848" s="1" t="str">
        <f>equip.xml!A852</f>
        <v>30402050</v>
      </c>
      <c r="B848" s="1">
        <f>equip.xml!B852</f>
        <v>1</v>
      </c>
      <c r="C848" s="1" t="str">
        <f>equip.xml!C852</f>
        <v>强击之弓</v>
      </c>
      <c r="D848" s="1" t="str">
        <f>equip.xml!D852</f>
        <v>主手武器</v>
      </c>
      <c r="E848" s="1">
        <f>equip.xml!E852</f>
        <v>5</v>
      </c>
      <c r="F848" s="1">
        <f>equip.xml!F852</f>
        <v>3</v>
      </c>
      <c r="G848" s="1">
        <f>equip.xml!G852</f>
        <v>40</v>
      </c>
      <c r="H848" s="1" t="str">
        <f>equip.xml!H852</f>
        <v>2,1002</v>
      </c>
      <c r="I848" s="1">
        <f>equip.xml!J852</f>
        <v>20</v>
      </c>
      <c r="J848" s="1">
        <f>equip.xml!K852</f>
        <v>0</v>
      </c>
      <c r="K848" s="1">
        <f>equip.xml!L852</f>
        <v>22500</v>
      </c>
      <c r="L848" s="1" t="str">
        <f>equip.xml!M852</f>
        <v>103_670_670,104_1340_1340</v>
      </c>
      <c r="M848" s="7" t="str">
        <f>equip.xml!Q852</f>
        <v>equipment/1216.png</v>
      </c>
      <c r="N848" t="str">
        <f>equip.xml!P852</f>
        <v>10000_1002_40000,30000_30001_1,30000_30002_1,30000_30003_1</v>
      </c>
    </row>
    <row r="849" spans="1:14">
      <c r="A849" s="1" t="str">
        <f>equip.xml!A853</f>
        <v>30402051</v>
      </c>
      <c r="B849" s="1">
        <f>equip.xml!B853</f>
        <v>1</v>
      </c>
      <c r="C849" s="1" t="str">
        <f>equip.xml!C853</f>
        <v>羽月长弓</v>
      </c>
      <c r="D849" s="1" t="str">
        <f>equip.xml!D853</f>
        <v>主手武器</v>
      </c>
      <c r="E849" s="1">
        <f>equip.xml!E853</f>
        <v>5</v>
      </c>
      <c r="F849" s="1">
        <f>equip.xml!F853</f>
        <v>3</v>
      </c>
      <c r="G849" s="1">
        <f>equip.xml!G853</f>
        <v>40</v>
      </c>
      <c r="H849" s="1" t="str">
        <f>equip.xml!H853</f>
        <v>2,1002</v>
      </c>
      <c r="I849" s="1">
        <f>equip.xml!J853</f>
        <v>20</v>
      </c>
      <c r="J849" s="1">
        <f>equip.xml!K853</f>
        <v>0</v>
      </c>
      <c r="K849" s="1">
        <f>equip.xml!L853</f>
        <v>25000</v>
      </c>
      <c r="L849" s="1" t="str">
        <f>equip.xml!M853</f>
        <v>103_743_743,104_1486_1486</v>
      </c>
      <c r="M849" s="7" t="str">
        <f>equip.xml!Q853</f>
        <v>equipment/1214.png</v>
      </c>
      <c r="N849" t="str">
        <f>equip.xml!P853</f>
        <v>10000_1002_40000,30000_30001_1,30000_30002_1,30000_30003_1</v>
      </c>
    </row>
    <row r="850" spans="1:14">
      <c r="A850" s="1" t="str">
        <f>equip.xml!A854</f>
        <v>30402060</v>
      </c>
      <c r="B850" s="1">
        <f>equip.xml!B854</f>
        <v>1</v>
      </c>
      <c r="C850" s="1" t="str">
        <f>equip.xml!C854</f>
        <v>风怒箭筒</v>
      </c>
      <c r="D850" s="1" t="str">
        <f>equip.xml!D854</f>
        <v>副手武器</v>
      </c>
      <c r="E850" s="1">
        <f>equip.xml!E854</f>
        <v>6</v>
      </c>
      <c r="F850" s="1">
        <f>equip.xml!F854</f>
        <v>3</v>
      </c>
      <c r="G850" s="1">
        <f>equip.xml!G854</f>
        <v>40</v>
      </c>
      <c r="H850" s="1" t="str">
        <f>equip.xml!H854</f>
        <v>2,1002</v>
      </c>
      <c r="I850" s="1">
        <f>equip.xml!J854</f>
        <v>20</v>
      </c>
      <c r="J850" s="1">
        <f>equip.xml!K854</f>
        <v>0</v>
      </c>
      <c r="K850" s="1">
        <f>equip.xml!L854</f>
        <v>22500</v>
      </c>
      <c r="L850" s="1" t="str">
        <f>equip.xml!M854</f>
        <v>108_880_880</v>
      </c>
      <c r="M850" s="7" t="str">
        <f>equip.xml!Q854</f>
        <v>equipment/2209.png</v>
      </c>
      <c r="N850" t="str">
        <f>equip.xml!P854</f>
        <v>10000_1002_40000,30000_30001_1,30000_30002_1,30000_30003_1</v>
      </c>
    </row>
    <row r="851" spans="1:14">
      <c r="A851" s="1" t="str">
        <f>equip.xml!A855</f>
        <v>30402061</v>
      </c>
      <c r="B851" s="1">
        <f>equip.xml!B855</f>
        <v>0</v>
      </c>
      <c r="C851" s="1" t="str">
        <f>equip.xml!C855</f>
        <v>箭筒</v>
      </c>
      <c r="D851" s="1" t="str">
        <f>equip.xml!D855</f>
        <v>副手武器</v>
      </c>
      <c r="E851" s="1">
        <f>equip.xml!E855</f>
        <v>6</v>
      </c>
      <c r="F851" s="1">
        <f>equip.xml!F855</f>
        <v>3</v>
      </c>
      <c r="G851" s="1">
        <f>equip.xml!G855</f>
        <v>40</v>
      </c>
      <c r="H851" s="1" t="str">
        <f>equip.xml!H855</f>
        <v>2,1002</v>
      </c>
      <c r="I851" s="1">
        <f>equip.xml!J855</f>
        <v>20</v>
      </c>
      <c r="J851" s="1">
        <f>equip.xml!K855</f>
        <v>0</v>
      </c>
      <c r="K851" s="1">
        <f>equip.xml!L855</f>
        <v>25000</v>
      </c>
      <c r="L851" s="1" t="str">
        <f>equip.xml!M855</f>
        <v>108_1029_1029</v>
      </c>
      <c r="M851" s="7" t="str">
        <f>equip.xml!Q855</f>
        <v>equipment/2201.png</v>
      </c>
      <c r="N851" t="str">
        <f>equip.xml!P855</f>
        <v>10000_1002_40000,30000_30001_1,30000_30002_1,30000_30003_1</v>
      </c>
    </row>
    <row r="852" spans="1:14">
      <c r="A852" s="1" t="str">
        <f>equip.xml!A856</f>
        <v>30403050</v>
      </c>
      <c r="B852" s="1">
        <f>equip.xml!B856</f>
        <v>1</v>
      </c>
      <c r="C852" s="1" t="str">
        <f>equip.xml!C856</f>
        <v>符文魔杖</v>
      </c>
      <c r="D852" s="1" t="str">
        <f>equip.xml!D856</f>
        <v>主手武器</v>
      </c>
      <c r="E852" s="1">
        <f>equip.xml!E856</f>
        <v>5</v>
      </c>
      <c r="F852" s="1">
        <f>equip.xml!F856</f>
        <v>3</v>
      </c>
      <c r="G852" s="1">
        <f>equip.xml!G856</f>
        <v>40</v>
      </c>
      <c r="H852" s="1" t="str">
        <f>equip.xml!H856</f>
        <v>3,1003</v>
      </c>
      <c r="I852" s="1">
        <f>equip.xml!J856</f>
        <v>20</v>
      </c>
      <c r="J852" s="1">
        <f>equip.xml!K856</f>
        <v>0</v>
      </c>
      <c r="K852" s="1">
        <f>equip.xml!L856</f>
        <v>22500</v>
      </c>
      <c r="L852" s="1" t="str">
        <f>equip.xml!M856</f>
        <v>103_670_670,104_1340_1340</v>
      </c>
      <c r="M852" s="7" t="str">
        <f>equip.xml!Q856</f>
        <v>equipment/1317.png</v>
      </c>
      <c r="N852" t="str">
        <f>equip.xml!P856</f>
        <v>10000_1002_40000,30000_30001_1,30000_30002_1,30000_30003_1</v>
      </c>
    </row>
    <row r="853" spans="1:14">
      <c r="A853" s="1" t="str">
        <f>equip.xml!A857</f>
        <v>30403051</v>
      </c>
      <c r="B853" s="1">
        <f>equip.xml!B857</f>
        <v>1</v>
      </c>
      <c r="C853" s="1" t="str">
        <f>equip.xml!C857</f>
        <v>真理之杖</v>
      </c>
      <c r="D853" s="1" t="str">
        <f>equip.xml!D857</f>
        <v>主手武器</v>
      </c>
      <c r="E853" s="1">
        <f>equip.xml!E857</f>
        <v>5</v>
      </c>
      <c r="F853" s="1">
        <f>equip.xml!F857</f>
        <v>3</v>
      </c>
      <c r="G853" s="1">
        <f>equip.xml!G857</f>
        <v>40</v>
      </c>
      <c r="H853" s="1" t="str">
        <f>equip.xml!H857</f>
        <v>3,1003</v>
      </c>
      <c r="I853" s="1">
        <f>equip.xml!J857</f>
        <v>20</v>
      </c>
      <c r="J853" s="1">
        <f>equip.xml!K857</f>
        <v>0</v>
      </c>
      <c r="K853" s="1">
        <f>equip.xml!L857</f>
        <v>25000</v>
      </c>
      <c r="L853" s="1" t="str">
        <f>equip.xml!M857</f>
        <v>103_743_743,104_1486_1486</v>
      </c>
      <c r="M853" s="7" t="str">
        <f>equip.xml!Q857</f>
        <v>equipment/1315.png</v>
      </c>
      <c r="N853" t="str">
        <f>equip.xml!P857</f>
        <v>10000_1002_40000,30000_30001_1,30000_30002_1,30000_30003_1</v>
      </c>
    </row>
    <row r="854" spans="1:14">
      <c r="A854" s="1" t="str">
        <f>equip.xml!A858</f>
        <v>30403060</v>
      </c>
      <c r="B854" s="1">
        <f>equip.xml!B858</f>
        <v>1</v>
      </c>
      <c r="C854" s="1" t="str">
        <f>equip.xml!C858</f>
        <v>附魔秘典</v>
      </c>
      <c r="D854" s="1" t="str">
        <f>equip.xml!D858</f>
        <v>副手武器</v>
      </c>
      <c r="E854" s="1">
        <f>equip.xml!E858</f>
        <v>6</v>
      </c>
      <c r="F854" s="1">
        <f>equip.xml!F858</f>
        <v>3</v>
      </c>
      <c r="G854" s="1">
        <f>equip.xml!G858</f>
        <v>40</v>
      </c>
      <c r="H854" s="1" t="str">
        <f>equip.xml!H858</f>
        <v>3,1003</v>
      </c>
      <c r="I854" s="1">
        <f>equip.xml!J858</f>
        <v>20</v>
      </c>
      <c r="J854" s="1">
        <f>equip.xml!K858</f>
        <v>0</v>
      </c>
      <c r="K854" s="1">
        <f>equip.xml!L858</f>
        <v>22500</v>
      </c>
      <c r="L854" s="1" t="str">
        <f>equip.xml!M858</f>
        <v>102_1240_1240</v>
      </c>
      <c r="M854" s="7" t="str">
        <f>equip.xml!Q858</f>
        <v>equipment/2309.png</v>
      </c>
      <c r="N854" t="str">
        <f>equip.xml!P858</f>
        <v>10000_1002_40000,30000_30001_1,30000_30002_1,30000_30003_1</v>
      </c>
    </row>
    <row r="855" spans="1:14">
      <c r="A855" s="1" t="str">
        <f>equip.xml!A859</f>
        <v>30403061</v>
      </c>
      <c r="B855" s="1">
        <f>equip.xml!B859</f>
        <v>0</v>
      </c>
      <c r="C855" s="1" t="str">
        <f>equip.xml!C859</f>
        <v>法术指南</v>
      </c>
      <c r="D855" s="1" t="str">
        <f>equip.xml!D859</f>
        <v>副手武器</v>
      </c>
      <c r="E855" s="1">
        <f>equip.xml!E859</f>
        <v>6</v>
      </c>
      <c r="F855" s="1">
        <f>equip.xml!F859</f>
        <v>3</v>
      </c>
      <c r="G855" s="1">
        <f>equip.xml!G859</f>
        <v>40</v>
      </c>
      <c r="H855" s="1" t="str">
        <f>equip.xml!H859</f>
        <v>3,1003</v>
      </c>
      <c r="I855" s="1">
        <f>equip.xml!J859</f>
        <v>20</v>
      </c>
      <c r="J855" s="1">
        <f>equip.xml!K859</f>
        <v>0</v>
      </c>
      <c r="K855" s="1">
        <f>equip.xml!L859</f>
        <v>25000</v>
      </c>
      <c r="L855" s="1" t="str">
        <f>equip.xml!M859</f>
        <v>102_1029_1029</v>
      </c>
      <c r="M855" s="7" t="str">
        <f>equip.xml!Q859</f>
        <v>equipment/2301.png</v>
      </c>
      <c r="N855" t="str">
        <f>equip.xml!P859</f>
        <v>10000_1002_40000,30000_30001_1,30000_30002_1,30000_30003_1</v>
      </c>
    </row>
    <row r="856" spans="1:14">
      <c r="A856" s="1" t="str">
        <f>equip.xml!A860</f>
        <v>30400040</v>
      </c>
      <c r="B856" s="1">
        <f>equip.xml!B860</f>
        <v>1</v>
      </c>
      <c r="C856" s="1" t="str">
        <f>equip.xml!C860</f>
        <v>瑟银护甲</v>
      </c>
      <c r="D856" s="1" t="str">
        <f>equip.xml!D860</f>
        <v>胸甲</v>
      </c>
      <c r="E856" s="1">
        <f>equip.xml!E860</f>
        <v>4</v>
      </c>
      <c r="F856" s="1">
        <f>equip.xml!F860</f>
        <v>3</v>
      </c>
      <c r="G856" s="1">
        <f>equip.xml!G860</f>
        <v>40</v>
      </c>
      <c r="H856" s="1">
        <f>equip.xml!H860</f>
        <v>0</v>
      </c>
      <c r="I856" s="1">
        <f>equip.xml!J860</f>
        <v>20</v>
      </c>
      <c r="J856" s="1">
        <f>equip.xml!K860</f>
        <v>0</v>
      </c>
      <c r="K856" s="1">
        <f>equip.xml!L860</f>
        <v>22500</v>
      </c>
      <c r="L856" s="1" t="str">
        <f>equip.xml!M860</f>
        <v>105_497_497</v>
      </c>
      <c r="M856" s="7" t="str">
        <f>equip.xml!Q860</f>
        <v>equipment/5012.png</v>
      </c>
      <c r="N856" t="str">
        <f>equip.xml!P860</f>
        <v>10000_1002_40000,30000_30001_1,30000_30002_1,30000_30003_1</v>
      </c>
    </row>
    <row r="857" spans="1:14">
      <c r="A857" s="1" t="str">
        <f>equip.xml!A861</f>
        <v>30400041</v>
      </c>
      <c r="B857" s="1">
        <f>equip.xml!B861</f>
        <v>0</v>
      </c>
      <c r="C857" s="1" t="str">
        <f>equip.xml!C861</f>
        <v>新兵外套</v>
      </c>
      <c r="D857" s="1" t="str">
        <f>equip.xml!D861</f>
        <v>胸甲</v>
      </c>
      <c r="E857" s="1">
        <f>equip.xml!E861</f>
        <v>4</v>
      </c>
      <c r="F857" s="1">
        <f>equip.xml!F861</f>
        <v>3</v>
      </c>
      <c r="G857" s="1">
        <f>equip.xml!G861</f>
        <v>40</v>
      </c>
      <c r="H857" s="1">
        <f>equip.xml!H861</f>
        <v>0</v>
      </c>
      <c r="I857" s="1">
        <f>equip.xml!J861</f>
        <v>20</v>
      </c>
      <c r="J857" s="1">
        <f>equip.xml!K861</f>
        <v>0</v>
      </c>
      <c r="K857" s="1">
        <f>equip.xml!L861</f>
        <v>25000</v>
      </c>
      <c r="L857" s="1" t="str">
        <f>equip.xml!M861</f>
        <v>105_549_549</v>
      </c>
      <c r="M857" s="7" t="str">
        <f>equip.xml!Q861</f>
        <v>equipment/5001.png</v>
      </c>
      <c r="N857" t="str">
        <f>equip.xml!P861</f>
        <v>10000_1002_40000,30000_30001_1,30000_30002_1,30000_30003_1</v>
      </c>
    </row>
    <row r="858" spans="1:14">
      <c r="A858" s="1" t="str">
        <f>equip.xml!A862</f>
        <v>30400070</v>
      </c>
      <c r="B858" s="1">
        <f>equip.xml!B862</f>
        <v>1</v>
      </c>
      <c r="C858" s="1" t="str">
        <f>equip.xml!C862</f>
        <v>巨熊护腿</v>
      </c>
      <c r="D858" s="1" t="str">
        <f>equip.xml!D862</f>
        <v>护腿</v>
      </c>
      <c r="E858" s="1">
        <f>equip.xml!E862</f>
        <v>7</v>
      </c>
      <c r="F858" s="1">
        <f>equip.xml!F862</f>
        <v>3</v>
      </c>
      <c r="G858" s="1">
        <f>equip.xml!G862</f>
        <v>40</v>
      </c>
      <c r="H858" s="1">
        <f>equip.xml!H862</f>
        <v>0</v>
      </c>
      <c r="I858" s="1">
        <f>equip.xml!J862</f>
        <v>20</v>
      </c>
      <c r="J858" s="1">
        <f>equip.xml!K862</f>
        <v>0</v>
      </c>
      <c r="K858" s="1">
        <f>equip.xml!L862</f>
        <v>22500</v>
      </c>
      <c r="L858" s="1" t="str">
        <f>equip.xml!M862</f>
        <v>105_387_387</v>
      </c>
      <c r="M858" s="7" t="str">
        <f>equip.xml!Q862</f>
        <v>equipment/7009.png</v>
      </c>
      <c r="N858" t="str">
        <f>equip.xml!P862</f>
        <v>10000_1002_40000,30000_30001_1,30000_30002_1,30000_30003_1</v>
      </c>
    </row>
    <row r="859" spans="1:14">
      <c r="A859" s="1" t="str">
        <f>equip.xml!A863</f>
        <v>30400071</v>
      </c>
      <c r="B859" s="1">
        <f>equip.xml!B863</f>
        <v>0</v>
      </c>
      <c r="C859" s="1" t="str">
        <f>equip.xml!C863</f>
        <v>学徒短裤</v>
      </c>
      <c r="D859" s="1" t="str">
        <f>equip.xml!D863</f>
        <v>护腿</v>
      </c>
      <c r="E859" s="1">
        <f>equip.xml!E863</f>
        <v>7</v>
      </c>
      <c r="F859" s="1">
        <f>equip.xml!F863</f>
        <v>3</v>
      </c>
      <c r="G859" s="1">
        <f>equip.xml!G863</f>
        <v>40</v>
      </c>
      <c r="H859" s="1">
        <f>equip.xml!H863</f>
        <v>0</v>
      </c>
      <c r="I859" s="1">
        <f>equip.xml!J863</f>
        <v>20</v>
      </c>
      <c r="J859" s="1">
        <f>equip.xml!K863</f>
        <v>0</v>
      </c>
      <c r="K859" s="1">
        <f>equip.xml!L863</f>
        <v>25000</v>
      </c>
      <c r="L859" s="1" t="str">
        <f>equip.xml!M863</f>
        <v>105_431_431</v>
      </c>
      <c r="M859" s="7" t="str">
        <f>equip.xml!Q863</f>
        <v>equipment/7001.png</v>
      </c>
      <c r="N859" t="str">
        <f>equip.xml!P863</f>
        <v>10000_1002_40000,30000_30001_1,30000_30002_1,30000_30003_1</v>
      </c>
    </row>
    <row r="860" spans="1:14">
      <c r="A860" s="1" t="str">
        <f>equip.xml!A864</f>
        <v>30450010</v>
      </c>
      <c r="B860" s="1">
        <f>equip.xml!B864</f>
        <v>0</v>
      </c>
      <c r="C860" s="1" t="str">
        <f>equip.xml!C864</f>
        <v>战争头盔</v>
      </c>
      <c r="D860" s="1" t="str">
        <f>equip.xml!D864</f>
        <v>头盔</v>
      </c>
      <c r="E860" s="1">
        <f>equip.xml!E864</f>
        <v>1</v>
      </c>
      <c r="F860" s="1">
        <f>equip.xml!F864</f>
        <v>3</v>
      </c>
      <c r="G860" s="1">
        <f>equip.xml!G864</f>
        <v>45</v>
      </c>
      <c r="H860" s="1">
        <f>equip.xml!H864</f>
        <v>0</v>
      </c>
      <c r="I860" s="1">
        <f>equip.xml!J864</f>
        <v>20</v>
      </c>
      <c r="J860" s="1">
        <f>equip.xml!K864</f>
        <v>0</v>
      </c>
      <c r="K860" s="1">
        <f>equip.xml!L864</f>
        <v>25000</v>
      </c>
      <c r="L860" s="1" t="str">
        <f>equip.xml!M864</f>
        <v>106_751_751</v>
      </c>
      <c r="M860" s="7" t="str">
        <f>equip.xml!Q864</f>
        <v>equipment/3001.png</v>
      </c>
      <c r="N860" t="str">
        <f>equip.xml!P864</f>
        <v>10000_1002_45000,30000_30001_1,30000_30002_1,30000_30003_1</v>
      </c>
    </row>
    <row r="861" spans="1:14">
      <c r="A861" s="1" t="str">
        <f>equip.xml!A865</f>
        <v>30450020</v>
      </c>
      <c r="B861" s="1">
        <f>equip.xml!B865</f>
        <v>0</v>
      </c>
      <c r="C861" s="1" t="str">
        <f>equip.xml!C865</f>
        <v>金戒指</v>
      </c>
      <c r="D861" s="1" t="str">
        <f>equip.xml!D865</f>
        <v>戒指</v>
      </c>
      <c r="E861" s="1">
        <f>equip.xml!E865</f>
        <v>2</v>
      </c>
      <c r="F861" s="1">
        <f>equip.xml!F865</f>
        <v>3</v>
      </c>
      <c r="G861" s="1">
        <f>equip.xml!G865</f>
        <v>45</v>
      </c>
      <c r="H861" s="1">
        <f>equip.xml!H865</f>
        <v>0</v>
      </c>
      <c r="I861" s="1">
        <f>equip.xml!J865</f>
        <v>20</v>
      </c>
      <c r="J861" s="1">
        <f>equip.xml!K865</f>
        <v>0</v>
      </c>
      <c r="K861" s="1">
        <f>equip.xml!L865</f>
        <v>25000</v>
      </c>
      <c r="L861" s="1" t="str">
        <f>equip.xml!M865</f>
        <v>102_740_740</v>
      </c>
      <c r="M861" s="7" t="str">
        <f>equip.xml!Q865</f>
        <v>equipment/14001.png</v>
      </c>
      <c r="N861" t="str">
        <f>equip.xml!P865</f>
        <v>10000_1002_45000,30000_30001_1,30000_30002_1,30000_30003_1</v>
      </c>
    </row>
    <row r="862" spans="1:14">
      <c r="A862" s="1" t="str">
        <f>equip.xml!A866</f>
        <v>30450030</v>
      </c>
      <c r="B862" s="1">
        <f>equip.xml!B866</f>
        <v>1</v>
      </c>
      <c r="C862" s="1" t="str">
        <f>equip.xml!C866</f>
        <v>督军腰带</v>
      </c>
      <c r="D862" s="1" t="str">
        <f>equip.xml!D866</f>
        <v>腰带</v>
      </c>
      <c r="E862" s="1">
        <f>equip.xml!E866</f>
        <v>3</v>
      </c>
      <c r="F862" s="1">
        <f>equip.xml!F866</f>
        <v>3</v>
      </c>
      <c r="G862" s="1">
        <f>equip.xml!G866</f>
        <v>45</v>
      </c>
      <c r="H862" s="1">
        <f>equip.xml!H866</f>
        <v>0</v>
      </c>
      <c r="I862" s="1">
        <f>equip.xml!J866</f>
        <v>20</v>
      </c>
      <c r="J862" s="1">
        <f>equip.xml!K866</f>
        <v>0</v>
      </c>
      <c r="K862" s="1">
        <f>equip.xml!L866</f>
        <v>25000</v>
      </c>
      <c r="L862" s="1" t="str">
        <f>equip.xml!M866</f>
        <v>101_8840_8840</v>
      </c>
      <c r="M862" s="7" t="str">
        <f>equip.xml!Q866</f>
        <v>equipment/6008.png</v>
      </c>
      <c r="N862" t="str">
        <f>equip.xml!P866</f>
        <v>10000_1002_45000,30000_30001_1,30000_30002_1,30000_30003_1</v>
      </c>
    </row>
    <row r="863" spans="1:14">
      <c r="A863" s="1" t="str">
        <f>equip.xml!A867</f>
        <v>30450080</v>
      </c>
      <c r="B863" s="1">
        <f>equip.xml!B867</f>
        <v>1</v>
      </c>
      <c r="C863" s="1" t="str">
        <f>equip.xml!C867</f>
        <v>浩劫长靴</v>
      </c>
      <c r="D863" s="1" t="str">
        <f>equip.xml!D867</f>
        <v>鞋子</v>
      </c>
      <c r="E863" s="1">
        <f>equip.xml!E867</f>
        <v>8</v>
      </c>
      <c r="F863" s="1">
        <f>equip.xml!F867</f>
        <v>3</v>
      </c>
      <c r="G863" s="1">
        <f>equip.xml!G867</f>
        <v>45</v>
      </c>
      <c r="H863" s="1">
        <f>equip.xml!H867</f>
        <v>0</v>
      </c>
      <c r="I863" s="1">
        <f>equip.xml!J867</f>
        <v>20</v>
      </c>
      <c r="J863" s="1">
        <f>equip.xml!K867</f>
        <v>0</v>
      </c>
      <c r="K863" s="1">
        <f>equip.xml!L867</f>
        <v>25000</v>
      </c>
      <c r="L863" s="1" t="str">
        <f>equip.xml!M867</f>
        <v>110_137_137</v>
      </c>
      <c r="M863" s="7" t="str">
        <f>equip.xml!Q867</f>
        <v>equipment/8008.png</v>
      </c>
      <c r="N863" t="str">
        <f>equip.xml!P867</f>
        <v>10000_1002_45000,30000_30001_1,30000_30002_1,30000_30003_1</v>
      </c>
    </row>
    <row r="864" spans="1:14">
      <c r="A864" s="1" t="str">
        <f>equip.xml!A868</f>
        <v>30450090</v>
      </c>
      <c r="B864" s="1">
        <f>equip.xml!B868</f>
        <v>1</v>
      </c>
      <c r="C864" s="1" t="str">
        <f>equip.xml!C868</f>
        <v>愤怒护手</v>
      </c>
      <c r="D864" s="1" t="str">
        <f>equip.xml!D868</f>
        <v>手套</v>
      </c>
      <c r="E864" s="1">
        <f>equip.xml!E868</f>
        <v>9</v>
      </c>
      <c r="F864" s="1">
        <f>equip.xml!F868</f>
        <v>3</v>
      </c>
      <c r="G864" s="1">
        <f>equip.xml!G868</f>
        <v>45</v>
      </c>
      <c r="H864" s="1">
        <f>equip.xml!H868</f>
        <v>0</v>
      </c>
      <c r="I864" s="1">
        <f>equip.xml!J868</f>
        <v>20</v>
      </c>
      <c r="J864" s="1">
        <f>equip.xml!K868</f>
        <v>0</v>
      </c>
      <c r="K864" s="1">
        <f>equip.xml!L868</f>
        <v>25000</v>
      </c>
      <c r="L864" s="1" t="str">
        <f>equip.xml!M868</f>
        <v>108_1255_1255</v>
      </c>
      <c r="M864" s="7" t="str">
        <f>equip.xml!Q868</f>
        <v>equipment/10008.png</v>
      </c>
      <c r="N864" t="str">
        <f>equip.xml!P868</f>
        <v>10000_1002_45000,30000_30001_1,30000_30002_1,30000_30003_1</v>
      </c>
    </row>
    <row r="865" spans="1:14">
      <c r="A865" s="1" t="str">
        <f>equip.xml!A869</f>
        <v>30450100</v>
      </c>
      <c r="B865" s="1">
        <f>equip.xml!B869</f>
        <v>1</v>
      </c>
      <c r="C865" s="1" t="str">
        <f>equip.xml!C869</f>
        <v>新月项链</v>
      </c>
      <c r="D865" s="1" t="str">
        <f>equip.xml!D869</f>
        <v>项链</v>
      </c>
      <c r="E865" s="1">
        <f>equip.xml!E869</f>
        <v>10</v>
      </c>
      <c r="F865" s="1">
        <f>equip.xml!F869</f>
        <v>3</v>
      </c>
      <c r="G865" s="1">
        <f>equip.xml!G869</f>
        <v>45</v>
      </c>
      <c r="H865" s="1">
        <f>equip.xml!H869</f>
        <v>0</v>
      </c>
      <c r="I865" s="1">
        <f>equip.xml!J869</f>
        <v>20</v>
      </c>
      <c r="J865" s="1">
        <f>equip.xml!K869</f>
        <v>0</v>
      </c>
      <c r="K865" s="1">
        <f>equip.xml!L869</f>
        <v>25000</v>
      </c>
      <c r="L865" s="1" t="str">
        <f>equip.xml!M869</f>
        <v>107_751_751</v>
      </c>
      <c r="M865" s="7" t="str">
        <f>equip.xml!Q869</f>
        <v>equipment/12007.png</v>
      </c>
      <c r="N865" t="str">
        <f>equip.xml!P869</f>
        <v>10000_1002_45000,30000_30001_1,30000_30002_1,30000_30003_1</v>
      </c>
    </row>
    <row r="866" spans="1:14">
      <c r="A866" s="1" t="str">
        <f>equip.xml!A870</f>
        <v>30451050</v>
      </c>
      <c r="B866" s="1">
        <f>equip.xml!B870</f>
        <v>1</v>
      </c>
      <c r="C866" s="1" t="str">
        <f>equip.xml!C870</f>
        <v>龙纹之刃</v>
      </c>
      <c r="D866" s="1" t="str">
        <f>equip.xml!D870</f>
        <v>主手武器</v>
      </c>
      <c r="E866" s="1">
        <f>equip.xml!E870</f>
        <v>5</v>
      </c>
      <c r="F866" s="1">
        <f>equip.xml!F870</f>
        <v>3</v>
      </c>
      <c r="G866" s="1">
        <f>equip.xml!G870</f>
        <v>45</v>
      </c>
      <c r="H866" s="1" t="str">
        <f>equip.xml!H870</f>
        <v>1,1001</v>
      </c>
      <c r="I866" s="1">
        <f>equip.xml!J870</f>
        <v>20</v>
      </c>
      <c r="J866" s="1">
        <f>equip.xml!K870</f>
        <v>0</v>
      </c>
      <c r="K866" s="1">
        <f>equip.xml!L870</f>
        <v>25000</v>
      </c>
      <c r="L866" s="1" t="str">
        <f>equip.xml!M870</f>
        <v>103_854_854,104_1708_1708</v>
      </c>
      <c r="M866" s="7" t="str">
        <f>equip.xml!Q870</f>
        <v>equipment/1117.png</v>
      </c>
      <c r="N866" t="str">
        <f>equip.xml!P870</f>
        <v>10000_1002_45000,30000_30001_1,30000_30002_1,30000_30003_1</v>
      </c>
    </row>
    <row r="867" spans="1:14">
      <c r="A867" s="1" t="str">
        <f>equip.xml!A871</f>
        <v>30451051</v>
      </c>
      <c r="B867" s="1">
        <f>equip.xml!B871</f>
        <v>0</v>
      </c>
      <c r="C867" s="1" t="str">
        <f>equip.xml!C871</f>
        <v>军刀</v>
      </c>
      <c r="D867" s="1" t="str">
        <f>equip.xml!D871</f>
        <v>主手武器</v>
      </c>
      <c r="E867" s="1">
        <f>equip.xml!E871</f>
        <v>5</v>
      </c>
      <c r="F867" s="1">
        <f>equip.xml!F871</f>
        <v>3</v>
      </c>
      <c r="G867" s="1">
        <f>equip.xml!G871</f>
        <v>45</v>
      </c>
      <c r="H867" s="1" t="str">
        <f>equip.xml!H871</f>
        <v>1,1001</v>
      </c>
      <c r="I867" s="1">
        <f>equip.xml!J871</f>
        <v>20</v>
      </c>
      <c r="J867" s="1">
        <f>equip.xml!K871</f>
        <v>0</v>
      </c>
      <c r="K867" s="1">
        <f>equip.xml!L871</f>
        <v>27500</v>
      </c>
      <c r="L867" s="1" t="str">
        <f>equip.xml!M871</f>
        <v>103_951_951,104_1902_1902</v>
      </c>
      <c r="M867" s="7" t="str">
        <f>equip.xml!Q871</f>
        <v>equipment/1101.png</v>
      </c>
      <c r="N867" t="str">
        <f>equip.xml!P871</f>
        <v>10000_1002_45000,30000_30001_1,30000_30002_1,30000_30003_1</v>
      </c>
    </row>
    <row r="868" spans="1:14">
      <c r="A868" s="1" t="str">
        <f>equip.xml!A872</f>
        <v>30451060</v>
      </c>
      <c r="B868" s="1">
        <f>equip.xml!B872</f>
        <v>1</v>
      </c>
      <c r="C868" s="1" t="str">
        <f>equip.xml!C872</f>
        <v>正义壁垒</v>
      </c>
      <c r="D868" s="1" t="str">
        <f>equip.xml!D872</f>
        <v>副手武器</v>
      </c>
      <c r="E868" s="1">
        <f>equip.xml!E872</f>
        <v>6</v>
      </c>
      <c r="F868" s="1">
        <f>equip.xml!F872</f>
        <v>3</v>
      </c>
      <c r="G868" s="1">
        <f>equip.xml!G872</f>
        <v>45</v>
      </c>
      <c r="H868" s="1" t="str">
        <f>equip.xml!H872</f>
        <v>1,1001</v>
      </c>
      <c r="I868" s="1">
        <f>equip.xml!J872</f>
        <v>20</v>
      </c>
      <c r="J868" s="1">
        <f>equip.xml!K872</f>
        <v>0</v>
      </c>
      <c r="K868" s="1">
        <f>equip.xml!L872</f>
        <v>25000</v>
      </c>
      <c r="L868" s="1" t="str">
        <f>equip.xml!M872</f>
        <v>105_1253_1253</v>
      </c>
      <c r="M868" s="7" t="str">
        <f>equip.xml!Q872</f>
        <v>equipment/2110.png</v>
      </c>
      <c r="N868" t="str">
        <f>equip.xml!P872</f>
        <v>10000_1002_45000,30000_30001_1,30000_30002_1,30000_30003_1</v>
      </c>
    </row>
    <row r="869" spans="1:14">
      <c r="A869" s="1" t="str">
        <f>equip.xml!A873</f>
        <v>30451061</v>
      </c>
      <c r="B869" s="1">
        <f>equip.xml!B873</f>
        <v>0</v>
      </c>
      <c r="C869" s="1" t="str">
        <f>equip.xml!C873</f>
        <v>尖头盾</v>
      </c>
      <c r="D869" s="1" t="str">
        <f>equip.xml!D873</f>
        <v>副手武器</v>
      </c>
      <c r="E869" s="1">
        <f>equip.xml!E873</f>
        <v>6</v>
      </c>
      <c r="F869" s="1">
        <f>equip.xml!F873</f>
        <v>3</v>
      </c>
      <c r="G869" s="1">
        <f>equip.xml!G873</f>
        <v>45</v>
      </c>
      <c r="H869" s="1" t="str">
        <f>equip.xml!H873</f>
        <v>1,1001</v>
      </c>
      <c r="I869" s="1">
        <f>equip.xml!J873</f>
        <v>20</v>
      </c>
      <c r="J869" s="1">
        <f>equip.xml!K873</f>
        <v>0</v>
      </c>
      <c r="K869" s="1">
        <f>equip.xml!L873</f>
        <v>27500</v>
      </c>
      <c r="L869" s="1" t="str">
        <f>equip.xml!M873</f>
        <v>105_1312_1312</v>
      </c>
      <c r="M869" s="7" t="str">
        <f>equip.xml!Q873</f>
        <v>equipment/2101.png</v>
      </c>
      <c r="N869" t="str">
        <f>equip.xml!P873</f>
        <v>10000_1002_45000,30000_30001_1,30000_30002_1,30000_30003_1</v>
      </c>
    </row>
    <row r="870" spans="1:14">
      <c r="A870" s="1" t="str">
        <f>equip.xml!A874</f>
        <v>30452050</v>
      </c>
      <c r="B870" s="1">
        <f>equip.xml!B874</f>
        <v>1</v>
      </c>
      <c r="C870" s="1" t="str">
        <f>equip.xml!C874</f>
        <v>霜语长弓</v>
      </c>
      <c r="D870" s="1" t="str">
        <f>equip.xml!D874</f>
        <v>主手武器</v>
      </c>
      <c r="E870" s="1">
        <f>equip.xml!E874</f>
        <v>5</v>
      </c>
      <c r="F870" s="1">
        <f>equip.xml!F874</f>
        <v>3</v>
      </c>
      <c r="G870" s="1">
        <f>equip.xml!G874</f>
        <v>45</v>
      </c>
      <c r="H870" s="1" t="str">
        <f>equip.xml!H874</f>
        <v>2,1002</v>
      </c>
      <c r="I870" s="1">
        <f>equip.xml!J874</f>
        <v>20</v>
      </c>
      <c r="J870" s="1">
        <f>equip.xml!K874</f>
        <v>0</v>
      </c>
      <c r="K870" s="1">
        <f>equip.xml!L874</f>
        <v>25000</v>
      </c>
      <c r="L870" s="1" t="str">
        <f>equip.xml!M874</f>
        <v>103_854_854,104_1708_1708</v>
      </c>
      <c r="M870" s="7" t="str">
        <f>equip.xml!Q874</f>
        <v>equipment/1217.png</v>
      </c>
      <c r="N870" t="str">
        <f>equip.xml!P874</f>
        <v>10000_1002_45000,30000_30001_1,30000_30002_1,30000_30003_1</v>
      </c>
    </row>
    <row r="871" spans="1:14">
      <c r="A871" s="1" t="str">
        <f>equip.xml!A875</f>
        <v>30452051</v>
      </c>
      <c r="B871" s="1">
        <f>equip.xml!B875</f>
        <v>0</v>
      </c>
      <c r="C871" s="1" t="str">
        <f>equip.xml!C875</f>
        <v>棘木弓</v>
      </c>
      <c r="D871" s="1" t="str">
        <f>equip.xml!D875</f>
        <v>主手武器</v>
      </c>
      <c r="E871" s="1">
        <f>equip.xml!E875</f>
        <v>5</v>
      </c>
      <c r="F871" s="1">
        <f>equip.xml!F875</f>
        <v>3</v>
      </c>
      <c r="G871" s="1">
        <f>equip.xml!G875</f>
        <v>45</v>
      </c>
      <c r="H871" s="1" t="str">
        <f>equip.xml!H875</f>
        <v>2,1002</v>
      </c>
      <c r="I871" s="1">
        <f>equip.xml!J875</f>
        <v>20</v>
      </c>
      <c r="J871" s="1">
        <f>equip.xml!K875</f>
        <v>0</v>
      </c>
      <c r="K871" s="1">
        <f>equip.xml!L875</f>
        <v>27500</v>
      </c>
      <c r="L871" s="1" t="str">
        <f>equip.xml!M875</f>
        <v>103_951_951,104_1902_1902</v>
      </c>
      <c r="M871" s="7" t="str">
        <f>equip.xml!Q875</f>
        <v>equipment/1201.png</v>
      </c>
      <c r="N871" t="str">
        <f>equip.xml!P875</f>
        <v>10000_1002_45000,30000_30001_1,30000_30002_1,30000_30003_1</v>
      </c>
    </row>
    <row r="872" spans="1:14">
      <c r="A872" s="1" t="str">
        <f>equip.xml!A876</f>
        <v>30452060</v>
      </c>
      <c r="B872" s="1">
        <f>equip.xml!B876</f>
        <v>1</v>
      </c>
      <c r="C872" s="1" t="str">
        <f>equip.xml!C876</f>
        <v>月沐箭筒</v>
      </c>
      <c r="D872" s="1" t="str">
        <f>equip.xml!D876</f>
        <v>副手武器</v>
      </c>
      <c r="E872" s="1">
        <f>equip.xml!E876</f>
        <v>6</v>
      </c>
      <c r="F872" s="1">
        <f>equip.xml!F876</f>
        <v>3</v>
      </c>
      <c r="G872" s="1">
        <f>equip.xml!G876</f>
        <v>45</v>
      </c>
      <c r="H872" s="1" t="str">
        <f>equip.xml!H876</f>
        <v>2,1002</v>
      </c>
      <c r="I872" s="1">
        <f>equip.xml!J876</f>
        <v>20</v>
      </c>
      <c r="J872" s="1">
        <f>equip.xml!K876</f>
        <v>0</v>
      </c>
      <c r="K872" s="1">
        <f>equip.xml!L876</f>
        <v>25000</v>
      </c>
      <c r="L872" s="1" t="str">
        <f>equip.xml!M876</f>
        <v>108_1253_1253</v>
      </c>
      <c r="M872" s="7" t="str">
        <f>equip.xml!Q876</f>
        <v>equipment/2211.png</v>
      </c>
      <c r="N872" t="str">
        <f>equip.xml!P876</f>
        <v>10000_1002_45000,30000_30001_1,30000_30002_1,30000_30003_1</v>
      </c>
    </row>
    <row r="873" spans="1:14">
      <c r="A873" s="1" t="str">
        <f>equip.xml!A877</f>
        <v>30452061</v>
      </c>
      <c r="B873" s="1">
        <f>equip.xml!B877</f>
        <v>0</v>
      </c>
      <c r="C873" s="1" t="str">
        <f>equip.xml!C877</f>
        <v>箭筒</v>
      </c>
      <c r="D873" s="1" t="str">
        <f>equip.xml!D877</f>
        <v>副手武器</v>
      </c>
      <c r="E873" s="1">
        <f>equip.xml!E877</f>
        <v>6</v>
      </c>
      <c r="F873" s="1">
        <f>equip.xml!F877</f>
        <v>3</v>
      </c>
      <c r="G873" s="1">
        <f>equip.xml!G877</f>
        <v>45</v>
      </c>
      <c r="H873" s="1" t="str">
        <f>equip.xml!H877</f>
        <v>2,1002</v>
      </c>
      <c r="I873" s="1">
        <f>equip.xml!J877</f>
        <v>20</v>
      </c>
      <c r="J873" s="1">
        <f>equip.xml!K877</f>
        <v>0</v>
      </c>
      <c r="K873" s="1">
        <f>equip.xml!L877</f>
        <v>27500</v>
      </c>
      <c r="L873" s="1" t="str">
        <f>equip.xml!M877</f>
        <v>108_1312_1312</v>
      </c>
      <c r="M873" s="7" t="str">
        <f>equip.xml!Q877</f>
        <v>equipment/2201.png</v>
      </c>
      <c r="N873" t="str">
        <f>equip.xml!P877</f>
        <v>10000_1002_45000,30000_30001_1,30000_30002_1,30000_30003_1</v>
      </c>
    </row>
    <row r="874" spans="1:14">
      <c r="A874" s="1" t="str">
        <f>equip.xml!A878</f>
        <v>30453050</v>
      </c>
      <c r="B874" s="1">
        <f>equip.xml!B878</f>
        <v>1</v>
      </c>
      <c r="C874" s="1" t="str">
        <f>equip.xml!C878</f>
        <v>皇权之杖</v>
      </c>
      <c r="D874" s="1" t="str">
        <f>equip.xml!D878</f>
        <v>主手武器</v>
      </c>
      <c r="E874" s="1">
        <f>equip.xml!E878</f>
        <v>5</v>
      </c>
      <c r="F874" s="1">
        <f>equip.xml!F878</f>
        <v>3</v>
      </c>
      <c r="G874" s="1">
        <f>equip.xml!G878</f>
        <v>45</v>
      </c>
      <c r="H874" s="1" t="str">
        <f>equip.xml!H878</f>
        <v>3,1003</v>
      </c>
      <c r="I874" s="1">
        <f>equip.xml!J878</f>
        <v>20</v>
      </c>
      <c r="J874" s="1">
        <f>equip.xml!K878</f>
        <v>0</v>
      </c>
      <c r="K874" s="1">
        <f>equip.xml!L878</f>
        <v>25000</v>
      </c>
      <c r="L874" s="1" t="str">
        <f>equip.xml!M878</f>
        <v>103_854_854,104_1708_1708</v>
      </c>
      <c r="M874" s="7" t="str">
        <f>equip.xml!Q878</f>
        <v>equipment/1316.png</v>
      </c>
      <c r="N874" t="str">
        <f>equip.xml!P878</f>
        <v>10000_1002_45000,30000_30001_1,30000_30002_1,30000_30003_1</v>
      </c>
    </row>
    <row r="875" spans="1:14">
      <c r="A875" s="1" t="str">
        <f>equip.xml!A879</f>
        <v>30453051</v>
      </c>
      <c r="B875" s="1">
        <f>equip.xml!B879</f>
        <v>1</v>
      </c>
      <c r="C875" s="1" t="str">
        <f>equip.xml!C879</f>
        <v>圣晶权杖</v>
      </c>
      <c r="D875" s="1" t="str">
        <f>equip.xml!D879</f>
        <v>主手武器</v>
      </c>
      <c r="E875" s="1">
        <f>equip.xml!E879</f>
        <v>5</v>
      </c>
      <c r="F875" s="1">
        <f>equip.xml!F879</f>
        <v>3</v>
      </c>
      <c r="G875" s="1">
        <f>equip.xml!G879</f>
        <v>45</v>
      </c>
      <c r="H875" s="1" t="str">
        <f>equip.xml!H879</f>
        <v>3,1003</v>
      </c>
      <c r="I875" s="1">
        <f>equip.xml!J879</f>
        <v>20</v>
      </c>
      <c r="J875" s="1">
        <f>equip.xml!K879</f>
        <v>0</v>
      </c>
      <c r="K875" s="1">
        <f>equip.xml!L879</f>
        <v>27500</v>
      </c>
      <c r="L875" s="1" t="str">
        <f>equip.xml!M879</f>
        <v>103_951_951,104_1902_1902</v>
      </c>
      <c r="M875" s="7" t="str">
        <f>equip.xml!Q879</f>
        <v>equipment/1318.png</v>
      </c>
      <c r="N875" t="str">
        <f>equip.xml!P879</f>
        <v>10000_1002_45000,30000_30001_1,30000_30002_1,30000_30003_1</v>
      </c>
    </row>
    <row r="876" spans="1:14">
      <c r="A876" s="1" t="str">
        <f>equip.xml!A880</f>
        <v>30453060</v>
      </c>
      <c r="B876" s="1">
        <f>equip.xml!B880</f>
        <v>1</v>
      </c>
      <c r="C876" s="1" t="str">
        <f>equip.xml!C880</f>
        <v>占卜魔典</v>
      </c>
      <c r="D876" s="1" t="str">
        <f>equip.xml!D880</f>
        <v>副手武器</v>
      </c>
      <c r="E876" s="1">
        <f>equip.xml!E880</f>
        <v>6</v>
      </c>
      <c r="F876" s="1">
        <f>equip.xml!F880</f>
        <v>3</v>
      </c>
      <c r="G876" s="1">
        <f>equip.xml!G880</f>
        <v>45</v>
      </c>
      <c r="H876" s="1" t="str">
        <f>equip.xml!H880</f>
        <v>3,1003</v>
      </c>
      <c r="I876" s="1">
        <f>equip.xml!J880</f>
        <v>20</v>
      </c>
      <c r="J876" s="1">
        <f>equip.xml!K880</f>
        <v>0</v>
      </c>
      <c r="K876" s="1">
        <f>equip.xml!L880</f>
        <v>25000</v>
      </c>
      <c r="L876" s="1" t="str">
        <f>equip.xml!M880</f>
        <v>102_1320_1320</v>
      </c>
      <c r="M876" s="7" t="str">
        <f>equip.xml!Q880</f>
        <v>equipment/2310.png</v>
      </c>
      <c r="N876" t="str">
        <f>equip.xml!P880</f>
        <v>10000_1002_45000,30000_30001_1,30000_30002_1,30000_30003_1</v>
      </c>
    </row>
    <row r="877" spans="1:14">
      <c r="A877" s="1" t="str">
        <f>equip.xml!A881</f>
        <v>30453061</v>
      </c>
      <c r="B877" s="1">
        <f>equip.xml!B881</f>
        <v>0</v>
      </c>
      <c r="C877" s="1" t="str">
        <f>equip.xml!C881</f>
        <v>法术指南</v>
      </c>
      <c r="D877" s="1" t="str">
        <f>equip.xml!D881</f>
        <v>副手武器</v>
      </c>
      <c r="E877" s="1">
        <f>equip.xml!E881</f>
        <v>6</v>
      </c>
      <c r="F877" s="1">
        <f>equip.xml!F881</f>
        <v>3</v>
      </c>
      <c r="G877" s="1">
        <f>equip.xml!G881</f>
        <v>45</v>
      </c>
      <c r="H877" s="1" t="str">
        <f>equip.xml!H881</f>
        <v>3,1003</v>
      </c>
      <c r="I877" s="1">
        <f>equip.xml!J881</f>
        <v>20</v>
      </c>
      <c r="J877" s="1">
        <f>equip.xml!K881</f>
        <v>0</v>
      </c>
      <c r="K877" s="1">
        <f>equip.xml!L881</f>
        <v>27500</v>
      </c>
      <c r="L877" s="1" t="str">
        <f>equip.xml!M881</f>
        <v>102_1312_1312</v>
      </c>
      <c r="M877" s="7" t="str">
        <f>equip.xml!Q881</f>
        <v>equipment/2301.png</v>
      </c>
      <c r="N877" t="str">
        <f>equip.xml!P881</f>
        <v>10000_1002_45000,30000_30001_1,30000_30002_1,30000_30003_1</v>
      </c>
    </row>
    <row r="878" spans="1:14">
      <c r="A878" s="1" t="str">
        <f>equip.xml!A882</f>
        <v>30450040</v>
      </c>
      <c r="B878" s="1">
        <f>equip.xml!B882</f>
        <v>1</v>
      </c>
      <c r="C878" s="1" t="str">
        <f>equip.xml!C882</f>
        <v>执政官胸甲</v>
      </c>
      <c r="D878" s="1" t="str">
        <f>equip.xml!D882</f>
        <v>胸甲</v>
      </c>
      <c r="E878" s="1">
        <f>equip.xml!E882</f>
        <v>4</v>
      </c>
      <c r="F878" s="1">
        <f>equip.xml!F882</f>
        <v>3</v>
      </c>
      <c r="G878" s="1">
        <f>equip.xml!G882</f>
        <v>45</v>
      </c>
      <c r="H878" s="1">
        <f>equip.xml!H882</f>
        <v>0</v>
      </c>
      <c r="I878" s="1">
        <f>equip.xml!J882</f>
        <v>20</v>
      </c>
      <c r="J878" s="1">
        <f>equip.xml!K882</f>
        <v>0</v>
      </c>
      <c r="K878" s="1">
        <f>equip.xml!L882</f>
        <v>25000</v>
      </c>
      <c r="L878" s="1" t="str">
        <f>equip.xml!M882</f>
        <v>105_628_628</v>
      </c>
      <c r="M878" s="7" t="str">
        <f>equip.xml!Q882</f>
        <v>equipment/5013.png</v>
      </c>
      <c r="N878" t="str">
        <f>equip.xml!P882</f>
        <v>10000_1002_45000,30000_30001_1,30000_30002_1,30000_30003_1</v>
      </c>
    </row>
    <row r="879" spans="1:14">
      <c r="A879" s="1" t="str">
        <f>equip.xml!A883</f>
        <v>30450041</v>
      </c>
      <c r="B879" s="1">
        <f>equip.xml!B883</f>
        <v>1</v>
      </c>
      <c r="C879" s="1" t="str">
        <f>equip.xml!C883</f>
        <v>军团胸甲</v>
      </c>
      <c r="D879" s="1" t="str">
        <f>equip.xml!D883</f>
        <v>胸甲</v>
      </c>
      <c r="E879" s="1">
        <f>equip.xml!E883</f>
        <v>4</v>
      </c>
      <c r="F879" s="1">
        <f>equip.xml!F883</f>
        <v>3</v>
      </c>
      <c r="G879" s="1">
        <f>equip.xml!G883</f>
        <v>45</v>
      </c>
      <c r="H879" s="1">
        <f>equip.xml!H883</f>
        <v>0</v>
      </c>
      <c r="I879" s="1">
        <f>equip.xml!J883</f>
        <v>20</v>
      </c>
      <c r="J879" s="1">
        <f>equip.xml!K883</f>
        <v>0</v>
      </c>
      <c r="K879" s="1">
        <f>equip.xml!L883</f>
        <v>27500</v>
      </c>
      <c r="L879" s="1" t="str">
        <f>equip.xml!M883</f>
        <v>105_689_689</v>
      </c>
      <c r="M879" s="7" t="str">
        <f>equip.xml!Q883</f>
        <v>equipment/5014.png</v>
      </c>
      <c r="N879" t="str">
        <f>equip.xml!P883</f>
        <v>10000_1002_45000,30000_30001_1,30000_30002_1,30000_30003_1</v>
      </c>
    </row>
    <row r="880" spans="1:14">
      <c r="A880" s="1" t="str">
        <f>equip.xml!A884</f>
        <v>30450070</v>
      </c>
      <c r="B880" s="1">
        <f>equip.xml!B884</f>
        <v>1</v>
      </c>
      <c r="C880" s="1" t="str">
        <f>equip.xml!C884</f>
        <v>冰铸腿铠</v>
      </c>
      <c r="D880" s="1" t="str">
        <f>equip.xml!D884</f>
        <v>护腿</v>
      </c>
      <c r="E880" s="1">
        <f>equip.xml!E884</f>
        <v>7</v>
      </c>
      <c r="F880" s="1">
        <f>equip.xml!F884</f>
        <v>3</v>
      </c>
      <c r="G880" s="1">
        <f>equip.xml!G884</f>
        <v>45</v>
      </c>
      <c r="H880" s="1">
        <f>equip.xml!H884</f>
        <v>0</v>
      </c>
      <c r="I880" s="1">
        <f>equip.xml!J884</f>
        <v>20</v>
      </c>
      <c r="J880" s="1">
        <f>equip.xml!K884</f>
        <v>0</v>
      </c>
      <c r="K880" s="1">
        <f>equip.xml!L884</f>
        <v>25000</v>
      </c>
      <c r="L880" s="1" t="str">
        <f>equip.xml!M884</f>
        <v>105_497_497</v>
      </c>
      <c r="M880" s="7" t="str">
        <f>equip.xml!Q884</f>
        <v>equipment/7011.png</v>
      </c>
      <c r="N880" t="str">
        <f>equip.xml!P884</f>
        <v>10000_1002_45000,30000_30001_1,30000_30002_1,30000_30003_1</v>
      </c>
    </row>
    <row r="881" spans="1:14">
      <c r="A881" s="1" t="str">
        <f>equip.xml!A885</f>
        <v>30450071</v>
      </c>
      <c r="B881" s="1">
        <f>equip.xml!B885</f>
        <v>1</v>
      </c>
      <c r="C881" s="1" t="str">
        <f>equip.xml!C885</f>
        <v>织灵护腿</v>
      </c>
      <c r="D881" s="1" t="str">
        <f>equip.xml!D885</f>
        <v>护腿</v>
      </c>
      <c r="E881" s="1">
        <f>equip.xml!E885</f>
        <v>7</v>
      </c>
      <c r="F881" s="1">
        <f>equip.xml!F885</f>
        <v>3</v>
      </c>
      <c r="G881" s="1">
        <f>equip.xml!G885</f>
        <v>45</v>
      </c>
      <c r="H881" s="1">
        <f>equip.xml!H885</f>
        <v>0</v>
      </c>
      <c r="I881" s="1">
        <f>equip.xml!J885</f>
        <v>20</v>
      </c>
      <c r="J881" s="1">
        <f>equip.xml!K885</f>
        <v>0</v>
      </c>
      <c r="K881" s="1">
        <f>equip.xml!L885</f>
        <v>27500</v>
      </c>
      <c r="L881" s="1" t="str">
        <f>equip.xml!M885</f>
        <v>105_549_549</v>
      </c>
      <c r="M881" s="7" t="str">
        <f>equip.xml!Q885</f>
        <v>equipment/7010.png</v>
      </c>
      <c r="N881" t="str">
        <f>equip.xml!P885</f>
        <v>10000_1002_45000,30000_30001_1,30000_30002_1,30000_30003_1</v>
      </c>
    </row>
    <row r="882" spans="1:14">
      <c r="A882" s="1" t="str">
        <f>equip.xml!A886</f>
        <v>30500010</v>
      </c>
      <c r="B882" s="1">
        <f>equip.xml!B886</f>
        <v>1</v>
      </c>
      <c r="C882" s="1" t="str">
        <f>equip.xml!C886</f>
        <v>战痕头盔</v>
      </c>
      <c r="D882" s="1" t="str">
        <f>equip.xml!D886</f>
        <v>头盔</v>
      </c>
      <c r="E882" s="1">
        <f>equip.xml!E886</f>
        <v>1</v>
      </c>
      <c r="F882" s="1">
        <f>equip.xml!F886</f>
        <v>3</v>
      </c>
      <c r="G882" s="1">
        <f>equip.xml!G886</f>
        <v>50</v>
      </c>
      <c r="H882" s="1">
        <f>equip.xml!H886</f>
        <v>0</v>
      </c>
      <c r="I882" s="1">
        <f>equip.xml!J886</f>
        <v>20</v>
      </c>
      <c r="J882" s="1">
        <f>equip.xml!K886</f>
        <v>0</v>
      </c>
      <c r="K882" s="1">
        <f>equip.xml!L886</f>
        <v>27500</v>
      </c>
      <c r="L882" s="1" t="str">
        <f>equip.xml!M886</f>
        <v>106_1000_1000</v>
      </c>
      <c r="M882" s="7" t="str">
        <f>equip.xml!Q886</f>
        <v>equipment/3008.png</v>
      </c>
      <c r="N882" t="str">
        <f>equip.xml!P886</f>
        <v>10000_1002_50000,30000_30001_1,30000_30002_1,30000_30003_1</v>
      </c>
    </row>
    <row r="883" spans="1:14">
      <c r="A883" s="1" t="str">
        <f>equip.xml!A887</f>
        <v>30500020</v>
      </c>
      <c r="B883" s="1">
        <f>equip.xml!B887</f>
        <v>1</v>
      </c>
      <c r="C883" s="1" t="str">
        <f>equip.xml!C887</f>
        <v>灵风之戒</v>
      </c>
      <c r="D883" s="1" t="str">
        <f>equip.xml!D887</f>
        <v>戒指</v>
      </c>
      <c r="E883" s="1">
        <f>equip.xml!E887</f>
        <v>2</v>
      </c>
      <c r="F883" s="1">
        <f>equip.xml!F887</f>
        <v>3</v>
      </c>
      <c r="G883" s="1">
        <f>equip.xml!G887</f>
        <v>50</v>
      </c>
      <c r="H883" s="1">
        <f>equip.xml!H887</f>
        <v>0</v>
      </c>
      <c r="I883" s="1">
        <f>equip.xml!J887</f>
        <v>20</v>
      </c>
      <c r="J883" s="1">
        <f>equip.xml!K887</f>
        <v>0</v>
      </c>
      <c r="K883" s="1">
        <f>equip.xml!L887</f>
        <v>27500</v>
      </c>
      <c r="L883" s="1" t="str">
        <f>equip.xml!M887</f>
        <v>102_975_975</v>
      </c>
      <c r="M883" s="7" t="str">
        <f>equip.xml!Q887</f>
        <v>equipment/14008.png</v>
      </c>
      <c r="N883" t="str">
        <f>equip.xml!P887</f>
        <v>10000_1002_50000,30000_30001_1,30000_30002_1,30000_30003_1</v>
      </c>
    </row>
    <row r="884" spans="1:14">
      <c r="A884" s="1" t="str">
        <f>equip.xml!A888</f>
        <v>30500030</v>
      </c>
      <c r="B884" s="1">
        <f>equip.xml!B888</f>
        <v>1</v>
      </c>
      <c r="C884" s="1" t="str">
        <f>equip.xml!C888</f>
        <v>生命腰带</v>
      </c>
      <c r="D884" s="1" t="str">
        <f>equip.xml!D888</f>
        <v>腰带</v>
      </c>
      <c r="E884" s="1">
        <f>equip.xml!E888</f>
        <v>3</v>
      </c>
      <c r="F884" s="1">
        <f>equip.xml!F888</f>
        <v>3</v>
      </c>
      <c r="G884" s="1">
        <f>equip.xml!G888</f>
        <v>50</v>
      </c>
      <c r="H884" s="1">
        <f>equip.xml!H888</f>
        <v>0</v>
      </c>
      <c r="I884" s="1">
        <f>equip.xml!J888</f>
        <v>20</v>
      </c>
      <c r="J884" s="1">
        <f>equip.xml!K888</f>
        <v>0</v>
      </c>
      <c r="K884" s="1">
        <f>equip.xml!L888</f>
        <v>27500</v>
      </c>
      <c r="L884" s="1" t="str">
        <f>equip.xml!M888</f>
        <v>101_11560_11560</v>
      </c>
      <c r="M884" s="7" t="str">
        <f>equip.xml!Q888</f>
        <v>equipment/6009.png</v>
      </c>
      <c r="N884" t="str">
        <f>equip.xml!P888</f>
        <v>10000_1002_50000,30000_30001_1,30000_30002_1,30000_30003_1</v>
      </c>
    </row>
    <row r="885" spans="1:14">
      <c r="A885" s="1" t="str">
        <f>equip.xml!A889</f>
        <v>30500080</v>
      </c>
      <c r="B885" s="1">
        <f>equip.xml!B889</f>
        <v>0</v>
      </c>
      <c r="C885" s="1" t="str">
        <f>equip.xml!C889</f>
        <v>龙鳞护胫</v>
      </c>
      <c r="D885" s="1" t="str">
        <f>equip.xml!D889</f>
        <v>鞋子</v>
      </c>
      <c r="E885" s="1">
        <f>equip.xml!E889</f>
        <v>8</v>
      </c>
      <c r="F885" s="1">
        <f>equip.xml!F889</f>
        <v>3</v>
      </c>
      <c r="G885" s="1">
        <f>equip.xml!G889</f>
        <v>50</v>
      </c>
      <c r="H885" s="1">
        <f>equip.xml!H889</f>
        <v>0</v>
      </c>
      <c r="I885" s="1">
        <f>equip.xml!J889</f>
        <v>20</v>
      </c>
      <c r="J885" s="1">
        <f>equip.xml!K889</f>
        <v>0</v>
      </c>
      <c r="K885" s="1">
        <f>equip.xml!L889</f>
        <v>27500</v>
      </c>
      <c r="L885" s="1" t="str">
        <f>equip.xml!M889</f>
        <v>110_172_172</v>
      </c>
      <c r="M885" s="7" t="str">
        <f>equip.xml!Q889</f>
        <v>equipment/8001.png</v>
      </c>
      <c r="N885" t="str">
        <f>equip.xml!P889</f>
        <v>10000_1002_50000,30000_30001_1,30000_30002_1,30000_30003_1</v>
      </c>
    </row>
    <row r="886" spans="1:14">
      <c r="A886" s="1" t="str">
        <f>equip.xml!A890</f>
        <v>30500090</v>
      </c>
      <c r="B886" s="1">
        <f>equip.xml!B890</f>
        <v>1</v>
      </c>
      <c r="C886" s="1" t="str">
        <f>equip.xml!C890</f>
        <v>血拳手套</v>
      </c>
      <c r="D886" s="1" t="str">
        <f>equip.xml!D890</f>
        <v>手套</v>
      </c>
      <c r="E886" s="1">
        <f>equip.xml!E890</f>
        <v>9</v>
      </c>
      <c r="F886" s="1">
        <f>equip.xml!F890</f>
        <v>3</v>
      </c>
      <c r="G886" s="1">
        <f>equip.xml!G890</f>
        <v>50</v>
      </c>
      <c r="H886" s="1">
        <f>equip.xml!H890</f>
        <v>0</v>
      </c>
      <c r="I886" s="1">
        <f>equip.xml!J890</f>
        <v>20</v>
      </c>
      <c r="J886" s="1">
        <f>equip.xml!K890</f>
        <v>0</v>
      </c>
      <c r="K886" s="1">
        <f>equip.xml!L890</f>
        <v>27500</v>
      </c>
      <c r="L886" s="1" t="str">
        <f>equip.xml!M890</f>
        <v>108_1726_1726</v>
      </c>
      <c r="M886" s="7" t="str">
        <f>equip.xml!Q890</f>
        <v>equipment/10009.png</v>
      </c>
      <c r="N886" t="str">
        <f>equip.xml!P890</f>
        <v>10000_1002_50000,30000_30001_1,30000_30002_1,30000_30003_1</v>
      </c>
    </row>
    <row r="887" spans="1:14">
      <c r="A887" s="1" t="str">
        <f>equip.xml!A891</f>
        <v>30500100</v>
      </c>
      <c r="B887" s="1">
        <f>equip.xml!B891</f>
        <v>1</v>
      </c>
      <c r="C887" s="1" t="str">
        <f>equip.xml!C891</f>
        <v>誓言护坠</v>
      </c>
      <c r="D887" s="1" t="str">
        <f>equip.xml!D891</f>
        <v>项链</v>
      </c>
      <c r="E887" s="1">
        <f>equip.xml!E891</f>
        <v>10</v>
      </c>
      <c r="F887" s="1">
        <f>equip.xml!F891</f>
        <v>3</v>
      </c>
      <c r="G887" s="1">
        <f>equip.xml!G891</f>
        <v>50</v>
      </c>
      <c r="H887" s="1">
        <f>equip.xml!H891</f>
        <v>0</v>
      </c>
      <c r="I887" s="1">
        <f>equip.xml!J891</f>
        <v>20</v>
      </c>
      <c r="J887" s="1">
        <f>equip.xml!K891</f>
        <v>0</v>
      </c>
      <c r="K887" s="1">
        <f>equip.xml!L891</f>
        <v>27500</v>
      </c>
      <c r="L887" s="1" t="str">
        <f>equip.xml!M891</f>
        <v>107_1000_1000</v>
      </c>
      <c r="M887" s="7" t="str">
        <f>equip.xml!Q891</f>
        <v>equipment/12008.png</v>
      </c>
      <c r="N887" t="str">
        <f>equip.xml!P891</f>
        <v>10000_1002_50000,30000_30001_1,30000_30002_1,30000_30003_1</v>
      </c>
    </row>
    <row r="888" spans="1:14">
      <c r="A888" s="1" t="str">
        <f>equip.xml!A892</f>
        <v>30501050</v>
      </c>
      <c r="B888" s="1">
        <f>equip.xml!B892</f>
        <v>1</v>
      </c>
      <c r="C888" s="1" t="str">
        <f>equip.xml!C892</f>
        <v>黎明之刃</v>
      </c>
      <c r="D888" s="1" t="str">
        <f>equip.xml!D892</f>
        <v>主手武器</v>
      </c>
      <c r="E888" s="1">
        <f>equip.xml!E892</f>
        <v>5</v>
      </c>
      <c r="F888" s="1">
        <f>equip.xml!F892</f>
        <v>3</v>
      </c>
      <c r="G888" s="1">
        <f>equip.xml!G892</f>
        <v>50</v>
      </c>
      <c r="H888" s="1" t="str">
        <f>equip.xml!H892</f>
        <v>1,1001</v>
      </c>
      <c r="I888" s="1">
        <f>equip.xml!J892</f>
        <v>20</v>
      </c>
      <c r="J888" s="1">
        <f>equip.xml!K892</f>
        <v>0</v>
      </c>
      <c r="K888" s="1">
        <f>equip.xml!L892</f>
        <v>27500</v>
      </c>
      <c r="L888" s="1" t="str">
        <f>equip.xml!M892</f>
        <v>103_1097_1097,104_2194_2194</v>
      </c>
      <c r="M888" s="7" t="str">
        <f>equip.xml!Q892</f>
        <v>equipment/1119.png</v>
      </c>
      <c r="N888" t="str">
        <f>equip.xml!P892</f>
        <v>10000_1002_50000,30000_30001_1,30000_30002_1,30000_30003_1</v>
      </c>
    </row>
    <row r="889" spans="1:14">
      <c r="A889" s="1" t="str">
        <f>equip.xml!A893</f>
        <v>30501051</v>
      </c>
      <c r="B889" s="1">
        <f>equip.xml!B893</f>
        <v>1</v>
      </c>
      <c r="C889" s="1" t="str">
        <f>equip.xml!C893</f>
        <v>放逐者之刃</v>
      </c>
      <c r="D889" s="1" t="str">
        <f>equip.xml!D893</f>
        <v>主手武器</v>
      </c>
      <c r="E889" s="1">
        <f>equip.xml!E893</f>
        <v>5</v>
      </c>
      <c r="F889" s="1">
        <f>equip.xml!F893</f>
        <v>3</v>
      </c>
      <c r="G889" s="1">
        <f>equip.xml!G893</f>
        <v>50</v>
      </c>
      <c r="H889" s="1" t="str">
        <f>equip.xml!H893</f>
        <v>1,1001</v>
      </c>
      <c r="I889" s="1">
        <f>equip.xml!J893</f>
        <v>20</v>
      </c>
      <c r="J889" s="1">
        <f>equip.xml!K893</f>
        <v>0</v>
      </c>
      <c r="K889" s="1">
        <f>equip.xml!L893</f>
        <v>30000</v>
      </c>
      <c r="L889" s="1" t="str">
        <f>equip.xml!M893</f>
        <v>103_1222_1222,104_2444_2444</v>
      </c>
      <c r="M889" s="7" t="str">
        <f>equip.xml!Q893</f>
        <v>equipment/1120.png</v>
      </c>
      <c r="N889" t="str">
        <f>equip.xml!P893</f>
        <v>10000_1002_50000,30000_30001_1,30000_30002_1,30000_30003_1</v>
      </c>
    </row>
    <row r="890" spans="1:14">
      <c r="A890" s="1" t="str">
        <f>equip.xml!A894</f>
        <v>30501060</v>
      </c>
      <c r="B890" s="1">
        <f>equip.xml!B894</f>
        <v>1</v>
      </c>
      <c r="C890" s="1" t="str">
        <f>equip.xml!C894</f>
        <v>魂祭之盾</v>
      </c>
      <c r="D890" s="1" t="str">
        <f>equip.xml!D894</f>
        <v>副手武器</v>
      </c>
      <c r="E890" s="1">
        <f>equip.xml!E894</f>
        <v>6</v>
      </c>
      <c r="F890" s="1">
        <f>equip.xml!F894</f>
        <v>3</v>
      </c>
      <c r="G890" s="1">
        <f>equip.xml!G894</f>
        <v>50</v>
      </c>
      <c r="H890" s="1" t="str">
        <f>equip.xml!H894</f>
        <v>1,1001</v>
      </c>
      <c r="I890" s="1">
        <f>equip.xml!J894</f>
        <v>20</v>
      </c>
      <c r="J890" s="1">
        <f>equip.xml!K894</f>
        <v>0</v>
      </c>
      <c r="K890" s="1">
        <f>equip.xml!L894</f>
        <v>27500</v>
      </c>
      <c r="L890" s="1" t="str">
        <f>equip.xml!M894</f>
        <v>105_1401_1401</v>
      </c>
      <c r="M890" s="7" t="str">
        <f>equip.xml!Q894</f>
        <v>equipment/2111.png</v>
      </c>
      <c r="N890" t="str">
        <f>equip.xml!P894</f>
        <v>10000_1002_50000,30000_30001_1,30000_30002_1,30000_30003_1</v>
      </c>
    </row>
    <row r="891" spans="1:14">
      <c r="A891" s="1" t="str">
        <f>equip.xml!A895</f>
        <v>30501061</v>
      </c>
      <c r="B891" s="1">
        <f>equip.xml!B895</f>
        <v>1</v>
      </c>
      <c r="C891" s="1" t="str">
        <f>equip.xml!C895</f>
        <v>氪金大盾</v>
      </c>
      <c r="D891" s="1" t="str">
        <f>equip.xml!D895</f>
        <v>副手武器</v>
      </c>
      <c r="E891" s="1">
        <f>equip.xml!E895</f>
        <v>6</v>
      </c>
      <c r="F891" s="1">
        <f>equip.xml!F895</f>
        <v>3</v>
      </c>
      <c r="G891" s="1">
        <f>equip.xml!G895</f>
        <v>50</v>
      </c>
      <c r="H891" s="1" t="str">
        <f>equip.xml!H895</f>
        <v>1,1001</v>
      </c>
      <c r="I891" s="1">
        <f>equip.xml!J895</f>
        <v>20</v>
      </c>
      <c r="J891" s="1">
        <f>equip.xml!K895</f>
        <v>0</v>
      </c>
      <c r="K891" s="1">
        <f>equip.xml!L895</f>
        <v>30000</v>
      </c>
      <c r="L891" s="1" t="str">
        <f>equip.xml!M895</f>
        <v>105_1633_1633</v>
      </c>
      <c r="M891" s="7" t="str">
        <f>equip.xml!Q895</f>
        <v>equipment/2112.png</v>
      </c>
      <c r="N891" t="str">
        <f>equip.xml!P895</f>
        <v>10000_1002_50000,30000_30001_1,30000_30002_1,30000_30003_1</v>
      </c>
    </row>
    <row r="892" spans="1:14">
      <c r="A892" s="1" t="str">
        <f>equip.xml!A896</f>
        <v>30502050</v>
      </c>
      <c r="B892" s="1">
        <f>equip.xml!B896</f>
        <v>1</v>
      </c>
      <c r="C892" s="1" t="str">
        <f>equip.xml!C896</f>
        <v>觅心者长弓</v>
      </c>
      <c r="D892" s="1" t="str">
        <f>equip.xml!D896</f>
        <v>主手武器</v>
      </c>
      <c r="E892" s="1">
        <f>equip.xml!E896</f>
        <v>5</v>
      </c>
      <c r="F892" s="1">
        <f>equip.xml!F896</f>
        <v>3</v>
      </c>
      <c r="G892" s="1">
        <f>equip.xml!G896</f>
        <v>50</v>
      </c>
      <c r="H892" s="1" t="str">
        <f>equip.xml!H896</f>
        <v>2,1002</v>
      </c>
      <c r="I892" s="1">
        <f>equip.xml!J896</f>
        <v>20</v>
      </c>
      <c r="J892" s="1">
        <f>equip.xml!K896</f>
        <v>0</v>
      </c>
      <c r="K892" s="1">
        <f>equip.xml!L896</f>
        <v>27500</v>
      </c>
      <c r="L892" s="1" t="str">
        <f>equip.xml!M896</f>
        <v>103_1097_1097,104_2194_2194</v>
      </c>
      <c r="M892" s="7" t="str">
        <f>equip.xml!Q896</f>
        <v>equipment/1218.png</v>
      </c>
      <c r="N892" t="str">
        <f>equip.xml!P896</f>
        <v>10000_1002_50000,30000_30001_1,30000_30002_1,30000_30003_1</v>
      </c>
    </row>
    <row r="893" spans="1:14">
      <c r="A893" s="1" t="str">
        <f>equip.xml!A897</f>
        <v>30502051</v>
      </c>
      <c r="B893" s="1">
        <f>equip.xml!B897</f>
        <v>1</v>
      </c>
      <c r="C893" s="1" t="str">
        <f>equip.xml!C897</f>
        <v>阳炎之弓</v>
      </c>
      <c r="D893" s="1" t="str">
        <f>equip.xml!D897</f>
        <v>主手武器</v>
      </c>
      <c r="E893" s="1">
        <f>equip.xml!E897</f>
        <v>5</v>
      </c>
      <c r="F893" s="1">
        <f>equip.xml!F897</f>
        <v>3</v>
      </c>
      <c r="G893" s="1">
        <f>equip.xml!G897</f>
        <v>50</v>
      </c>
      <c r="H893" s="1" t="str">
        <f>equip.xml!H897</f>
        <v>2,1002</v>
      </c>
      <c r="I893" s="1">
        <f>equip.xml!J897</f>
        <v>20</v>
      </c>
      <c r="J893" s="1">
        <f>equip.xml!K897</f>
        <v>0</v>
      </c>
      <c r="K893" s="1">
        <f>equip.xml!L897</f>
        <v>30000</v>
      </c>
      <c r="L893" s="1" t="str">
        <f>equip.xml!M897</f>
        <v>103_1222_1222,104_2444_2444</v>
      </c>
      <c r="M893" s="7" t="str">
        <f>equip.xml!Q897</f>
        <v>equipment/1221.png</v>
      </c>
      <c r="N893" t="str">
        <f>equip.xml!P897</f>
        <v>10000_1002_50000,30000_30001_1,30000_30002_1,30000_30003_1</v>
      </c>
    </row>
    <row r="894" spans="1:14">
      <c r="A894" s="1" t="str">
        <f>equip.xml!A898</f>
        <v>30502060</v>
      </c>
      <c r="B894" s="1">
        <f>equip.xml!B898</f>
        <v>1</v>
      </c>
      <c r="C894" s="1" t="str">
        <f>equip.xml!C898</f>
        <v>黑骨箭袋</v>
      </c>
      <c r="D894" s="1" t="str">
        <f>equip.xml!D898</f>
        <v>副手武器</v>
      </c>
      <c r="E894" s="1">
        <f>equip.xml!E898</f>
        <v>6</v>
      </c>
      <c r="F894" s="1">
        <f>equip.xml!F898</f>
        <v>3</v>
      </c>
      <c r="G894" s="1">
        <f>equip.xml!G898</f>
        <v>50</v>
      </c>
      <c r="H894" s="1" t="str">
        <f>equip.xml!H898</f>
        <v>2,1002</v>
      </c>
      <c r="I894" s="1">
        <f>equip.xml!J898</f>
        <v>20</v>
      </c>
      <c r="J894" s="1">
        <f>equip.xml!K898</f>
        <v>0</v>
      </c>
      <c r="K894" s="1">
        <f>equip.xml!L898</f>
        <v>27500</v>
      </c>
      <c r="L894" s="1" t="str">
        <f>equip.xml!M898</f>
        <v>108_1401_1401</v>
      </c>
      <c r="M894" s="7" t="str">
        <f>equip.xml!Q898</f>
        <v>equipment/2210.png</v>
      </c>
      <c r="N894" t="str">
        <f>equip.xml!P898</f>
        <v>10000_1002_50000,30000_30001_1,30000_30002_1,30000_30003_1</v>
      </c>
    </row>
    <row r="895" spans="1:14">
      <c r="A895" s="1" t="str">
        <f>equip.xml!A899</f>
        <v>30502061</v>
      </c>
      <c r="B895" s="1">
        <f>equip.xml!B899</f>
        <v>1</v>
      </c>
      <c r="C895" s="1" t="str">
        <f>equip.xml!C899</f>
        <v>符文箭筒</v>
      </c>
      <c r="D895" s="1" t="str">
        <f>equip.xml!D899</f>
        <v>副手武器</v>
      </c>
      <c r="E895" s="1">
        <f>equip.xml!E899</f>
        <v>6</v>
      </c>
      <c r="F895" s="1">
        <f>equip.xml!F899</f>
        <v>3</v>
      </c>
      <c r="G895" s="1">
        <f>equip.xml!G899</f>
        <v>50</v>
      </c>
      <c r="H895" s="1" t="str">
        <f>equip.xml!H899</f>
        <v>2,1002</v>
      </c>
      <c r="I895" s="1">
        <f>equip.xml!J899</f>
        <v>20</v>
      </c>
      <c r="J895" s="1">
        <f>equip.xml!K899</f>
        <v>0</v>
      </c>
      <c r="K895" s="1">
        <f>equip.xml!L899</f>
        <v>30000</v>
      </c>
      <c r="L895" s="1" t="str">
        <f>equip.xml!M899</f>
        <v>108_1633_1633</v>
      </c>
      <c r="M895" s="7" t="str">
        <f>equip.xml!Q899</f>
        <v>equipment/2212.png</v>
      </c>
      <c r="N895" t="str">
        <f>equip.xml!P899</f>
        <v>10000_1002_50000,30000_30001_1,30000_30002_1,30000_30003_1</v>
      </c>
    </row>
    <row r="896" spans="1:14">
      <c r="A896" s="1" t="str">
        <f>equip.xml!A900</f>
        <v>30503050</v>
      </c>
      <c r="B896" s="1">
        <f>equip.xml!B900</f>
        <v>1</v>
      </c>
      <c r="C896" s="1" t="str">
        <f>equip.xml!C900</f>
        <v>虚灵法杖</v>
      </c>
      <c r="D896" s="1" t="str">
        <f>equip.xml!D900</f>
        <v>主手武器</v>
      </c>
      <c r="E896" s="1">
        <f>equip.xml!E900</f>
        <v>5</v>
      </c>
      <c r="F896" s="1">
        <f>equip.xml!F900</f>
        <v>3</v>
      </c>
      <c r="G896" s="1">
        <f>equip.xml!G900</f>
        <v>50</v>
      </c>
      <c r="H896" s="1" t="str">
        <f>equip.xml!H900</f>
        <v>3,1003</v>
      </c>
      <c r="I896" s="1">
        <f>equip.xml!J900</f>
        <v>20</v>
      </c>
      <c r="J896" s="1">
        <f>equip.xml!K900</f>
        <v>0</v>
      </c>
      <c r="K896" s="1">
        <f>equip.xml!L900</f>
        <v>27500</v>
      </c>
      <c r="L896" s="1" t="str">
        <f>equip.xml!M900</f>
        <v>103_1097_1097,104_2194_2194</v>
      </c>
      <c r="M896" s="7" t="str">
        <f>equip.xml!Q900</f>
        <v>equipment/1319.png</v>
      </c>
      <c r="N896" t="str">
        <f>equip.xml!P900</f>
        <v>10000_1002_50000,30000_30001_1,30000_30002_1,30000_30003_1</v>
      </c>
    </row>
    <row r="897" spans="1:14">
      <c r="A897" s="1" t="str">
        <f>equip.xml!A901</f>
        <v>30503051</v>
      </c>
      <c r="B897" s="1">
        <f>equip.xml!B901</f>
        <v>1</v>
      </c>
      <c r="C897" s="1" t="str">
        <f>equip.xml!C901</f>
        <v>恒光巨杖</v>
      </c>
      <c r="D897" s="1" t="str">
        <f>equip.xml!D901</f>
        <v>主手武器</v>
      </c>
      <c r="E897" s="1">
        <f>equip.xml!E901</f>
        <v>5</v>
      </c>
      <c r="F897" s="1">
        <f>equip.xml!F901</f>
        <v>3</v>
      </c>
      <c r="G897" s="1">
        <f>equip.xml!G901</f>
        <v>50</v>
      </c>
      <c r="H897" s="1" t="str">
        <f>equip.xml!H901</f>
        <v>3,1003</v>
      </c>
      <c r="I897" s="1">
        <f>equip.xml!J901</f>
        <v>20</v>
      </c>
      <c r="J897" s="1">
        <f>equip.xml!K901</f>
        <v>0</v>
      </c>
      <c r="K897" s="1">
        <f>equip.xml!L901</f>
        <v>30000</v>
      </c>
      <c r="L897" s="1" t="str">
        <f>equip.xml!M901</f>
        <v>103_1222_1222,104_2444_2444</v>
      </c>
      <c r="M897" s="7" t="str">
        <f>equip.xml!Q901</f>
        <v>equipment/1320.png</v>
      </c>
      <c r="N897" t="str">
        <f>equip.xml!P901</f>
        <v>10000_1002_50000,30000_30001_1,30000_30002_1,30000_30003_1</v>
      </c>
    </row>
    <row r="898" spans="1:14">
      <c r="A898" s="1" t="str">
        <f>equip.xml!A902</f>
        <v>30503060</v>
      </c>
      <c r="B898" s="1">
        <f>equip.xml!B902</f>
        <v>1</v>
      </c>
      <c r="C898" s="1" t="str">
        <f>equip.xml!C902</f>
        <v>幻术之书</v>
      </c>
      <c r="D898" s="1" t="str">
        <f>equip.xml!D902</f>
        <v>副手武器</v>
      </c>
      <c r="E898" s="1">
        <f>equip.xml!E902</f>
        <v>6</v>
      </c>
      <c r="F898" s="1">
        <f>equip.xml!F902</f>
        <v>3</v>
      </c>
      <c r="G898" s="1">
        <f>equip.xml!G902</f>
        <v>50</v>
      </c>
      <c r="H898" s="1" t="str">
        <f>equip.xml!H902</f>
        <v>3,1003</v>
      </c>
      <c r="I898" s="1">
        <f>equip.xml!J902</f>
        <v>20</v>
      </c>
      <c r="J898" s="1">
        <f>equip.xml!K902</f>
        <v>0</v>
      </c>
      <c r="K898" s="1">
        <f>equip.xml!L902</f>
        <v>27500</v>
      </c>
      <c r="L898" s="1" t="str">
        <f>equip.xml!M902</f>
        <v>102_1440_1440</v>
      </c>
      <c r="M898" s="7" t="str">
        <f>equip.xml!Q902</f>
        <v>equipment/2311.png</v>
      </c>
      <c r="N898" t="str">
        <f>equip.xml!P902</f>
        <v>10000_1002_50000,30000_30001_1,30000_30002_1,30000_30003_1</v>
      </c>
    </row>
    <row r="899" spans="1:14">
      <c r="A899" s="1" t="str">
        <f>equip.xml!A903</f>
        <v>30503061</v>
      </c>
      <c r="B899" s="1">
        <f>equip.xml!B903</f>
        <v>1</v>
      </c>
      <c r="C899" s="1" t="str">
        <f>equip.xml!C903</f>
        <v>护咒之书</v>
      </c>
      <c r="D899" s="1" t="str">
        <f>equip.xml!D903</f>
        <v>副手武器</v>
      </c>
      <c r="E899" s="1">
        <f>equip.xml!E903</f>
        <v>6</v>
      </c>
      <c r="F899" s="1">
        <f>equip.xml!F903</f>
        <v>3</v>
      </c>
      <c r="G899" s="1">
        <f>equip.xml!G903</f>
        <v>50</v>
      </c>
      <c r="H899" s="1" t="str">
        <f>equip.xml!H903</f>
        <v>3,1003</v>
      </c>
      <c r="I899" s="1">
        <f>equip.xml!J903</f>
        <v>20</v>
      </c>
      <c r="J899" s="1">
        <f>equip.xml!K903</f>
        <v>0</v>
      </c>
      <c r="K899" s="1">
        <f>equip.xml!L903</f>
        <v>30000</v>
      </c>
      <c r="L899" s="1" t="str">
        <f>equip.xml!M903</f>
        <v>102_1633_1633</v>
      </c>
      <c r="M899" s="7" t="str">
        <f>equip.xml!Q903</f>
        <v>equipment/2312.png</v>
      </c>
      <c r="N899" t="str">
        <f>equip.xml!P903</f>
        <v>10000_1002_50000,30000_30001_1,30000_30002_1,30000_30003_1</v>
      </c>
    </row>
    <row r="900" spans="1:14">
      <c r="A900" s="1" t="str">
        <f>equip.xml!A904</f>
        <v>30500040</v>
      </c>
      <c r="B900" s="1">
        <f>equip.xml!B904</f>
        <v>0</v>
      </c>
      <c r="C900" s="1" t="str">
        <f>equip.xml!C904</f>
        <v>新兵外套</v>
      </c>
      <c r="D900" s="1" t="str">
        <f>equip.xml!D904</f>
        <v>胸甲</v>
      </c>
      <c r="E900" s="1">
        <f>equip.xml!E904</f>
        <v>4</v>
      </c>
      <c r="F900" s="1">
        <f>equip.xml!F904</f>
        <v>3</v>
      </c>
      <c r="G900" s="1">
        <f>equip.xml!G904</f>
        <v>50</v>
      </c>
      <c r="H900" s="1">
        <f>equip.xml!H904</f>
        <v>0</v>
      </c>
      <c r="I900" s="1">
        <f>equip.xml!J904</f>
        <v>20</v>
      </c>
      <c r="J900" s="1">
        <f>equip.xml!K904</f>
        <v>0</v>
      </c>
      <c r="K900" s="1">
        <f>equip.xml!L904</f>
        <v>27500</v>
      </c>
      <c r="L900" s="1" t="str">
        <f>equip.xml!M904</f>
        <v>105_780_780</v>
      </c>
      <c r="M900" s="7" t="str">
        <f>equip.xml!Q904</f>
        <v>equipment/5001.png</v>
      </c>
      <c r="N900" t="str">
        <f>equip.xml!P904</f>
        <v>10000_1002_50000,30000_30001_1,30000_30002_1,30000_30003_1</v>
      </c>
    </row>
    <row r="901" spans="1:14">
      <c r="A901" s="1" t="str">
        <f>equip.xml!A905</f>
        <v>30500041</v>
      </c>
      <c r="B901" s="1">
        <f>equip.xml!B905</f>
        <v>0</v>
      </c>
      <c r="C901" s="1" t="str">
        <f>equip.xml!C905</f>
        <v>新兵外套</v>
      </c>
      <c r="D901" s="1" t="str">
        <f>equip.xml!D905</f>
        <v>胸甲</v>
      </c>
      <c r="E901" s="1">
        <f>equip.xml!E905</f>
        <v>4</v>
      </c>
      <c r="F901" s="1">
        <f>equip.xml!F905</f>
        <v>3</v>
      </c>
      <c r="G901" s="1">
        <f>equip.xml!G905</f>
        <v>50</v>
      </c>
      <c r="H901" s="1">
        <f>equip.xml!H905</f>
        <v>0</v>
      </c>
      <c r="I901" s="1">
        <f>equip.xml!J905</f>
        <v>20</v>
      </c>
      <c r="J901" s="1">
        <f>equip.xml!K905</f>
        <v>0</v>
      </c>
      <c r="K901" s="1">
        <f>equip.xml!L905</f>
        <v>30000</v>
      </c>
      <c r="L901" s="1" t="str">
        <f>equip.xml!M905</f>
        <v>105_929_929</v>
      </c>
      <c r="M901" s="7" t="str">
        <f>equip.xml!Q905</f>
        <v>equipment/5001.png</v>
      </c>
      <c r="N901" t="str">
        <f>equip.xml!P905</f>
        <v>10000_1002_50000,30000_30001_1,30000_30002_1,30000_30003_1</v>
      </c>
    </row>
    <row r="902" spans="1:14">
      <c r="A902" s="1" t="str">
        <f>equip.xml!A906</f>
        <v>30500070</v>
      </c>
      <c r="B902" s="1">
        <f>equip.xml!B906</f>
        <v>1</v>
      </c>
      <c r="C902" s="1" t="str">
        <f>equip.xml!C906</f>
        <v>凯旋腿甲</v>
      </c>
      <c r="D902" s="1" t="str">
        <f>equip.xml!D906</f>
        <v>护腿</v>
      </c>
      <c r="E902" s="1">
        <f>equip.xml!E906</f>
        <v>7</v>
      </c>
      <c r="F902" s="1">
        <f>equip.xml!F906</f>
        <v>3</v>
      </c>
      <c r="G902" s="1">
        <f>equip.xml!G906</f>
        <v>50</v>
      </c>
      <c r="H902" s="1">
        <f>equip.xml!H906</f>
        <v>0</v>
      </c>
      <c r="I902" s="1">
        <f>equip.xml!J906</f>
        <v>20</v>
      </c>
      <c r="J902" s="1">
        <f>equip.xml!K906</f>
        <v>0</v>
      </c>
      <c r="K902" s="1">
        <f>equip.xml!L906</f>
        <v>27500</v>
      </c>
      <c r="L902" s="1" t="str">
        <f>equip.xml!M906</f>
        <v>105_628_628</v>
      </c>
      <c r="M902" s="7" t="str">
        <f>equip.xml!Q906</f>
        <v>equipment/7012.png</v>
      </c>
      <c r="N902" t="str">
        <f>equip.xml!P906</f>
        <v>10000_1002_50000,30000_30001_1,30000_30002_1,30000_30003_1</v>
      </c>
    </row>
    <row r="903" spans="1:14">
      <c r="A903" s="1" t="str">
        <f>equip.xml!A907</f>
        <v>30500071</v>
      </c>
      <c r="B903" s="1">
        <f>equip.xml!B907</f>
        <v>0</v>
      </c>
      <c r="C903" s="1" t="str">
        <f>equip.xml!C907</f>
        <v>学徒短裤</v>
      </c>
      <c r="D903" s="1" t="str">
        <f>equip.xml!D907</f>
        <v>护腿</v>
      </c>
      <c r="E903" s="1">
        <f>equip.xml!E907</f>
        <v>7</v>
      </c>
      <c r="F903" s="1">
        <f>equip.xml!F907</f>
        <v>3</v>
      </c>
      <c r="G903" s="1">
        <f>equip.xml!G907</f>
        <v>50</v>
      </c>
      <c r="H903" s="1">
        <f>equip.xml!H907</f>
        <v>0</v>
      </c>
      <c r="I903" s="1">
        <f>equip.xml!J907</f>
        <v>20</v>
      </c>
      <c r="J903" s="1">
        <f>equip.xml!K907</f>
        <v>0</v>
      </c>
      <c r="K903" s="1">
        <f>equip.xml!L907</f>
        <v>30000</v>
      </c>
      <c r="L903" s="1" t="str">
        <f>equip.xml!M907</f>
        <v>105_689_689</v>
      </c>
      <c r="M903" s="7" t="str">
        <f>equip.xml!Q907</f>
        <v>equipment/7001.png</v>
      </c>
      <c r="N903" t="str">
        <f>equip.xml!P907</f>
        <v>10000_1002_50000,30000_30001_1,30000_30002_1,30000_30003_1</v>
      </c>
    </row>
    <row r="904" spans="1:14">
      <c r="A904" s="1" t="str">
        <f>equip.xml!A908</f>
        <v>30550010</v>
      </c>
      <c r="B904" s="1">
        <f>equip.xml!B908</f>
        <v>1</v>
      </c>
      <c r="C904" s="1" t="str">
        <f>equip.xml!C908</f>
        <v>银月头盔</v>
      </c>
      <c r="D904" s="1" t="str">
        <f>equip.xml!D908</f>
        <v>头盔</v>
      </c>
      <c r="E904" s="1">
        <f>equip.xml!E908</f>
        <v>1</v>
      </c>
      <c r="F904" s="1">
        <f>equip.xml!F908</f>
        <v>3</v>
      </c>
      <c r="G904" s="1">
        <f>equip.xml!G908</f>
        <v>55</v>
      </c>
      <c r="H904" s="1">
        <f>equip.xml!H908</f>
        <v>0</v>
      </c>
      <c r="I904" s="1">
        <f>equip.xml!J908</f>
        <v>20</v>
      </c>
      <c r="J904" s="1">
        <f>equip.xml!K908</f>
        <v>0</v>
      </c>
      <c r="K904" s="1">
        <f>equip.xml!L908</f>
        <v>30000</v>
      </c>
      <c r="L904" s="1" t="str">
        <f>equip.xml!M908</f>
        <v>106_1291_1291</v>
      </c>
      <c r="M904" s="7" t="str">
        <f>equip.xml!Q908</f>
        <v>equipment/3009.png</v>
      </c>
      <c r="N904" t="str">
        <f>equip.xml!P908</f>
        <v>10000_1002_55000,30000_30001_1,30000_30002_1,30000_30003_1</v>
      </c>
    </row>
    <row r="905" spans="1:14">
      <c r="A905" s="1" t="str">
        <f>equip.xml!A909</f>
        <v>30550020</v>
      </c>
      <c r="B905" s="1">
        <f>equip.xml!B909</f>
        <v>1</v>
      </c>
      <c r="C905" s="1" t="str">
        <f>equip.xml!C909</f>
        <v>镇魂之戒</v>
      </c>
      <c r="D905" s="1" t="str">
        <f>equip.xml!D909</f>
        <v>戒指</v>
      </c>
      <c r="E905" s="1">
        <f>equip.xml!E909</f>
        <v>2</v>
      </c>
      <c r="F905" s="1">
        <f>equip.xml!F909</f>
        <v>3</v>
      </c>
      <c r="G905" s="1">
        <f>equip.xml!G909</f>
        <v>55</v>
      </c>
      <c r="H905" s="1">
        <f>equip.xml!H909</f>
        <v>0</v>
      </c>
      <c r="I905" s="1">
        <f>equip.xml!J909</f>
        <v>20</v>
      </c>
      <c r="J905" s="1">
        <f>equip.xml!K909</f>
        <v>0</v>
      </c>
      <c r="K905" s="1">
        <f>equip.xml!L909</f>
        <v>30000</v>
      </c>
      <c r="L905" s="1" t="str">
        <f>equip.xml!M909</f>
        <v>102_1080_1080</v>
      </c>
      <c r="M905" s="7" t="str">
        <f>equip.xml!Q909</f>
        <v>equipment/14009.png</v>
      </c>
      <c r="N905" t="str">
        <f>equip.xml!P909</f>
        <v>10000_1002_55000,30000_30001_1,30000_30002_1,30000_30003_1</v>
      </c>
    </row>
    <row r="906" spans="1:14">
      <c r="A906" s="1" t="str">
        <f>equip.xml!A910</f>
        <v>30550030</v>
      </c>
      <c r="B906" s="1">
        <f>equip.xml!B910</f>
        <v>0</v>
      </c>
      <c r="C906" s="1" t="str">
        <f>equip.xml!C910</f>
        <v>魔鳞腰带</v>
      </c>
      <c r="D906" s="1" t="str">
        <f>equip.xml!D910</f>
        <v>腰带</v>
      </c>
      <c r="E906" s="1">
        <f>equip.xml!E910</f>
        <v>3</v>
      </c>
      <c r="F906" s="1">
        <f>equip.xml!F910</f>
        <v>3</v>
      </c>
      <c r="G906" s="1">
        <f>equip.xml!G910</f>
        <v>55</v>
      </c>
      <c r="H906" s="1">
        <f>equip.xml!H910</f>
        <v>0</v>
      </c>
      <c r="I906" s="1">
        <f>equip.xml!J910</f>
        <v>20</v>
      </c>
      <c r="J906" s="1">
        <f>equip.xml!K910</f>
        <v>0</v>
      </c>
      <c r="K906" s="1">
        <f>equip.xml!L910</f>
        <v>30000</v>
      </c>
      <c r="L906" s="1" t="str">
        <f>equip.xml!M910</f>
        <v>101_13920_13920</v>
      </c>
      <c r="M906" s="7" t="str">
        <f>equip.xml!Q910</f>
        <v>equipment/6001.png</v>
      </c>
      <c r="N906" t="str">
        <f>equip.xml!P910</f>
        <v>10000_1002_55000,30000_30001_1,30000_30002_1,30000_30003_1</v>
      </c>
    </row>
    <row r="907" spans="1:14">
      <c r="A907" s="1" t="str">
        <f>equip.xml!A911</f>
        <v>30550080</v>
      </c>
      <c r="B907" s="1">
        <f>equip.xml!B911</f>
        <v>1</v>
      </c>
      <c r="C907" s="1" t="str">
        <f>equip.xml!C911</f>
        <v>天行者之靴</v>
      </c>
      <c r="D907" s="1" t="str">
        <f>equip.xml!D911</f>
        <v>鞋子</v>
      </c>
      <c r="E907" s="1">
        <f>equip.xml!E911</f>
        <v>8</v>
      </c>
      <c r="F907" s="1">
        <f>equip.xml!F911</f>
        <v>3</v>
      </c>
      <c r="G907" s="1">
        <f>equip.xml!G911</f>
        <v>55</v>
      </c>
      <c r="H907" s="1">
        <f>equip.xml!H911</f>
        <v>0</v>
      </c>
      <c r="I907" s="1">
        <f>equip.xml!J911</f>
        <v>20</v>
      </c>
      <c r="J907" s="1">
        <f>equip.xml!K911</f>
        <v>0</v>
      </c>
      <c r="K907" s="1">
        <f>equip.xml!L911</f>
        <v>30000</v>
      </c>
      <c r="L907" s="1" t="str">
        <f>equip.xml!M911</f>
        <v>110_219_219</v>
      </c>
      <c r="M907" s="7" t="str">
        <f>equip.xml!Q911</f>
        <v>equipment/8009.png</v>
      </c>
      <c r="N907" t="str">
        <f>equip.xml!P911</f>
        <v>10000_1002_55000,30000_30001_1,30000_30002_1,30000_30003_1</v>
      </c>
    </row>
    <row r="908" spans="1:14">
      <c r="A908" s="1" t="str">
        <f>equip.xml!A912</f>
        <v>30550090</v>
      </c>
      <c r="B908" s="1">
        <f>equip.xml!B912</f>
        <v>0</v>
      </c>
      <c r="C908" s="1" t="str">
        <f>equip.xml!C912</f>
        <v>轻布手套</v>
      </c>
      <c r="D908" s="1" t="str">
        <f>equip.xml!D912</f>
        <v>手套</v>
      </c>
      <c r="E908" s="1">
        <f>equip.xml!E912</f>
        <v>9</v>
      </c>
      <c r="F908" s="1">
        <f>equip.xml!F912</f>
        <v>3</v>
      </c>
      <c r="G908" s="1">
        <f>equip.xml!G912</f>
        <v>55</v>
      </c>
      <c r="H908" s="1">
        <f>equip.xml!H912</f>
        <v>0</v>
      </c>
      <c r="I908" s="1">
        <f>equip.xml!J912</f>
        <v>20</v>
      </c>
      <c r="J908" s="1">
        <f>equip.xml!K912</f>
        <v>0</v>
      </c>
      <c r="K908" s="1">
        <f>equip.xml!L912</f>
        <v>30000</v>
      </c>
      <c r="L908" s="1" t="str">
        <f>equip.xml!M912</f>
        <v>108_1726_1726</v>
      </c>
      <c r="M908" s="7" t="str">
        <f>equip.xml!Q912</f>
        <v>equipment/10001.png</v>
      </c>
      <c r="N908" t="str">
        <f>equip.xml!P912</f>
        <v>10000_1002_55000,30000_30001_1,30000_30002_1,30000_30003_1</v>
      </c>
    </row>
    <row r="909" spans="1:14">
      <c r="A909" s="1" t="str">
        <f>equip.xml!A913</f>
        <v>30550100</v>
      </c>
      <c r="B909" s="1">
        <f>equip.xml!B913</f>
        <v>1</v>
      </c>
      <c r="C909" s="1" t="str">
        <f>equip.xml!C913</f>
        <v>遗忘石坠</v>
      </c>
      <c r="D909" s="1" t="str">
        <f>equip.xml!D913</f>
        <v>项链</v>
      </c>
      <c r="E909" s="1">
        <f>equip.xml!E913</f>
        <v>10</v>
      </c>
      <c r="F909" s="1">
        <f>equip.xml!F913</f>
        <v>3</v>
      </c>
      <c r="G909" s="1">
        <f>equip.xml!G913</f>
        <v>55</v>
      </c>
      <c r="H909" s="1">
        <f>equip.xml!H913</f>
        <v>0</v>
      </c>
      <c r="I909" s="1">
        <f>equip.xml!J913</f>
        <v>20</v>
      </c>
      <c r="J909" s="1">
        <f>equip.xml!K913</f>
        <v>0</v>
      </c>
      <c r="K909" s="1">
        <f>equip.xml!L913</f>
        <v>30000</v>
      </c>
      <c r="L909" s="1" t="str">
        <f>equip.xml!M913</f>
        <v>107_1291_1291</v>
      </c>
      <c r="M909" s="7" t="str">
        <f>equip.xml!Q913</f>
        <v>equipment/12009.png</v>
      </c>
      <c r="N909" t="str">
        <f>equip.xml!P913</f>
        <v>10000_1002_55000,30000_30001_1,30000_30002_1,30000_30003_1</v>
      </c>
    </row>
    <row r="910" spans="1:14">
      <c r="A910" s="1" t="str">
        <f>equip.xml!A914</f>
        <v>30551050</v>
      </c>
      <c r="B910" s="1">
        <f>equip.xml!B914</f>
        <v>1</v>
      </c>
      <c r="C910" s="1" t="str">
        <f>equip.xml!C914</f>
        <v>噬魂符剑</v>
      </c>
      <c r="D910" s="1" t="str">
        <f>equip.xml!D914</f>
        <v>主手武器</v>
      </c>
      <c r="E910" s="1">
        <f>equip.xml!E914</f>
        <v>5</v>
      </c>
      <c r="F910" s="1">
        <f>equip.xml!F914</f>
        <v>3</v>
      </c>
      <c r="G910" s="1">
        <f>equip.xml!G914</f>
        <v>55</v>
      </c>
      <c r="H910" s="1" t="str">
        <f>equip.xml!H914</f>
        <v>1,1001</v>
      </c>
      <c r="I910" s="1">
        <f>equip.xml!J914</f>
        <v>20</v>
      </c>
      <c r="J910" s="1">
        <f>equip.xml!K914</f>
        <v>0</v>
      </c>
      <c r="K910" s="1">
        <f>equip.xml!L914</f>
        <v>30000</v>
      </c>
      <c r="L910" s="1" t="str">
        <f>equip.xml!M914</f>
        <v>103_1409_1409,104_2818_2818</v>
      </c>
      <c r="M910" s="7" t="str">
        <f>equip.xml!Q914</f>
        <v>equipment/1121.png</v>
      </c>
      <c r="N910" t="str">
        <f>equip.xml!P914</f>
        <v>10000_1002_55000,30000_30001_1,30000_30002_1,30000_30003_1</v>
      </c>
    </row>
    <row r="911" spans="1:14">
      <c r="A911" s="1" t="str">
        <f>equip.xml!A915</f>
        <v>30551051</v>
      </c>
      <c r="B911" s="1">
        <f>equip.xml!B915</f>
        <v>0</v>
      </c>
      <c r="C911" s="1" t="str">
        <f>equip.xml!C915</f>
        <v>军刀</v>
      </c>
      <c r="D911" s="1" t="str">
        <f>equip.xml!D915</f>
        <v>主手武器</v>
      </c>
      <c r="E911" s="1">
        <f>equip.xml!E915</f>
        <v>5</v>
      </c>
      <c r="F911" s="1">
        <f>equip.xml!F915</f>
        <v>3</v>
      </c>
      <c r="G911" s="1">
        <f>equip.xml!G915</f>
        <v>55</v>
      </c>
      <c r="H911" s="1" t="str">
        <f>equip.xml!H915</f>
        <v>1,1001</v>
      </c>
      <c r="I911" s="1">
        <f>equip.xml!J915</f>
        <v>20</v>
      </c>
      <c r="J911" s="1">
        <f>equip.xml!K915</f>
        <v>0</v>
      </c>
      <c r="K911" s="1">
        <f>equip.xml!L915</f>
        <v>32500</v>
      </c>
      <c r="L911" s="1" t="str">
        <f>equip.xml!M915</f>
        <v>103_1648_1648,104_3296_3296</v>
      </c>
      <c r="M911" s="7" t="str">
        <f>equip.xml!Q915</f>
        <v>equipment/1101.png</v>
      </c>
      <c r="N911" t="str">
        <f>equip.xml!P915</f>
        <v>10000_1002_55000,30000_30001_1,30000_30002_1,30000_30003_1</v>
      </c>
    </row>
    <row r="912" spans="1:14">
      <c r="A912" s="1" t="str">
        <f>equip.xml!A916</f>
        <v>30551060</v>
      </c>
      <c r="B912" s="1">
        <f>equip.xml!B916</f>
        <v>1</v>
      </c>
      <c r="C912" s="1" t="str">
        <f>equip.xml!C916</f>
        <v>反射壁垒</v>
      </c>
      <c r="D912" s="1" t="str">
        <f>equip.xml!D916</f>
        <v>副手武器</v>
      </c>
      <c r="E912" s="1">
        <f>equip.xml!E916</f>
        <v>6</v>
      </c>
      <c r="F912" s="1">
        <f>equip.xml!F916</f>
        <v>3</v>
      </c>
      <c r="G912" s="1">
        <f>equip.xml!G916</f>
        <v>55</v>
      </c>
      <c r="H912" s="1" t="str">
        <f>equip.xml!H916</f>
        <v>1,1001</v>
      </c>
      <c r="I912" s="1">
        <f>equip.xml!J916</f>
        <v>20</v>
      </c>
      <c r="J912" s="1">
        <f>equip.xml!K916</f>
        <v>0</v>
      </c>
      <c r="K912" s="1">
        <f>equip.xml!L916</f>
        <v>30000</v>
      </c>
      <c r="L912" s="1" t="str">
        <f>equip.xml!M916</f>
        <v>105_1981_1981</v>
      </c>
      <c r="M912" s="7" t="str">
        <f>equip.xml!Q916</f>
        <v>equipment/2113.png</v>
      </c>
      <c r="N912" t="str">
        <f>equip.xml!P916</f>
        <v>10000_1002_55000,30000_30001_1,30000_30002_1,30000_30003_1</v>
      </c>
    </row>
    <row r="913" spans="1:14">
      <c r="A913" s="1" t="str">
        <f>equip.xml!A917</f>
        <v>30551061</v>
      </c>
      <c r="B913" s="1">
        <f>equip.xml!B917</f>
        <v>1</v>
      </c>
      <c r="C913" s="1" t="str">
        <f>equip.xml!C917</f>
        <v>巨龙之盾</v>
      </c>
      <c r="D913" s="1" t="str">
        <f>equip.xml!D917</f>
        <v>副手武器</v>
      </c>
      <c r="E913" s="1">
        <f>equip.xml!E917</f>
        <v>6</v>
      </c>
      <c r="F913" s="1">
        <f>equip.xml!F917</f>
        <v>3</v>
      </c>
      <c r="G913" s="1">
        <f>equip.xml!G917</f>
        <v>55</v>
      </c>
      <c r="H913" s="1" t="str">
        <f>equip.xml!H917</f>
        <v>1,1001</v>
      </c>
      <c r="I913" s="1">
        <f>equip.xml!J917</f>
        <v>20</v>
      </c>
      <c r="J913" s="1">
        <f>equip.xml!K917</f>
        <v>0</v>
      </c>
      <c r="K913" s="1">
        <f>equip.xml!L917</f>
        <v>32500</v>
      </c>
      <c r="L913" s="1" t="str">
        <f>equip.xml!M917</f>
        <v>105_2195_2195</v>
      </c>
      <c r="M913" s="7" t="str">
        <f>equip.xml!Q917</f>
        <v>equipment/2114.png</v>
      </c>
      <c r="N913" t="str">
        <f>equip.xml!P917</f>
        <v>10000_1002_55000,30000_30001_1,30000_30002_1,30000_30003_1</v>
      </c>
    </row>
    <row r="914" spans="1:14">
      <c r="A914" s="1" t="str">
        <f>equip.xml!A918</f>
        <v>30552050</v>
      </c>
      <c r="B914" s="1">
        <f>equip.xml!B918</f>
        <v>1</v>
      </c>
      <c r="C914" s="1" t="str">
        <f>equip.xml!C918</f>
        <v>魂击长弓</v>
      </c>
      <c r="D914" s="1" t="str">
        <f>equip.xml!D918</f>
        <v>主手武器</v>
      </c>
      <c r="E914" s="1">
        <f>equip.xml!E918</f>
        <v>5</v>
      </c>
      <c r="F914" s="1">
        <f>equip.xml!F918</f>
        <v>3</v>
      </c>
      <c r="G914" s="1">
        <f>equip.xml!G918</f>
        <v>55</v>
      </c>
      <c r="H914" s="1" t="str">
        <f>equip.xml!H918</f>
        <v>2,1002</v>
      </c>
      <c r="I914" s="1">
        <f>equip.xml!J918</f>
        <v>20</v>
      </c>
      <c r="J914" s="1">
        <f>equip.xml!K918</f>
        <v>0</v>
      </c>
      <c r="K914" s="1">
        <f>equip.xml!L918</f>
        <v>30000</v>
      </c>
      <c r="L914" s="1" t="str">
        <f>equip.xml!M918</f>
        <v>103_1409_1409,104_2818_2818</v>
      </c>
      <c r="M914" s="7" t="str">
        <f>equip.xml!Q918</f>
        <v>equipment/1218.png</v>
      </c>
      <c r="N914" t="str">
        <f>equip.xml!P918</f>
        <v>10000_1002_55000,30000_30001_1,30000_30002_1,30000_30003_1</v>
      </c>
    </row>
    <row r="915" spans="1:14">
      <c r="A915" s="1" t="str">
        <f>equip.xml!A919</f>
        <v>30552051</v>
      </c>
      <c r="B915" s="1">
        <f>equip.xml!B919</f>
        <v>0</v>
      </c>
      <c r="C915" s="1" t="str">
        <f>equip.xml!C919</f>
        <v>棘木弓</v>
      </c>
      <c r="D915" s="1" t="str">
        <f>equip.xml!D919</f>
        <v>主手武器</v>
      </c>
      <c r="E915" s="1">
        <f>equip.xml!E919</f>
        <v>5</v>
      </c>
      <c r="F915" s="1">
        <f>equip.xml!F919</f>
        <v>3</v>
      </c>
      <c r="G915" s="1">
        <f>equip.xml!G919</f>
        <v>55</v>
      </c>
      <c r="H915" s="1" t="str">
        <f>equip.xml!H919</f>
        <v>2,1002</v>
      </c>
      <c r="I915" s="1">
        <f>equip.xml!J919</f>
        <v>20</v>
      </c>
      <c r="J915" s="1">
        <f>equip.xml!K919</f>
        <v>0</v>
      </c>
      <c r="K915" s="1">
        <f>equip.xml!L919</f>
        <v>32500</v>
      </c>
      <c r="L915" s="1" t="str">
        <f>equip.xml!M919</f>
        <v>103_1648_1648,104_3296_3296</v>
      </c>
      <c r="M915" s="7" t="str">
        <f>equip.xml!Q919</f>
        <v>equipment/1201.png</v>
      </c>
      <c r="N915" t="str">
        <f>equip.xml!P919</f>
        <v>10000_1002_55000,30000_30001_1,30000_30002_1,30000_30003_1</v>
      </c>
    </row>
    <row r="916" spans="1:14">
      <c r="A916" s="1" t="str">
        <f>equip.xml!A920</f>
        <v>30552060</v>
      </c>
      <c r="B916" s="1">
        <f>equip.xml!B920</f>
        <v>1</v>
      </c>
      <c r="C916" s="1" t="str">
        <f>equip.xml!C920</f>
        <v>银矢箭筒</v>
      </c>
      <c r="D916" s="1" t="str">
        <f>equip.xml!D920</f>
        <v>副手武器</v>
      </c>
      <c r="E916" s="1">
        <f>equip.xml!E920</f>
        <v>6</v>
      </c>
      <c r="F916" s="1">
        <f>equip.xml!F920</f>
        <v>3</v>
      </c>
      <c r="G916" s="1">
        <f>equip.xml!G920</f>
        <v>55</v>
      </c>
      <c r="H916" s="1" t="str">
        <f>equip.xml!H920</f>
        <v>2,1002</v>
      </c>
      <c r="I916" s="1">
        <f>equip.xml!J920</f>
        <v>20</v>
      </c>
      <c r="J916" s="1">
        <f>equip.xml!K920</f>
        <v>0</v>
      </c>
      <c r="K916" s="1">
        <f>equip.xml!L920</f>
        <v>30000</v>
      </c>
      <c r="L916" s="1" t="str">
        <f>equip.xml!M920</f>
        <v>108_1981_1981</v>
      </c>
      <c r="M916" s="7" t="str">
        <f>equip.xml!Q920</f>
        <v>equipment/2213.png</v>
      </c>
      <c r="N916" t="str">
        <f>equip.xml!P920</f>
        <v>10000_1002_55000,30000_30001_1,30000_30002_1,30000_30003_1</v>
      </c>
    </row>
    <row r="917" spans="1:14">
      <c r="A917" s="1" t="str">
        <f>equip.xml!A921</f>
        <v>30552061</v>
      </c>
      <c r="B917" s="1">
        <f>equip.xml!B921</f>
        <v>1</v>
      </c>
      <c r="C917" s="1" t="str">
        <f>equip.xml!C921</f>
        <v>日怒箭筒</v>
      </c>
      <c r="D917" s="1" t="str">
        <f>equip.xml!D921</f>
        <v>副手武器</v>
      </c>
      <c r="E917" s="1">
        <f>equip.xml!E921</f>
        <v>6</v>
      </c>
      <c r="F917" s="1">
        <f>equip.xml!F921</f>
        <v>3</v>
      </c>
      <c r="G917" s="1">
        <f>equip.xml!G921</f>
        <v>55</v>
      </c>
      <c r="H917" s="1" t="str">
        <f>equip.xml!H921</f>
        <v>2,1002</v>
      </c>
      <c r="I917" s="1">
        <f>equip.xml!J921</f>
        <v>20</v>
      </c>
      <c r="J917" s="1">
        <f>equip.xml!K921</f>
        <v>0</v>
      </c>
      <c r="K917" s="1">
        <f>equip.xml!L921</f>
        <v>32500</v>
      </c>
      <c r="L917" s="1" t="str">
        <f>equip.xml!M921</f>
        <v>108_2195_2195</v>
      </c>
      <c r="M917" s="7" t="str">
        <f>equip.xml!Q921</f>
        <v>equipment/2214.png</v>
      </c>
      <c r="N917" t="str">
        <f>equip.xml!P921</f>
        <v>10000_1002_55000,30000_30001_1,30000_30002_1,30000_30003_1</v>
      </c>
    </row>
    <row r="918" spans="1:14">
      <c r="A918" s="1" t="str">
        <f>equip.xml!A922</f>
        <v>30553050</v>
      </c>
      <c r="B918" s="1">
        <f>equip.xml!B922</f>
        <v>1</v>
      </c>
      <c r="C918" s="1" t="str">
        <f>equip.xml!C922</f>
        <v>寒霜之怒</v>
      </c>
      <c r="D918" s="1" t="str">
        <f>equip.xml!D922</f>
        <v>主手武器</v>
      </c>
      <c r="E918" s="1">
        <f>equip.xml!E922</f>
        <v>5</v>
      </c>
      <c r="F918" s="1">
        <f>equip.xml!F922</f>
        <v>3</v>
      </c>
      <c r="G918" s="1">
        <f>equip.xml!G922</f>
        <v>55</v>
      </c>
      <c r="H918" s="1" t="str">
        <f>equip.xml!H922</f>
        <v>3,1003</v>
      </c>
      <c r="I918" s="1">
        <f>equip.xml!J922</f>
        <v>20</v>
      </c>
      <c r="J918" s="1">
        <f>equip.xml!K922</f>
        <v>0</v>
      </c>
      <c r="K918" s="1">
        <f>equip.xml!L922</f>
        <v>30000</v>
      </c>
      <c r="L918" s="1" t="str">
        <f>equip.xml!M922</f>
        <v>103_1409_1409,104_2818_2818</v>
      </c>
      <c r="M918" s="7" t="str">
        <f>equip.xml!Q922</f>
        <v>equipment/1321.png</v>
      </c>
      <c r="N918" t="str">
        <f>equip.xml!P922</f>
        <v>10000_1002_55000,30000_30001_1,30000_30002_1,30000_30003_1</v>
      </c>
    </row>
    <row r="919" spans="1:14">
      <c r="A919" s="1" t="str">
        <f>equip.xml!A923</f>
        <v>30553051</v>
      </c>
      <c r="B919" s="1">
        <f>equip.xml!B923</f>
        <v>0</v>
      </c>
      <c r="C919" s="1" t="str">
        <f>equip.xml!C923</f>
        <v>学徒法杖</v>
      </c>
      <c r="D919" s="1" t="str">
        <f>equip.xml!D923</f>
        <v>主手武器</v>
      </c>
      <c r="E919" s="1">
        <f>equip.xml!E923</f>
        <v>5</v>
      </c>
      <c r="F919" s="1">
        <f>equip.xml!F923</f>
        <v>3</v>
      </c>
      <c r="G919" s="1">
        <f>equip.xml!G923</f>
        <v>55</v>
      </c>
      <c r="H919" s="1" t="str">
        <f>equip.xml!H923</f>
        <v>3,1003</v>
      </c>
      <c r="I919" s="1">
        <f>equip.xml!J923</f>
        <v>20</v>
      </c>
      <c r="J919" s="1">
        <f>equip.xml!K923</f>
        <v>0</v>
      </c>
      <c r="K919" s="1">
        <f>equip.xml!L923</f>
        <v>32500</v>
      </c>
      <c r="L919" s="1" t="str">
        <f>equip.xml!M923</f>
        <v>103_1648_1648,104_3296_3296</v>
      </c>
      <c r="M919" s="7" t="str">
        <f>equip.xml!Q923</f>
        <v>equipment/1301.png</v>
      </c>
      <c r="N919" t="str">
        <f>equip.xml!P923</f>
        <v>10000_1002_55000,30000_30001_1,30000_30002_1,30000_30003_1</v>
      </c>
    </row>
    <row r="920" spans="1:14">
      <c r="A920" s="1" t="str">
        <f>equip.xml!A924</f>
        <v>30553060</v>
      </c>
      <c r="B920" s="1">
        <f>equip.xml!B924</f>
        <v>1</v>
      </c>
      <c r="C920" s="1" t="str">
        <f>equip.xml!C924</f>
        <v>遗忘魔典</v>
      </c>
      <c r="D920" s="1" t="str">
        <f>equip.xml!D924</f>
        <v>副手武器</v>
      </c>
      <c r="E920" s="1">
        <f>equip.xml!E924</f>
        <v>6</v>
      </c>
      <c r="F920" s="1">
        <f>equip.xml!F924</f>
        <v>3</v>
      </c>
      <c r="G920" s="1">
        <f>equip.xml!G924</f>
        <v>55</v>
      </c>
      <c r="H920" s="1" t="str">
        <f>equip.xml!H924</f>
        <v>3,1003</v>
      </c>
      <c r="I920" s="1">
        <f>equip.xml!J924</f>
        <v>20</v>
      </c>
      <c r="J920" s="1">
        <f>equip.xml!K924</f>
        <v>0</v>
      </c>
      <c r="K920" s="1">
        <f>equip.xml!L924</f>
        <v>30000</v>
      </c>
      <c r="L920" s="1" t="str">
        <f>equip.xml!M924</f>
        <v>102_1780_1780</v>
      </c>
      <c r="M920" s="7" t="str">
        <f>equip.xml!Q924</f>
        <v>equipment/2313.png</v>
      </c>
      <c r="N920" t="str">
        <f>equip.xml!P924</f>
        <v>10000_1002_55000,30000_30001_1,30000_30002_1,30000_30003_1</v>
      </c>
    </row>
    <row r="921" spans="1:14">
      <c r="A921" s="1" t="str">
        <f>equip.xml!A925</f>
        <v>30553061</v>
      </c>
      <c r="B921" s="1">
        <f>equip.xml!B925</f>
        <v>1</v>
      </c>
      <c r="C921" s="1" t="str">
        <f>equip.xml!C925</f>
        <v>龙语入门</v>
      </c>
      <c r="D921" s="1" t="str">
        <f>equip.xml!D925</f>
        <v>副手武器</v>
      </c>
      <c r="E921" s="1">
        <f>equip.xml!E925</f>
        <v>6</v>
      </c>
      <c r="F921" s="1">
        <f>equip.xml!F925</f>
        <v>3</v>
      </c>
      <c r="G921" s="1">
        <f>equip.xml!G925</f>
        <v>55</v>
      </c>
      <c r="H921" s="1" t="str">
        <f>equip.xml!H925</f>
        <v>3,1003</v>
      </c>
      <c r="I921" s="1">
        <f>equip.xml!J925</f>
        <v>20</v>
      </c>
      <c r="J921" s="1">
        <f>equip.xml!K925</f>
        <v>0</v>
      </c>
      <c r="K921" s="1">
        <f>equip.xml!L925</f>
        <v>32500</v>
      </c>
      <c r="L921" s="1" t="str">
        <f>equip.xml!M925</f>
        <v>102_1972_1972</v>
      </c>
      <c r="M921" s="7" t="str">
        <f>equip.xml!Q925</f>
        <v>equipment/2316.png</v>
      </c>
      <c r="N921" t="str">
        <f>equip.xml!P925</f>
        <v>10000_1002_55000,30000_30001_1,30000_30002_1,30000_30003_1</v>
      </c>
    </row>
    <row r="922" spans="1:14">
      <c r="A922" s="1" t="str">
        <f>equip.xml!A926</f>
        <v>30550040</v>
      </c>
      <c r="B922" s="1">
        <f>equip.xml!B926</f>
        <v>1</v>
      </c>
      <c r="C922" s="1" t="str">
        <f>equip.xml!C926</f>
        <v>血卫胸甲</v>
      </c>
      <c r="D922" s="1" t="str">
        <f>equip.xml!D926</f>
        <v>胸甲</v>
      </c>
      <c r="E922" s="1">
        <f>equip.xml!E926</f>
        <v>4</v>
      </c>
      <c r="F922" s="1">
        <f>equip.xml!F926</f>
        <v>3</v>
      </c>
      <c r="G922" s="1">
        <f>equip.xml!G926</f>
        <v>55</v>
      </c>
      <c r="H922" s="1">
        <f>equip.xml!H926</f>
        <v>0</v>
      </c>
      <c r="I922" s="1">
        <f>equip.xml!J926</f>
        <v>20</v>
      </c>
      <c r="J922" s="1">
        <f>equip.xml!K926</f>
        <v>0</v>
      </c>
      <c r="K922" s="1">
        <f>equip.xml!L926</f>
        <v>30000</v>
      </c>
      <c r="L922" s="1" t="str">
        <f>equip.xml!M926</f>
        <v>105_1153_1153</v>
      </c>
      <c r="M922" s="7" t="str">
        <f>equip.xml!Q926</f>
        <v>equipment/5015.png</v>
      </c>
      <c r="N922" t="str">
        <f>equip.xml!P926</f>
        <v>10000_1002_55000,30000_30001_1,30000_30002_1,30000_30003_1</v>
      </c>
    </row>
    <row r="923" spans="1:14">
      <c r="A923" s="1" t="str">
        <f>equip.xml!A927</f>
        <v>30550041</v>
      </c>
      <c r="B923" s="1">
        <f>equip.xml!B927</f>
        <v>0</v>
      </c>
      <c r="C923" s="1" t="str">
        <f>equip.xml!C927</f>
        <v>新兵外套</v>
      </c>
      <c r="D923" s="1" t="str">
        <f>equip.xml!D927</f>
        <v>胸甲</v>
      </c>
      <c r="E923" s="1">
        <f>equip.xml!E927</f>
        <v>4</v>
      </c>
      <c r="F923" s="1">
        <f>equip.xml!F927</f>
        <v>3</v>
      </c>
      <c r="G923" s="1">
        <f>equip.xml!G927</f>
        <v>55</v>
      </c>
      <c r="H923" s="1">
        <f>equip.xml!H927</f>
        <v>0</v>
      </c>
      <c r="I923" s="1">
        <f>equip.xml!J927</f>
        <v>20</v>
      </c>
      <c r="J923" s="1">
        <f>equip.xml!K927</f>
        <v>0</v>
      </c>
      <c r="K923" s="1">
        <f>equip.xml!L927</f>
        <v>32500</v>
      </c>
      <c r="L923" s="1" t="str">
        <f>equip.xml!M927</f>
        <v>105_1243_1243</v>
      </c>
      <c r="M923" s="7" t="str">
        <f>equip.xml!Q927</f>
        <v>equipment/5001.png</v>
      </c>
      <c r="N923" t="str">
        <f>equip.xml!P927</f>
        <v>10000_1002_55000,30000_30001_1,30000_30002_1,30000_30003_1</v>
      </c>
    </row>
    <row r="924" spans="1:14">
      <c r="A924" s="1" t="str">
        <f>equip.xml!A928</f>
        <v>30550070</v>
      </c>
      <c r="B924" s="1">
        <f>equip.xml!B928</f>
        <v>1</v>
      </c>
      <c r="C924" s="1" t="str">
        <f>equip.xml!C928</f>
        <v>征服者护腿</v>
      </c>
      <c r="D924" s="1" t="str">
        <f>equip.xml!D928</f>
        <v>护腿</v>
      </c>
      <c r="E924" s="1">
        <f>equip.xml!E928</f>
        <v>7</v>
      </c>
      <c r="F924" s="1">
        <f>equip.xml!F928</f>
        <v>3</v>
      </c>
      <c r="G924" s="1">
        <f>equip.xml!G928</f>
        <v>55</v>
      </c>
      <c r="H924" s="1">
        <f>equip.xml!H928</f>
        <v>0</v>
      </c>
      <c r="I924" s="1">
        <f>equip.xml!J928</f>
        <v>20</v>
      </c>
      <c r="J924" s="1">
        <f>equip.xml!K928</f>
        <v>0</v>
      </c>
      <c r="K924" s="1">
        <f>equip.xml!L928</f>
        <v>30000</v>
      </c>
      <c r="L924" s="1" t="str">
        <f>equip.xml!M928</f>
        <v>105_780_780</v>
      </c>
      <c r="M924" s="7" t="str">
        <f>equip.xml!Q928</f>
        <v>equipment/7013.png</v>
      </c>
      <c r="N924" t="str">
        <f>equip.xml!P928</f>
        <v>10000_1002_55000,30000_30001_1,30000_30002_1,30000_30003_1</v>
      </c>
    </row>
    <row r="925" spans="1:14">
      <c r="A925" s="1" t="str">
        <f>equip.xml!A929</f>
        <v>30550071</v>
      </c>
      <c r="B925" s="1">
        <f>equip.xml!B929</f>
        <v>0</v>
      </c>
      <c r="C925" s="1" t="str">
        <f>equip.xml!C929</f>
        <v>学徒短裤</v>
      </c>
      <c r="D925" s="1" t="str">
        <f>equip.xml!D929</f>
        <v>护腿</v>
      </c>
      <c r="E925" s="1">
        <f>equip.xml!E929</f>
        <v>7</v>
      </c>
      <c r="F925" s="1">
        <f>equip.xml!F929</f>
        <v>3</v>
      </c>
      <c r="G925" s="1">
        <f>equip.xml!G929</f>
        <v>55</v>
      </c>
      <c r="H925" s="1">
        <f>equip.xml!H929</f>
        <v>0</v>
      </c>
      <c r="I925" s="1">
        <f>equip.xml!J929</f>
        <v>20</v>
      </c>
      <c r="J925" s="1">
        <f>equip.xml!K929</f>
        <v>0</v>
      </c>
      <c r="K925" s="1">
        <f>equip.xml!L929</f>
        <v>32500</v>
      </c>
      <c r="L925" s="1" t="str">
        <f>equip.xml!M929</f>
        <v>105_929_929</v>
      </c>
      <c r="M925" s="7" t="str">
        <f>equip.xml!Q929</f>
        <v>equipment/7001.png</v>
      </c>
      <c r="N925" t="str">
        <f>equip.xml!P929</f>
        <v>10000_1002_55000,30000_30001_1,30000_30002_1,30000_30003_1</v>
      </c>
    </row>
    <row r="926" spans="1:14">
      <c r="A926" s="1" t="str">
        <f>equip.xml!A930</f>
        <v>30600010</v>
      </c>
      <c r="B926" s="1">
        <f>equip.xml!B930</f>
        <v>1</v>
      </c>
      <c r="C926" s="1" t="str">
        <f>equip.xml!C930</f>
        <v>英勇战盔</v>
      </c>
      <c r="D926" s="1" t="str">
        <f>equip.xml!D930</f>
        <v>头盔</v>
      </c>
      <c r="E926" s="1">
        <f>equip.xml!E930</f>
        <v>1</v>
      </c>
      <c r="F926" s="1">
        <f>equip.xml!F930</f>
        <v>3</v>
      </c>
      <c r="G926" s="1">
        <f>equip.xml!G930</f>
        <v>60</v>
      </c>
      <c r="H926" s="1">
        <f>equip.xml!H930</f>
        <v>0</v>
      </c>
      <c r="I926" s="1">
        <f>equip.xml!J930</f>
        <v>20</v>
      </c>
      <c r="J926" s="1">
        <f>equip.xml!K930</f>
        <v>0</v>
      </c>
      <c r="K926" s="1">
        <f>equip.xml!L930</f>
        <v>32500</v>
      </c>
      <c r="L926" s="1" t="str">
        <f>equip.xml!M930</f>
        <v>106_1628_1628</v>
      </c>
      <c r="M926" s="7" t="str">
        <f>equip.xml!Q930</f>
        <v>equipment/3010.png</v>
      </c>
      <c r="N926" t="str">
        <f>equip.xml!P930</f>
        <v>10000_1002_60000,30000_30001_1,30000_30002_1,30000_30003_1</v>
      </c>
    </row>
    <row r="927" spans="1:14">
      <c r="A927" s="1" t="str">
        <f>equip.xml!A931</f>
        <v>30600020</v>
      </c>
      <c r="B927" s="1">
        <f>equip.xml!B931</f>
        <v>1</v>
      </c>
      <c r="C927" s="1" t="str">
        <f>equip.xml!C931</f>
        <v>星宇指环</v>
      </c>
      <c r="D927" s="1" t="str">
        <f>equip.xml!D931</f>
        <v>戒指</v>
      </c>
      <c r="E927" s="1">
        <f>equip.xml!E931</f>
        <v>2</v>
      </c>
      <c r="F927" s="1">
        <f>equip.xml!F931</f>
        <v>3</v>
      </c>
      <c r="G927" s="1">
        <f>equip.xml!G931</f>
        <v>60</v>
      </c>
      <c r="H927" s="1">
        <f>equip.xml!H931</f>
        <v>0</v>
      </c>
      <c r="I927" s="1">
        <f>equip.xml!J931</f>
        <v>20</v>
      </c>
      <c r="J927" s="1">
        <f>equip.xml!K931</f>
        <v>0</v>
      </c>
      <c r="K927" s="1">
        <f>equip.xml!L931</f>
        <v>32500</v>
      </c>
      <c r="L927" s="1" t="str">
        <f>equip.xml!M931</f>
        <v>102_1260_1260</v>
      </c>
      <c r="M927" s="7" t="str">
        <f>equip.xml!Q931</f>
        <v>equipment/14010.png</v>
      </c>
      <c r="N927" t="str">
        <f>equip.xml!P931</f>
        <v>10000_1002_60000,30000_30001_1,30000_30002_1,30000_30003_1</v>
      </c>
    </row>
    <row r="928" spans="1:14">
      <c r="A928" s="1" t="str">
        <f>equip.xml!A932</f>
        <v>30600030</v>
      </c>
      <c r="B928" s="1">
        <f>equip.xml!B932</f>
        <v>1</v>
      </c>
      <c r="C928" s="1" t="str">
        <f>equip.xml!C932</f>
        <v>远征腰带</v>
      </c>
      <c r="D928" s="1" t="str">
        <f>equip.xml!D932</f>
        <v>腰带</v>
      </c>
      <c r="E928" s="1">
        <f>equip.xml!E932</f>
        <v>3</v>
      </c>
      <c r="F928" s="1">
        <f>equip.xml!F932</f>
        <v>3</v>
      </c>
      <c r="G928" s="1">
        <f>equip.xml!G932</f>
        <v>60</v>
      </c>
      <c r="H928" s="1">
        <f>equip.xml!H932</f>
        <v>0</v>
      </c>
      <c r="I928" s="1">
        <f>equip.xml!J932</f>
        <v>20</v>
      </c>
      <c r="J928" s="1">
        <f>equip.xml!K932</f>
        <v>0</v>
      </c>
      <c r="K928" s="1">
        <f>equip.xml!L932</f>
        <v>32500</v>
      </c>
      <c r="L928" s="1" t="str">
        <f>equip.xml!M932</f>
        <v>101_13920_13920</v>
      </c>
      <c r="M928" s="7" t="str">
        <f>equip.xml!Q932</f>
        <v>equipment/6010.png</v>
      </c>
      <c r="N928" t="str">
        <f>equip.xml!P932</f>
        <v>10000_1002_60000,30000_30001_1,30000_30002_1,30000_30003_1</v>
      </c>
    </row>
    <row r="929" spans="1:14">
      <c r="A929" s="1" t="str">
        <f>equip.xml!A933</f>
        <v>30600080</v>
      </c>
      <c r="B929" s="1">
        <f>equip.xml!B933</f>
        <v>1</v>
      </c>
      <c r="C929" s="1" t="str">
        <f>equip.xml!C933</f>
        <v>风暴长靴</v>
      </c>
      <c r="D929" s="1" t="str">
        <f>equip.xml!D933</f>
        <v>鞋子</v>
      </c>
      <c r="E929" s="1">
        <f>equip.xml!E933</f>
        <v>8</v>
      </c>
      <c r="F929" s="1">
        <f>equip.xml!F933</f>
        <v>3</v>
      </c>
      <c r="G929" s="1">
        <f>equip.xml!G933</f>
        <v>60</v>
      </c>
      <c r="H929" s="1">
        <f>equip.xml!H933</f>
        <v>0</v>
      </c>
      <c r="I929" s="1">
        <f>equip.xml!J933</f>
        <v>20</v>
      </c>
      <c r="J929" s="1">
        <f>equip.xml!K933</f>
        <v>0</v>
      </c>
      <c r="K929" s="1">
        <f>equip.xml!L933</f>
        <v>32500</v>
      </c>
      <c r="L929" s="1" t="str">
        <f>equip.xml!M933</f>
        <v>110_271_271</v>
      </c>
      <c r="M929" s="7" t="str">
        <f>equip.xml!Q933</f>
        <v>equipment/8010.png</v>
      </c>
      <c r="N929" t="str">
        <f>equip.xml!P933</f>
        <v>10000_1002_60000,30000_30001_1,30000_30002_1,30000_30003_1</v>
      </c>
    </row>
    <row r="930" spans="1:14">
      <c r="A930" s="1" t="str">
        <f>equip.xml!A934</f>
        <v>30600090</v>
      </c>
      <c r="B930" s="1">
        <f>equip.xml!B934</f>
        <v>1</v>
      </c>
      <c r="C930" s="1" t="str">
        <f>equip.xml!C934</f>
        <v>远征军护手</v>
      </c>
      <c r="D930" s="1" t="str">
        <f>equip.xml!D934</f>
        <v>手套</v>
      </c>
      <c r="E930" s="1">
        <f>equip.xml!E934</f>
        <v>9</v>
      </c>
      <c r="F930" s="1">
        <f>equip.xml!F934</f>
        <v>3</v>
      </c>
      <c r="G930" s="1">
        <f>equip.xml!G934</f>
        <v>60</v>
      </c>
      <c r="H930" s="1">
        <f>equip.xml!H934</f>
        <v>0</v>
      </c>
      <c r="I930" s="1">
        <f>equip.xml!J934</f>
        <v>20</v>
      </c>
      <c r="J930" s="1">
        <f>equip.xml!K934</f>
        <v>0</v>
      </c>
      <c r="K930" s="1">
        <f>equip.xml!L934</f>
        <v>32500</v>
      </c>
      <c r="L930" s="1" t="str">
        <f>equip.xml!M934</f>
        <v>108_2300_2300</v>
      </c>
      <c r="M930" s="7" t="str">
        <f>equip.xml!Q934</f>
        <v>equipment/10010.png</v>
      </c>
      <c r="N930" t="str">
        <f>equip.xml!P934</f>
        <v>10000_1002_60000,30000_30001_1,30000_30002_1,30000_30003_1</v>
      </c>
    </row>
    <row r="931" spans="1:14">
      <c r="A931" s="1" t="str">
        <f>equip.xml!A935</f>
        <v>30600100</v>
      </c>
      <c r="B931" s="1">
        <f>equip.xml!B935</f>
        <v>1</v>
      </c>
      <c r="C931" s="1" t="str">
        <f>equip.xml!C935</f>
        <v>悔恨之链</v>
      </c>
      <c r="D931" s="1" t="str">
        <f>equip.xml!D935</f>
        <v>项链</v>
      </c>
      <c r="E931" s="1">
        <f>equip.xml!E935</f>
        <v>10</v>
      </c>
      <c r="F931" s="1">
        <f>equip.xml!F935</f>
        <v>3</v>
      </c>
      <c r="G931" s="1">
        <f>equip.xml!G935</f>
        <v>60</v>
      </c>
      <c r="H931" s="1">
        <f>equip.xml!H935</f>
        <v>0</v>
      </c>
      <c r="I931" s="1">
        <f>equip.xml!J935</f>
        <v>20</v>
      </c>
      <c r="J931" s="1">
        <f>equip.xml!K935</f>
        <v>0</v>
      </c>
      <c r="K931" s="1">
        <f>equip.xml!L935</f>
        <v>32500</v>
      </c>
      <c r="L931" s="1" t="str">
        <f>equip.xml!M935</f>
        <v>107_1628_1628</v>
      </c>
      <c r="M931" s="7" t="str">
        <f>equip.xml!Q935</f>
        <v>equipment/12010.png</v>
      </c>
      <c r="N931" t="str">
        <f>equip.xml!P935</f>
        <v>10000_1002_60000,30000_30001_1,30000_30002_1,30000_30003_1</v>
      </c>
    </row>
    <row r="932" spans="1:14">
      <c r="A932" s="1" t="str">
        <f>equip.xml!A936</f>
        <v>30601050</v>
      </c>
      <c r="B932" s="1">
        <f>equip.xml!B936</f>
        <v>1</v>
      </c>
      <c r="C932" s="1" t="str">
        <f>equip.xml!C936</f>
        <v>毁灭之刃</v>
      </c>
      <c r="D932" s="1" t="str">
        <f>equip.xml!D936</f>
        <v>主手武器</v>
      </c>
      <c r="E932" s="1">
        <f>equip.xml!E936</f>
        <v>5</v>
      </c>
      <c r="F932" s="1">
        <f>equip.xml!F936</f>
        <v>3</v>
      </c>
      <c r="G932" s="1">
        <f>equip.xml!G936</f>
        <v>60</v>
      </c>
      <c r="H932" s="1" t="str">
        <f>equip.xml!H936</f>
        <v>1,1001</v>
      </c>
      <c r="I932" s="1">
        <f>equip.xml!J936</f>
        <v>20</v>
      </c>
      <c r="J932" s="1">
        <f>equip.xml!K936</f>
        <v>0</v>
      </c>
      <c r="K932" s="1">
        <f>equip.xml!L936</f>
        <v>32500</v>
      </c>
      <c r="L932" s="1" t="str">
        <f>equip.xml!M936</f>
        <v>103_2007_2007,104_4014_4014</v>
      </c>
      <c r="M932" s="7" t="str">
        <f>equip.xml!Q936</f>
        <v>equipment/1118.png</v>
      </c>
      <c r="N932" t="str">
        <f>equip.xml!P936</f>
        <v>10000_1002_60000,30000_30001_1,30000_30002_1,30000_30003_1</v>
      </c>
    </row>
    <row r="933" spans="1:14">
      <c r="A933" s="1" t="str">
        <f>equip.xml!A937</f>
        <v>30601051</v>
      </c>
      <c r="B933" s="1">
        <f>equip.xml!B937</f>
        <v>1</v>
      </c>
      <c r="C933" s="1" t="str">
        <f>equip.xml!C937</f>
        <v>逐光巨剑</v>
      </c>
      <c r="D933" s="1" t="str">
        <f>equip.xml!D937</f>
        <v>主手武器</v>
      </c>
      <c r="E933" s="1">
        <f>equip.xml!E937</f>
        <v>5</v>
      </c>
      <c r="F933" s="1">
        <f>equip.xml!F937</f>
        <v>3</v>
      </c>
      <c r="G933" s="1">
        <f>equip.xml!G937</f>
        <v>60</v>
      </c>
      <c r="H933" s="1" t="str">
        <f>equip.xml!H937</f>
        <v>1,1001</v>
      </c>
      <c r="I933" s="1">
        <f>equip.xml!J937</f>
        <v>20</v>
      </c>
      <c r="J933" s="1">
        <f>equip.xml!K937</f>
        <v>0</v>
      </c>
      <c r="K933" s="1">
        <f>equip.xml!L937</f>
        <v>35000</v>
      </c>
      <c r="L933" s="1" t="str">
        <f>equip.xml!M937</f>
        <v>103_2252_2252,104_4504_4504</v>
      </c>
      <c r="M933" s="7" t="str">
        <f>equip.xml!Q937</f>
        <v>equipment/1122.png</v>
      </c>
      <c r="N933" t="str">
        <f>equip.xml!P937</f>
        <v>10000_1002_60000,30000_30001_1,30000_30002_1,30000_30003_1</v>
      </c>
    </row>
    <row r="934" spans="1:14">
      <c r="A934" s="1" t="str">
        <f>equip.xml!A938</f>
        <v>30601060</v>
      </c>
      <c r="B934" s="1">
        <f>equip.xml!B938</f>
        <v>1</v>
      </c>
      <c r="C934" s="1" t="str">
        <f>equip.xml!C938</f>
        <v>灵魂壁垒</v>
      </c>
      <c r="D934" s="1" t="str">
        <f>equip.xml!D938</f>
        <v>副手武器</v>
      </c>
      <c r="E934" s="1">
        <f>equip.xml!E938</f>
        <v>6</v>
      </c>
      <c r="F934" s="1">
        <f>equip.xml!F938</f>
        <v>3</v>
      </c>
      <c r="G934" s="1">
        <f>equip.xml!G938</f>
        <v>60</v>
      </c>
      <c r="H934" s="1" t="str">
        <f>equip.xml!H938</f>
        <v>1,1001</v>
      </c>
      <c r="I934" s="1">
        <f>equip.xml!J938</f>
        <v>20</v>
      </c>
      <c r="J934" s="1">
        <f>equip.xml!K938</f>
        <v>0</v>
      </c>
      <c r="K934" s="1">
        <f>equip.xml!L938</f>
        <v>32500</v>
      </c>
      <c r="L934" s="1" t="str">
        <f>equip.xml!M938</f>
        <v>105_2515_2515</v>
      </c>
      <c r="M934" s="7" t="str">
        <f>equip.xml!Q938</f>
        <v>equipment/2115.png</v>
      </c>
      <c r="N934" t="str">
        <f>equip.xml!P938</f>
        <v>10000_1002_60000,30000_30001_1,30000_30002_1,30000_30003_1</v>
      </c>
    </row>
    <row r="935" spans="1:14">
      <c r="A935" s="1" t="str">
        <f>equip.xml!A939</f>
        <v>30601061</v>
      </c>
      <c r="B935" s="1">
        <f>equip.xml!B939</f>
        <v>0</v>
      </c>
      <c r="C935" s="1" t="str">
        <f>equip.xml!C939</f>
        <v>尖头盾</v>
      </c>
      <c r="D935" s="1" t="str">
        <f>equip.xml!D939</f>
        <v>副手武器</v>
      </c>
      <c r="E935" s="1">
        <f>equip.xml!E939</f>
        <v>6</v>
      </c>
      <c r="F935" s="1">
        <f>equip.xml!F939</f>
        <v>3</v>
      </c>
      <c r="G935" s="1">
        <f>equip.xml!G939</f>
        <v>60</v>
      </c>
      <c r="H935" s="1" t="str">
        <f>equip.xml!H939</f>
        <v>1,1001</v>
      </c>
      <c r="I935" s="1">
        <f>equip.xml!J939</f>
        <v>20</v>
      </c>
      <c r="J935" s="1">
        <f>equip.xml!K939</f>
        <v>0</v>
      </c>
      <c r="K935" s="1">
        <f>equip.xml!L939</f>
        <v>35000</v>
      </c>
      <c r="L935" s="1" t="str">
        <f>equip.xml!M939</f>
        <v>105_2704_2704</v>
      </c>
      <c r="M935" s="7" t="str">
        <f>equip.xml!Q939</f>
        <v>equipment/2101.png</v>
      </c>
      <c r="N935" t="str">
        <f>equip.xml!P939</f>
        <v>10000_1002_60000,30000_30001_1,30000_30002_1,30000_30003_1</v>
      </c>
    </row>
    <row r="936" spans="1:14">
      <c r="A936" s="1" t="str">
        <f>equip.xml!A940</f>
        <v>30602050</v>
      </c>
      <c r="B936" s="1">
        <f>equip.xml!B940</f>
        <v>1</v>
      </c>
      <c r="C936" s="1" t="str">
        <f>equip.xml!C940</f>
        <v>暗之追猎者</v>
      </c>
      <c r="D936" s="1" t="str">
        <f>equip.xml!D940</f>
        <v>主手武器</v>
      </c>
      <c r="E936" s="1">
        <f>equip.xml!E940</f>
        <v>5</v>
      </c>
      <c r="F936" s="1">
        <f>equip.xml!F940</f>
        <v>3</v>
      </c>
      <c r="G936" s="1">
        <f>equip.xml!G940</f>
        <v>60</v>
      </c>
      <c r="H936" s="1" t="str">
        <f>equip.xml!H940</f>
        <v>2,1002</v>
      </c>
      <c r="I936" s="1">
        <f>equip.xml!J940</f>
        <v>20</v>
      </c>
      <c r="J936" s="1">
        <f>equip.xml!K940</f>
        <v>0</v>
      </c>
      <c r="K936" s="1">
        <f>equip.xml!L940</f>
        <v>32500</v>
      </c>
      <c r="L936" s="1" t="str">
        <f>equip.xml!M940</f>
        <v>103_2007_2007,104_4014_4014</v>
      </c>
      <c r="M936" s="7" t="str">
        <f>equip.xml!Q940</f>
        <v>equipment/1220.png</v>
      </c>
      <c r="N936" t="str">
        <f>equip.xml!P940</f>
        <v>10000_1002_60000,30000_30001_1,30000_30002_1,30000_30003_1</v>
      </c>
    </row>
    <row r="937" spans="1:14">
      <c r="A937" s="1" t="str">
        <f>equip.xml!A941</f>
        <v>30602051</v>
      </c>
      <c r="B937" s="1">
        <f>equip.xml!B941</f>
        <v>0</v>
      </c>
      <c r="C937" s="1" t="str">
        <f>equip.xml!C941</f>
        <v>棘木弓</v>
      </c>
      <c r="D937" s="1" t="str">
        <f>equip.xml!D941</f>
        <v>主手武器</v>
      </c>
      <c r="E937" s="1">
        <f>equip.xml!E941</f>
        <v>5</v>
      </c>
      <c r="F937" s="1">
        <f>equip.xml!F941</f>
        <v>3</v>
      </c>
      <c r="G937" s="1">
        <f>equip.xml!G941</f>
        <v>60</v>
      </c>
      <c r="H937" s="1" t="str">
        <f>equip.xml!H941</f>
        <v>2,1002</v>
      </c>
      <c r="I937" s="1">
        <f>equip.xml!J941</f>
        <v>20</v>
      </c>
      <c r="J937" s="1">
        <f>equip.xml!K941</f>
        <v>0</v>
      </c>
      <c r="K937" s="1">
        <f>equip.xml!L941</f>
        <v>35000</v>
      </c>
      <c r="L937" s="1" t="str">
        <f>equip.xml!M941</f>
        <v>103_2252_2252,104_4504_4504</v>
      </c>
      <c r="M937" s="7" t="str">
        <f>equip.xml!Q941</f>
        <v>equipment/1201.png</v>
      </c>
      <c r="N937" t="str">
        <f>equip.xml!P941</f>
        <v>10000_1002_60000,30000_30001_1,30000_30002_1,30000_30003_1</v>
      </c>
    </row>
    <row r="938" spans="1:14">
      <c r="A938" s="1" t="str">
        <f>equip.xml!A942</f>
        <v>30602060</v>
      </c>
      <c r="B938" s="1">
        <f>equip.xml!B942</f>
        <v>1</v>
      </c>
      <c r="C938" s="1" t="str">
        <f>equip.xml!C942</f>
        <v>猎星箭袋</v>
      </c>
      <c r="D938" s="1" t="str">
        <f>equip.xml!D942</f>
        <v>副手武器</v>
      </c>
      <c r="E938" s="1">
        <f>equip.xml!E942</f>
        <v>6</v>
      </c>
      <c r="F938" s="1">
        <f>equip.xml!F942</f>
        <v>3</v>
      </c>
      <c r="G938" s="1">
        <f>equip.xml!G942</f>
        <v>60</v>
      </c>
      <c r="H938" s="1" t="str">
        <f>equip.xml!H942</f>
        <v>2,1002</v>
      </c>
      <c r="I938" s="1">
        <f>equip.xml!J942</f>
        <v>20</v>
      </c>
      <c r="J938" s="1">
        <f>equip.xml!K942</f>
        <v>0</v>
      </c>
      <c r="K938" s="1">
        <f>equip.xml!L942</f>
        <v>32500</v>
      </c>
      <c r="L938" s="1" t="str">
        <f>equip.xml!M942</f>
        <v>108_2515_2515</v>
      </c>
      <c r="M938" s="7" t="str">
        <f>equip.xml!Q942</f>
        <v>equipment/2215.png</v>
      </c>
      <c r="N938" t="str">
        <f>equip.xml!P942</f>
        <v>10000_1002_60000,30000_30001_1,30000_30002_1,30000_30003_1</v>
      </c>
    </row>
    <row r="939" spans="1:14">
      <c r="A939" s="1" t="str">
        <f>equip.xml!A943</f>
        <v>30602061</v>
      </c>
      <c r="B939" s="1">
        <f>equip.xml!B943</f>
        <v>0</v>
      </c>
      <c r="C939" s="1" t="str">
        <f>equip.xml!C943</f>
        <v>箭筒</v>
      </c>
      <c r="D939" s="1" t="str">
        <f>equip.xml!D943</f>
        <v>副手武器</v>
      </c>
      <c r="E939" s="1">
        <f>equip.xml!E943</f>
        <v>6</v>
      </c>
      <c r="F939" s="1">
        <f>equip.xml!F943</f>
        <v>3</v>
      </c>
      <c r="G939" s="1">
        <f>equip.xml!G943</f>
        <v>60</v>
      </c>
      <c r="H939" s="1" t="str">
        <f>equip.xml!H943</f>
        <v>2,1002</v>
      </c>
      <c r="I939" s="1">
        <f>equip.xml!J943</f>
        <v>20</v>
      </c>
      <c r="J939" s="1">
        <f>equip.xml!K943</f>
        <v>0</v>
      </c>
      <c r="K939" s="1">
        <f>equip.xml!L943</f>
        <v>35000</v>
      </c>
      <c r="L939" s="1" t="str">
        <f>equip.xml!M943</f>
        <v>108_2704_2704</v>
      </c>
      <c r="M939" s="7" t="str">
        <f>equip.xml!Q943</f>
        <v>equipment/2201.png</v>
      </c>
      <c r="N939" t="str">
        <f>equip.xml!P943</f>
        <v>10000_1002_60000,30000_30001_1,30000_30002_1,30000_30003_1</v>
      </c>
    </row>
    <row r="940" spans="1:14">
      <c r="A940" s="1" t="str">
        <f>equip.xml!A944</f>
        <v>30603050</v>
      </c>
      <c r="B940" s="1">
        <f>equip.xml!B944</f>
        <v>1</v>
      </c>
      <c r="C940" s="1" t="str">
        <f>equip.xml!C944</f>
        <v>无尽回响之杖</v>
      </c>
      <c r="D940" s="1" t="str">
        <f>equip.xml!D944</f>
        <v>主手武器</v>
      </c>
      <c r="E940" s="1">
        <f>equip.xml!E944</f>
        <v>5</v>
      </c>
      <c r="F940" s="1">
        <f>equip.xml!F944</f>
        <v>3</v>
      </c>
      <c r="G940" s="1">
        <f>equip.xml!G944</f>
        <v>60</v>
      </c>
      <c r="H940" s="1" t="str">
        <f>equip.xml!H944</f>
        <v>3,1003</v>
      </c>
      <c r="I940" s="1">
        <f>equip.xml!J944</f>
        <v>20</v>
      </c>
      <c r="J940" s="1">
        <f>equip.xml!K944</f>
        <v>0</v>
      </c>
      <c r="K940" s="1">
        <f>equip.xml!L944</f>
        <v>32500</v>
      </c>
      <c r="L940" s="1" t="str">
        <f>equip.xml!M944</f>
        <v>103_2007_2007,104_4014_4014</v>
      </c>
      <c r="M940" s="7" t="str">
        <f>equip.xml!Q944</f>
        <v>equipment/1322.png</v>
      </c>
      <c r="N940" t="str">
        <f>equip.xml!P944</f>
        <v>10000_1002_60000,30000_30001_1,30000_30002_1,30000_30003_1</v>
      </c>
    </row>
    <row r="941" spans="1:14">
      <c r="A941" s="1" t="str">
        <f>equip.xml!A945</f>
        <v>30603051</v>
      </c>
      <c r="B941" s="1">
        <f>equip.xml!B945</f>
        <v>0</v>
      </c>
      <c r="C941" s="1" t="str">
        <f>equip.xml!C945</f>
        <v>日辉法杖</v>
      </c>
      <c r="D941" s="1" t="str">
        <f>equip.xml!D945</f>
        <v>主手武器</v>
      </c>
      <c r="E941" s="1">
        <f>equip.xml!E945</f>
        <v>5</v>
      </c>
      <c r="F941" s="1">
        <f>equip.xml!F945</f>
        <v>3</v>
      </c>
      <c r="G941" s="1">
        <f>equip.xml!G945</f>
        <v>60</v>
      </c>
      <c r="H941" s="1" t="str">
        <f>equip.xml!H945</f>
        <v>3,1003</v>
      </c>
      <c r="I941" s="1">
        <f>equip.xml!J945</f>
        <v>20</v>
      </c>
      <c r="J941" s="1">
        <f>equip.xml!K945</f>
        <v>0</v>
      </c>
      <c r="K941" s="1">
        <f>equip.xml!L945</f>
        <v>35000</v>
      </c>
      <c r="L941" s="1" t="str">
        <f>equip.xml!M945</f>
        <v>103_2252_2252,104_4504_4504</v>
      </c>
      <c r="M941" s="7" t="str">
        <f>equip.xml!Q945</f>
        <v>equipment/1301.png</v>
      </c>
      <c r="N941" t="str">
        <f>equip.xml!P945</f>
        <v>10000_1002_60000,30000_30001_1,30000_30002_1,30000_30003_1</v>
      </c>
    </row>
    <row r="942" spans="1:14">
      <c r="A942" s="1" t="str">
        <f>equip.xml!A946</f>
        <v>30603060</v>
      </c>
      <c r="B942" s="1">
        <f>equip.xml!B946</f>
        <v>1</v>
      </c>
      <c r="C942" s="1" t="str">
        <f>equip.xml!C946</f>
        <v>星图指南</v>
      </c>
      <c r="D942" s="1" t="str">
        <f>equip.xml!D946</f>
        <v>副手武器</v>
      </c>
      <c r="E942" s="1">
        <f>equip.xml!E946</f>
        <v>6</v>
      </c>
      <c r="F942" s="1">
        <f>equip.xml!F946</f>
        <v>3</v>
      </c>
      <c r="G942" s="1">
        <f>equip.xml!G946</f>
        <v>60</v>
      </c>
      <c r="H942" s="1" t="str">
        <f>equip.xml!H946</f>
        <v>3,1003</v>
      </c>
      <c r="I942" s="1">
        <f>equip.xml!J946</f>
        <v>20</v>
      </c>
      <c r="J942" s="1">
        <f>equip.xml!K946</f>
        <v>0</v>
      </c>
      <c r="K942" s="1">
        <f>equip.xml!L946</f>
        <v>32500</v>
      </c>
      <c r="L942" s="1" t="str">
        <f>equip.xml!M946</f>
        <v>102_2260_2260</v>
      </c>
      <c r="M942" s="7" t="str">
        <f>equip.xml!Q946</f>
        <v>equipment/2315.png</v>
      </c>
      <c r="N942" t="str">
        <f>equip.xml!P946</f>
        <v>10000_1002_60000,30000_30001_1,30000_30002_1,30000_30003_1</v>
      </c>
    </row>
    <row r="943" spans="1:14">
      <c r="A943" s="1" t="str">
        <f>equip.xml!A947</f>
        <v>30603061</v>
      </c>
      <c r="B943" s="1">
        <f>equip.xml!B947</f>
        <v>0</v>
      </c>
      <c r="C943" s="1" t="str">
        <f>equip.xml!C947</f>
        <v>法术指南</v>
      </c>
      <c r="D943" s="1" t="str">
        <f>equip.xml!D947</f>
        <v>副手武器</v>
      </c>
      <c r="E943" s="1">
        <f>equip.xml!E947</f>
        <v>6</v>
      </c>
      <c r="F943" s="1">
        <f>equip.xml!F947</f>
        <v>3</v>
      </c>
      <c r="G943" s="1">
        <f>equip.xml!G947</f>
        <v>60</v>
      </c>
      <c r="H943" s="1" t="str">
        <f>equip.xml!H947</f>
        <v>3,1003</v>
      </c>
      <c r="I943" s="1">
        <f>equip.xml!J947</f>
        <v>20</v>
      </c>
      <c r="J943" s="1">
        <f>equip.xml!K947</f>
        <v>0</v>
      </c>
      <c r="K943" s="1">
        <f>equip.xml!L947</f>
        <v>35000</v>
      </c>
      <c r="L943" s="1" t="str">
        <f>equip.xml!M947</f>
        <v>102_2704_2704</v>
      </c>
      <c r="M943" s="7" t="str">
        <f>equip.xml!Q947</f>
        <v>equipment/2301.png</v>
      </c>
      <c r="N943" t="str">
        <f>equip.xml!P947</f>
        <v>10000_1002_60000,30000_30001_1,30000_30002_1,30000_30003_1</v>
      </c>
    </row>
    <row r="944" spans="1:14">
      <c r="A944" s="1" t="str">
        <f>equip.xml!A948</f>
        <v>30600040</v>
      </c>
      <c r="B944" s="1">
        <f>equip.xml!B948</f>
        <v>1</v>
      </c>
      <c r="C944" s="1" t="str">
        <f>equip.xml!C948</f>
        <v>明光战甲</v>
      </c>
      <c r="D944" s="1" t="str">
        <f>equip.xml!D948</f>
        <v>胸甲</v>
      </c>
      <c r="E944" s="1">
        <f>equip.xml!E948</f>
        <v>4</v>
      </c>
      <c r="F944" s="1">
        <f>equip.xml!F948</f>
        <v>3</v>
      </c>
      <c r="G944" s="1">
        <f>equip.xml!G948</f>
        <v>60</v>
      </c>
      <c r="H944" s="1">
        <f>equip.xml!H948</f>
        <v>0</v>
      </c>
      <c r="I944" s="1">
        <f>equip.xml!J948</f>
        <v>20</v>
      </c>
      <c r="J944" s="1">
        <f>equip.xml!K948</f>
        <v>0</v>
      </c>
      <c r="K944" s="1">
        <f>equip.xml!L948</f>
        <v>32500</v>
      </c>
      <c r="L944" s="1" t="str">
        <f>equip.xml!M948</f>
        <v>105_1377_1377</v>
      </c>
      <c r="M944" s="7" t="str">
        <f>equip.xml!Q948</f>
        <v>equipment/5016.png</v>
      </c>
      <c r="N944" t="str">
        <f>equip.xml!P948</f>
        <v>10000_1002_60000,30000_30001_1,30000_30002_1,30000_30003_1</v>
      </c>
    </row>
    <row r="945" spans="1:14">
      <c r="A945" s="1" t="str">
        <f>equip.xml!A949</f>
        <v>30600041</v>
      </c>
      <c r="B945" s="1">
        <f>equip.xml!B949</f>
        <v>0</v>
      </c>
      <c r="C945" s="1" t="str">
        <f>equip.xml!C949</f>
        <v>龙骑战甲</v>
      </c>
      <c r="D945" s="1" t="str">
        <f>equip.xml!D949</f>
        <v>胸甲</v>
      </c>
      <c r="E945" s="1">
        <f>equip.xml!E949</f>
        <v>4</v>
      </c>
      <c r="F945" s="1">
        <f>equip.xml!F949</f>
        <v>3</v>
      </c>
      <c r="G945" s="1">
        <f>equip.xml!G949</f>
        <v>60</v>
      </c>
      <c r="H945" s="1">
        <f>equip.xml!H949</f>
        <v>0</v>
      </c>
      <c r="I945" s="1">
        <f>equip.xml!J949</f>
        <v>20</v>
      </c>
      <c r="J945" s="1">
        <f>equip.xml!K949</f>
        <v>0</v>
      </c>
      <c r="K945" s="1">
        <f>equip.xml!L949</f>
        <v>35000</v>
      </c>
      <c r="L945" s="1" t="str">
        <f>equip.xml!M949</f>
        <v>105_1477_1477</v>
      </c>
      <c r="M945" s="7" t="str">
        <f>equip.xml!Q949</f>
        <v>equipment/5001.png</v>
      </c>
      <c r="N945" t="str">
        <f>equip.xml!P949</f>
        <v>10000_1002_60000,30000_30001_1,30000_30002_1,30000_30003_1</v>
      </c>
    </row>
    <row r="946" spans="1:14">
      <c r="A946" s="1" t="str">
        <f>equip.xml!A950</f>
        <v>30600070</v>
      </c>
      <c r="B946" s="1">
        <f>equip.xml!B950</f>
        <v>1</v>
      </c>
      <c r="C946" s="1" t="str">
        <f>equip.xml!C950</f>
        <v>深渊护腿</v>
      </c>
      <c r="D946" s="1" t="str">
        <f>equip.xml!D950</f>
        <v>护腿</v>
      </c>
      <c r="E946" s="1">
        <f>equip.xml!E950</f>
        <v>7</v>
      </c>
      <c r="F946" s="1">
        <f>equip.xml!F950</f>
        <v>3</v>
      </c>
      <c r="G946" s="1">
        <f>equip.xml!G950</f>
        <v>60</v>
      </c>
      <c r="H946" s="1">
        <f>equip.xml!H950</f>
        <v>0</v>
      </c>
      <c r="I946" s="1">
        <f>equip.xml!J950</f>
        <v>20</v>
      </c>
      <c r="J946" s="1">
        <f>equip.xml!K950</f>
        <v>0</v>
      </c>
      <c r="K946" s="1">
        <f>equip.xml!L950</f>
        <v>32500</v>
      </c>
      <c r="L946" s="1" t="str">
        <f>equip.xml!M950</f>
        <v>105_1152_1152</v>
      </c>
      <c r="M946" s="7" t="str">
        <f>equip.xml!Q950</f>
        <v>equipment/7014.png</v>
      </c>
      <c r="N946" t="str">
        <f>equip.xml!P950</f>
        <v>10000_1002_60000,30000_30001_1,30000_30002_1,30000_30003_1</v>
      </c>
    </row>
    <row r="947" spans="1:14">
      <c r="A947" s="1" t="str">
        <f>equip.xml!A951</f>
        <v>30600071</v>
      </c>
      <c r="B947" s="1">
        <f>equip.xml!B951</f>
        <v>1</v>
      </c>
      <c r="C947" s="1" t="str">
        <f>equip.xml!C951</f>
        <v>光耀腿甲</v>
      </c>
      <c r="D947" s="1" t="str">
        <f>equip.xml!D951</f>
        <v>护腿</v>
      </c>
      <c r="E947" s="1">
        <f>equip.xml!E951</f>
        <v>7</v>
      </c>
      <c r="F947" s="1">
        <f>equip.xml!F951</f>
        <v>3</v>
      </c>
      <c r="G947" s="1">
        <f>equip.xml!G951</f>
        <v>60</v>
      </c>
      <c r="H947" s="1">
        <f>equip.xml!H951</f>
        <v>0</v>
      </c>
      <c r="I947" s="1">
        <f>equip.xml!J951</f>
        <v>20</v>
      </c>
      <c r="J947" s="1">
        <f>equip.xml!K951</f>
        <v>0</v>
      </c>
      <c r="K947" s="1">
        <f>equip.xml!L951</f>
        <v>35000</v>
      </c>
      <c r="L947" s="1" t="str">
        <f>equip.xml!M951</f>
        <v>105_1342_1342</v>
      </c>
      <c r="M947" s="7" t="str">
        <f>equip.xml!Q951</f>
        <v>equipment/7015.png</v>
      </c>
      <c r="N947" t="str">
        <f>equip.xml!P951</f>
        <v>10000_1002_60000,30000_30001_1,30000_30002_1,30000_30003_1</v>
      </c>
    </row>
    <row r="948" spans="1:14">
      <c r="A948" s="1" t="str">
        <f>equip.xml!A952</f>
        <v>30650010</v>
      </c>
      <c r="B948" s="1">
        <f>equip.xml!B952</f>
        <v>1</v>
      </c>
      <c r="C948" s="1" t="str">
        <f>equip.xml!C952</f>
        <v>虚空之冠</v>
      </c>
      <c r="D948" s="1" t="str">
        <f>equip.xml!D952</f>
        <v>头盔</v>
      </c>
      <c r="E948" s="1">
        <f>equip.xml!E952</f>
        <v>1</v>
      </c>
      <c r="F948" s="1">
        <f>equip.xml!F952</f>
        <v>3</v>
      </c>
      <c r="G948" s="1">
        <f>equip.xml!G952</f>
        <v>65</v>
      </c>
      <c r="H948" s="1">
        <f>equip.xml!H952</f>
        <v>0</v>
      </c>
      <c r="I948" s="1">
        <f>equip.xml!J952</f>
        <v>20</v>
      </c>
      <c r="J948" s="1">
        <f>equip.xml!K952</f>
        <v>0</v>
      </c>
      <c r="K948" s="1">
        <f>equip.xml!L952</f>
        <v>35000</v>
      </c>
      <c r="L948" s="1" t="str">
        <f>equip.xml!M952</f>
        <v>106_2015_2015</v>
      </c>
      <c r="M948" s="7" t="str">
        <f>equip.xml!Q952</f>
        <v>equipment/3011.png</v>
      </c>
      <c r="N948" t="str">
        <f>equip.xml!P952</f>
        <v>10000_1002_65000,30000_30001_1,30000_30002_1,30000_30003_1</v>
      </c>
    </row>
    <row r="949" spans="1:14">
      <c r="A949" s="1" t="str">
        <f>equip.xml!A953</f>
        <v>30650020</v>
      </c>
      <c r="B949" s="1">
        <f>equip.xml!B953</f>
        <v>1</v>
      </c>
      <c r="C949" s="1" t="str">
        <f>equip.xml!C953</f>
        <v>圣火指环</v>
      </c>
      <c r="D949" s="1" t="str">
        <f>equip.xml!D953</f>
        <v>戒指</v>
      </c>
      <c r="E949" s="1">
        <f>equip.xml!E953</f>
        <v>2</v>
      </c>
      <c r="F949" s="1">
        <f>equip.xml!F953</f>
        <v>3</v>
      </c>
      <c r="G949" s="1">
        <f>equip.xml!G953</f>
        <v>65</v>
      </c>
      <c r="H949" s="1">
        <f>equip.xml!H953</f>
        <v>0</v>
      </c>
      <c r="I949" s="1">
        <f>equip.xml!J953</f>
        <v>20</v>
      </c>
      <c r="J949" s="1">
        <f>equip.xml!K953</f>
        <v>0</v>
      </c>
      <c r="K949" s="1">
        <f>equip.xml!L953</f>
        <v>35000</v>
      </c>
      <c r="L949" s="1" t="str">
        <f>equip.xml!M953</f>
        <v>102_1470_1470</v>
      </c>
      <c r="M949" s="7" t="str">
        <f>equip.xml!Q953</f>
        <v>equipment/14011.png</v>
      </c>
      <c r="N949" t="str">
        <f>equip.xml!P953</f>
        <v>10000_1002_65000,30000_30001_1,30000_30002_1,30000_30003_1</v>
      </c>
    </row>
    <row r="950" spans="1:14">
      <c r="A950" s="1" t="str">
        <f>equip.xml!A954</f>
        <v>30650030</v>
      </c>
      <c r="B950" s="1">
        <f>equip.xml!B954</f>
        <v>1</v>
      </c>
      <c r="C950" s="1" t="str">
        <f>equip.xml!C954</f>
        <v>统御腰带</v>
      </c>
      <c r="D950" s="1" t="str">
        <f>equip.xml!D954</f>
        <v>腰带</v>
      </c>
      <c r="E950" s="1">
        <f>equip.xml!E954</f>
        <v>3</v>
      </c>
      <c r="F950" s="1">
        <f>equip.xml!F954</f>
        <v>3</v>
      </c>
      <c r="G950" s="1">
        <f>equip.xml!G954</f>
        <v>65</v>
      </c>
      <c r="H950" s="1">
        <f>equip.xml!H954</f>
        <v>0</v>
      </c>
      <c r="I950" s="1">
        <f>equip.xml!J954</f>
        <v>20</v>
      </c>
      <c r="J950" s="1">
        <f>equip.xml!K954</f>
        <v>0</v>
      </c>
      <c r="K950" s="1">
        <f>equip.xml!L954</f>
        <v>35000</v>
      </c>
      <c r="L950" s="1" t="str">
        <f>equip.xml!M954</f>
        <v>101_16900_16900</v>
      </c>
      <c r="M950" s="7" t="str">
        <f>equip.xml!Q954</f>
        <v>equipment/6011.png</v>
      </c>
      <c r="N950" t="str">
        <f>equip.xml!P954</f>
        <v>10000_1002_65000,30000_30001_1,30000_30002_1,30000_30003_1</v>
      </c>
    </row>
    <row r="951" spans="1:14">
      <c r="A951" s="1" t="str">
        <f>equip.xml!A955</f>
        <v>30650080</v>
      </c>
      <c r="B951" s="1">
        <f>equip.xml!B955</f>
        <v>1</v>
      </c>
      <c r="C951" s="1" t="str">
        <f>equip.xml!C955</f>
        <v>狱火战靴</v>
      </c>
      <c r="D951" s="1" t="str">
        <f>equip.xml!D955</f>
        <v>鞋子</v>
      </c>
      <c r="E951" s="1">
        <f>equip.xml!E955</f>
        <v>8</v>
      </c>
      <c r="F951" s="1">
        <f>equip.xml!F955</f>
        <v>3</v>
      </c>
      <c r="G951" s="1">
        <f>equip.xml!G955</f>
        <v>65</v>
      </c>
      <c r="H951" s="1">
        <f>equip.xml!H955</f>
        <v>0</v>
      </c>
      <c r="I951" s="1">
        <f>equip.xml!J955</f>
        <v>20</v>
      </c>
      <c r="J951" s="1">
        <f>equip.xml!K955</f>
        <v>0</v>
      </c>
      <c r="K951" s="1">
        <f>equip.xml!L955</f>
        <v>35000</v>
      </c>
      <c r="L951" s="1" t="str">
        <f>equip.xml!M955</f>
        <v>110_352_352</v>
      </c>
      <c r="M951" s="7" t="str">
        <f>equip.xml!Q955</f>
        <v>equipment/8011.png</v>
      </c>
      <c r="N951" t="str">
        <f>equip.xml!P955</f>
        <v>10000_1002_65000,30000_30001_1,30000_30002_1,30000_30003_1</v>
      </c>
    </row>
    <row r="952" spans="1:14">
      <c r="A952" s="1" t="str">
        <f>equip.xml!A956</f>
        <v>30650090</v>
      </c>
      <c r="B952" s="1">
        <f>equip.xml!B956</f>
        <v>1</v>
      </c>
      <c r="C952" s="1" t="str">
        <f>equip.xml!C956</f>
        <v>荣耀先驱护手</v>
      </c>
      <c r="D952" s="1" t="str">
        <f>equip.xml!D956</f>
        <v>手套</v>
      </c>
      <c r="E952" s="1">
        <f>equip.xml!E956</f>
        <v>9</v>
      </c>
      <c r="F952" s="1">
        <f>equip.xml!F956</f>
        <v>3</v>
      </c>
      <c r="G952" s="1">
        <f>equip.xml!G956</f>
        <v>65</v>
      </c>
      <c r="H952" s="1">
        <f>equip.xml!H956</f>
        <v>0</v>
      </c>
      <c r="I952" s="1">
        <f>equip.xml!J956</f>
        <v>20</v>
      </c>
      <c r="J952" s="1">
        <f>equip.xml!K956</f>
        <v>0</v>
      </c>
      <c r="K952" s="1">
        <f>equip.xml!L956</f>
        <v>35000</v>
      </c>
      <c r="L952" s="1" t="str">
        <f>equip.xml!M956</f>
        <v>108_3884_3884</v>
      </c>
      <c r="M952" s="7" t="str">
        <f>equip.xml!Q956</f>
        <v>equipment/10011.png</v>
      </c>
      <c r="N952" t="str">
        <f>equip.xml!P956</f>
        <v>10000_1002_65000,30000_30001_1,30000_30002_1,30000_30003_1</v>
      </c>
    </row>
    <row r="953" spans="1:14">
      <c r="A953" s="1" t="str">
        <f>equip.xml!A957</f>
        <v>30650100</v>
      </c>
      <c r="B953" s="1">
        <f>equip.xml!B957</f>
        <v>1</v>
      </c>
      <c r="C953" s="1" t="str">
        <f>equip.xml!C957</f>
        <v>救赎坠饰</v>
      </c>
      <c r="D953" s="1" t="str">
        <f>equip.xml!D957</f>
        <v>项链</v>
      </c>
      <c r="E953" s="1">
        <f>equip.xml!E957</f>
        <v>10</v>
      </c>
      <c r="F953" s="1">
        <f>equip.xml!F957</f>
        <v>3</v>
      </c>
      <c r="G953" s="1">
        <f>equip.xml!G957</f>
        <v>65</v>
      </c>
      <c r="H953" s="1">
        <f>equip.xml!H957</f>
        <v>0</v>
      </c>
      <c r="I953" s="1">
        <f>equip.xml!J957</f>
        <v>20</v>
      </c>
      <c r="J953" s="1">
        <f>equip.xml!K957</f>
        <v>0</v>
      </c>
      <c r="K953" s="1">
        <f>equip.xml!L957</f>
        <v>35000</v>
      </c>
      <c r="L953" s="1" t="str">
        <f>equip.xml!M957</f>
        <v>107_2015_2015</v>
      </c>
      <c r="M953" s="7" t="str">
        <f>equip.xml!Q957</f>
        <v>equipment/12011.png</v>
      </c>
      <c r="N953" t="str">
        <f>equip.xml!P957</f>
        <v>10000_1002_65000,30000_30001_1,30000_30002_1,30000_30003_1</v>
      </c>
    </row>
    <row r="954" spans="1:14">
      <c r="A954" s="1" t="str">
        <f>equip.xml!A958</f>
        <v>30651050</v>
      </c>
      <c r="B954" s="1">
        <f>equip.xml!B958</f>
        <v>1</v>
      </c>
      <c r="C954" s="1" t="str">
        <f>equip.xml!C958</f>
        <v>魂歌之刃</v>
      </c>
      <c r="D954" s="1" t="str">
        <f>equip.xml!D958</f>
        <v>主手武器</v>
      </c>
      <c r="E954" s="1">
        <f>equip.xml!E958</f>
        <v>5</v>
      </c>
      <c r="F954" s="1">
        <f>equip.xml!F958</f>
        <v>3</v>
      </c>
      <c r="G954" s="1">
        <f>equip.xml!G958</f>
        <v>65</v>
      </c>
      <c r="H954" s="1" t="str">
        <f>equip.xml!H958</f>
        <v>1,1001</v>
      </c>
      <c r="I954" s="1">
        <f>equip.xml!J958</f>
        <v>20</v>
      </c>
      <c r="J954" s="1">
        <f>equip.xml!K958</f>
        <v>0</v>
      </c>
      <c r="K954" s="1">
        <f>equip.xml!L958</f>
        <v>35000</v>
      </c>
      <c r="L954" s="1" t="str">
        <f>equip.xml!M958</f>
        <v>103_2619_2619,104_5238_5238</v>
      </c>
      <c r="M954" s="7" t="str">
        <f>equip.xml!Q958</f>
        <v>equipment/1123.png</v>
      </c>
      <c r="N954" t="str">
        <f>equip.xml!P958</f>
        <v>10000_1002_65000,30000_30001_1,30000_30002_1,30000_30003_1</v>
      </c>
    </row>
    <row r="955" spans="1:14">
      <c r="A955" s="1" t="str">
        <f>equip.xml!A959</f>
        <v>30651051</v>
      </c>
      <c r="B955" s="1">
        <f>equip.xml!B959</f>
        <v>0</v>
      </c>
      <c r="C955" s="1" t="str">
        <f>equip.xml!C959</f>
        <v>命运</v>
      </c>
      <c r="D955" s="1" t="str">
        <f>equip.xml!D959</f>
        <v>主手武器</v>
      </c>
      <c r="E955" s="1">
        <f>equip.xml!E959</f>
        <v>5</v>
      </c>
      <c r="F955" s="1">
        <f>equip.xml!F959</f>
        <v>3</v>
      </c>
      <c r="G955" s="1">
        <f>equip.xml!G959</f>
        <v>65</v>
      </c>
      <c r="H955" s="1" t="str">
        <f>equip.xml!H959</f>
        <v>1,1001</v>
      </c>
      <c r="I955" s="1">
        <f>equip.xml!J959</f>
        <v>20</v>
      </c>
      <c r="J955" s="1">
        <f>equip.xml!K959</f>
        <v>0</v>
      </c>
      <c r="K955" s="1">
        <f>equip.xml!L959</f>
        <v>37500</v>
      </c>
      <c r="L955" s="1" t="str">
        <f>equip.xml!M959</f>
        <v>103_2854_2854,104_5708_5708</v>
      </c>
      <c r="M955" s="7" t="str">
        <f>equip.xml!Q959</f>
        <v>equipment/1101.png</v>
      </c>
      <c r="N955" t="str">
        <f>equip.xml!P959</f>
        <v>10000_1002_65000,30000_30001_1,30000_30002_1,30000_30003_1</v>
      </c>
    </row>
    <row r="956" spans="1:14">
      <c r="A956" s="1" t="str">
        <f>equip.xml!A960</f>
        <v>30651060</v>
      </c>
      <c r="B956" s="1">
        <f>equip.xml!B960</f>
        <v>1</v>
      </c>
      <c r="C956" s="1" t="str">
        <f>equip.xml!C960</f>
        <v>日怒之盾</v>
      </c>
      <c r="D956" s="1" t="str">
        <f>equip.xml!D960</f>
        <v>副手武器</v>
      </c>
      <c r="E956" s="1">
        <f>equip.xml!E960</f>
        <v>6</v>
      </c>
      <c r="F956" s="1">
        <f>equip.xml!F960</f>
        <v>3</v>
      </c>
      <c r="G956" s="1">
        <f>equip.xml!G960</f>
        <v>65</v>
      </c>
      <c r="H956" s="1" t="str">
        <f>equip.xml!H960</f>
        <v>1,1001</v>
      </c>
      <c r="I956" s="1">
        <f>equip.xml!J960</f>
        <v>20</v>
      </c>
      <c r="J956" s="1">
        <f>equip.xml!K960</f>
        <v>0</v>
      </c>
      <c r="K956" s="1">
        <f>equip.xml!L960</f>
        <v>35000</v>
      </c>
      <c r="L956" s="1" t="str">
        <f>equip.xml!M960</f>
        <v>105_2988_2988</v>
      </c>
      <c r="M956" s="7" t="str">
        <f>equip.xml!Q960</f>
        <v>equipment/2116.png</v>
      </c>
      <c r="N956" t="str">
        <f>equip.xml!P960</f>
        <v>10000_1002_65000,30000_30001_1,30000_30002_1,30000_30003_1</v>
      </c>
    </row>
    <row r="957" spans="1:14">
      <c r="A957" s="1" t="str">
        <f>equip.xml!A961</f>
        <v>30651061</v>
      </c>
      <c r="B957" s="1">
        <f>equip.xml!B961</f>
        <v>0</v>
      </c>
      <c r="C957" s="1" t="str">
        <f>equip.xml!C961</f>
        <v>尖头盾</v>
      </c>
      <c r="D957" s="1" t="str">
        <f>equip.xml!D961</f>
        <v>副手武器</v>
      </c>
      <c r="E957" s="1">
        <f>equip.xml!E961</f>
        <v>6</v>
      </c>
      <c r="F957" s="1">
        <f>equip.xml!F961</f>
        <v>3</v>
      </c>
      <c r="G957" s="1">
        <f>equip.xml!G961</f>
        <v>65</v>
      </c>
      <c r="H957" s="1" t="str">
        <f>equip.xml!H961</f>
        <v>1,1001</v>
      </c>
      <c r="I957" s="1">
        <f>equip.xml!J961</f>
        <v>20</v>
      </c>
      <c r="J957" s="1">
        <f>equip.xml!K961</f>
        <v>0</v>
      </c>
      <c r="K957" s="1">
        <f>equip.xml!L961</f>
        <v>37500</v>
      </c>
      <c r="L957" s="1" t="str">
        <f>equip.xml!M961</f>
        <v>105_2988_2988</v>
      </c>
      <c r="M957" s="7" t="str">
        <f>equip.xml!Q961</f>
        <v>equipment/2101.png</v>
      </c>
      <c r="N957" t="str">
        <f>equip.xml!P961</f>
        <v>10000_1002_65000,30000_30001_1,30000_30002_1,30000_30003_1</v>
      </c>
    </row>
    <row r="958" spans="1:14">
      <c r="A958" s="1" t="str">
        <f>equip.xml!A962</f>
        <v>30652050</v>
      </c>
      <c r="B958" s="1">
        <f>equip.xml!B962</f>
        <v>1</v>
      </c>
      <c r="C958" s="1" t="str">
        <f>equip.xml!C962</f>
        <v>憎恨之击</v>
      </c>
      <c r="D958" s="1" t="str">
        <f>equip.xml!D962</f>
        <v>主手武器</v>
      </c>
      <c r="E958" s="1">
        <f>equip.xml!E962</f>
        <v>5</v>
      </c>
      <c r="F958" s="1">
        <f>equip.xml!F962</f>
        <v>3</v>
      </c>
      <c r="G958" s="1">
        <f>equip.xml!G962</f>
        <v>65</v>
      </c>
      <c r="H958" s="1" t="str">
        <f>equip.xml!H962</f>
        <v>2,1002</v>
      </c>
      <c r="I958" s="1">
        <f>equip.xml!J962</f>
        <v>20</v>
      </c>
      <c r="J958" s="1">
        <f>equip.xml!K962</f>
        <v>0</v>
      </c>
      <c r="K958" s="1">
        <f>equip.xml!L962</f>
        <v>35000</v>
      </c>
      <c r="L958" s="1" t="str">
        <f>equip.xml!M962</f>
        <v>103_2619_2619,104_5238_5238</v>
      </c>
      <c r="M958" s="7" t="str">
        <f>equip.xml!Q962</f>
        <v>equipment/1224.png</v>
      </c>
      <c r="N958" t="str">
        <f>equip.xml!P962</f>
        <v>10000_1002_65000,30000_30001_1,30000_30002_1,30000_30003_1</v>
      </c>
    </row>
    <row r="959" spans="1:14">
      <c r="A959" s="1" t="str">
        <f>equip.xml!A963</f>
        <v>30652051</v>
      </c>
      <c r="B959" s="1">
        <f>equip.xml!B963</f>
        <v>0</v>
      </c>
      <c r="C959" s="1" t="str">
        <f>equip.xml!C963</f>
        <v>日怒凰弓</v>
      </c>
      <c r="D959" s="1" t="str">
        <f>equip.xml!D963</f>
        <v>主手武器</v>
      </c>
      <c r="E959" s="1">
        <f>equip.xml!E963</f>
        <v>5</v>
      </c>
      <c r="F959" s="1">
        <f>equip.xml!F963</f>
        <v>3</v>
      </c>
      <c r="G959" s="1">
        <f>equip.xml!G963</f>
        <v>65</v>
      </c>
      <c r="H959" s="1" t="str">
        <f>equip.xml!H963</f>
        <v>2,1002</v>
      </c>
      <c r="I959" s="1">
        <f>equip.xml!J963</f>
        <v>20</v>
      </c>
      <c r="J959" s="1">
        <f>equip.xml!K963</f>
        <v>0</v>
      </c>
      <c r="K959" s="1">
        <f>equip.xml!L963</f>
        <v>37500</v>
      </c>
      <c r="L959" s="1" t="str">
        <f>equip.xml!M963</f>
        <v>103_2854_2854,104_5708_5708</v>
      </c>
      <c r="M959" s="7" t="str">
        <f>equip.xml!Q963</f>
        <v>equipment/1201.png</v>
      </c>
      <c r="N959" t="str">
        <f>equip.xml!P963</f>
        <v>10000_1002_65000,30000_30001_1,30000_30002_1,30000_30003_1</v>
      </c>
    </row>
    <row r="960" spans="1:14">
      <c r="A960" s="1" t="str">
        <f>equip.xml!A964</f>
        <v>30652060</v>
      </c>
      <c r="B960" s="1">
        <f>equip.xml!B964</f>
        <v>1</v>
      </c>
      <c r="C960" s="1" t="str">
        <f>equip.xml!C964</f>
        <v>追噬之矢</v>
      </c>
      <c r="D960" s="1" t="str">
        <f>equip.xml!D964</f>
        <v>副手武器</v>
      </c>
      <c r="E960" s="1">
        <f>equip.xml!E964</f>
        <v>6</v>
      </c>
      <c r="F960" s="1">
        <f>equip.xml!F964</f>
        <v>3</v>
      </c>
      <c r="G960" s="1">
        <f>equip.xml!G964</f>
        <v>65</v>
      </c>
      <c r="H960" s="1" t="str">
        <f>equip.xml!H964</f>
        <v>2,1002</v>
      </c>
      <c r="I960" s="1">
        <f>equip.xml!J964</f>
        <v>20</v>
      </c>
      <c r="J960" s="1">
        <f>equip.xml!K964</f>
        <v>0</v>
      </c>
      <c r="K960" s="1">
        <f>equip.xml!L964</f>
        <v>35000</v>
      </c>
      <c r="L960" s="1" t="str">
        <f>equip.xml!M964</f>
        <v>108_2988_2988</v>
      </c>
      <c r="M960" s="7" t="str">
        <f>equip.xml!Q964</f>
        <v>equipment/2216.png</v>
      </c>
      <c r="N960" t="str">
        <f>equip.xml!P964</f>
        <v>10000_1002_65000,30000_30001_1,30000_30002_1,30000_30003_1</v>
      </c>
    </row>
    <row r="961" spans="1:14">
      <c r="A961" s="1" t="str">
        <f>equip.xml!A965</f>
        <v>30652061</v>
      </c>
      <c r="B961" s="1">
        <f>equip.xml!B965</f>
        <v>0</v>
      </c>
      <c r="C961" s="1" t="str">
        <f>equip.xml!C965</f>
        <v>箭筒</v>
      </c>
      <c r="D961" s="1" t="str">
        <f>equip.xml!D965</f>
        <v>副手武器</v>
      </c>
      <c r="E961" s="1">
        <f>equip.xml!E965</f>
        <v>6</v>
      </c>
      <c r="F961" s="1">
        <f>equip.xml!F965</f>
        <v>3</v>
      </c>
      <c r="G961" s="1">
        <f>equip.xml!G965</f>
        <v>65</v>
      </c>
      <c r="H961" s="1" t="str">
        <f>equip.xml!H965</f>
        <v>2,1002</v>
      </c>
      <c r="I961" s="1">
        <f>equip.xml!J965</f>
        <v>20</v>
      </c>
      <c r="J961" s="1">
        <f>equip.xml!K965</f>
        <v>0</v>
      </c>
      <c r="K961" s="1">
        <f>equip.xml!L965</f>
        <v>37500</v>
      </c>
      <c r="L961" s="1" t="str">
        <f>equip.xml!M965</f>
        <v>108_2988_2988</v>
      </c>
      <c r="M961" s="7" t="str">
        <f>equip.xml!Q965</f>
        <v>equipment/2201.png</v>
      </c>
      <c r="N961" t="str">
        <f>equip.xml!P965</f>
        <v>10000_1002_65000,30000_30001_1,30000_30002_1,30000_30003_1</v>
      </c>
    </row>
    <row r="962" spans="1:14">
      <c r="A962" s="1" t="str">
        <f>equip.xml!A966</f>
        <v>30653050</v>
      </c>
      <c r="B962" s="1">
        <f>equip.xml!B966</f>
        <v>1</v>
      </c>
      <c r="C962" s="1" t="str">
        <f>equip.xml!C966</f>
        <v>时轮金杖</v>
      </c>
      <c r="D962" s="1" t="str">
        <f>equip.xml!D966</f>
        <v>主手武器</v>
      </c>
      <c r="E962" s="1">
        <f>equip.xml!E966</f>
        <v>5</v>
      </c>
      <c r="F962" s="1">
        <f>equip.xml!F966</f>
        <v>3</v>
      </c>
      <c r="G962" s="1">
        <f>equip.xml!G966</f>
        <v>65</v>
      </c>
      <c r="H962" s="1" t="str">
        <f>equip.xml!H966</f>
        <v>3,1003</v>
      </c>
      <c r="I962" s="1">
        <f>equip.xml!J966</f>
        <v>20</v>
      </c>
      <c r="J962" s="1">
        <f>equip.xml!K966</f>
        <v>0</v>
      </c>
      <c r="K962" s="1">
        <f>equip.xml!L966</f>
        <v>35000</v>
      </c>
      <c r="L962" s="1" t="str">
        <f>equip.xml!M966</f>
        <v>103_2619_2619,104_5238_5238</v>
      </c>
      <c r="M962" s="7" t="str">
        <f>equip.xml!Q966</f>
        <v>equipment/1323.png</v>
      </c>
      <c r="N962" t="str">
        <f>equip.xml!P966</f>
        <v>10000_1002_65000,30000_30001_1,30000_30002_1,30000_30003_1</v>
      </c>
    </row>
    <row r="963" spans="1:14">
      <c r="A963" s="1" t="str">
        <f>equip.xml!A967</f>
        <v>30653051</v>
      </c>
      <c r="B963" s="1">
        <f>equip.xml!B967</f>
        <v>0</v>
      </c>
      <c r="C963" s="1" t="str">
        <f>equip.xml!C967</f>
        <v>学徒法杖</v>
      </c>
      <c r="D963" s="1" t="str">
        <f>equip.xml!D967</f>
        <v>主手武器</v>
      </c>
      <c r="E963" s="1">
        <f>equip.xml!E967</f>
        <v>5</v>
      </c>
      <c r="F963" s="1">
        <f>equip.xml!F967</f>
        <v>3</v>
      </c>
      <c r="G963" s="1">
        <f>equip.xml!G967</f>
        <v>65</v>
      </c>
      <c r="H963" s="1" t="str">
        <f>equip.xml!H967</f>
        <v>3,1003</v>
      </c>
      <c r="I963" s="1">
        <f>equip.xml!J967</f>
        <v>20</v>
      </c>
      <c r="J963" s="1">
        <f>equip.xml!K967</f>
        <v>0</v>
      </c>
      <c r="K963" s="1">
        <f>equip.xml!L967</f>
        <v>37500</v>
      </c>
      <c r="L963" s="1" t="str">
        <f>equip.xml!M967</f>
        <v>103_2854_2854,104_5708_5708</v>
      </c>
      <c r="M963" s="7" t="str">
        <f>equip.xml!Q967</f>
        <v>equipment/1301.png</v>
      </c>
      <c r="N963" t="str">
        <f>equip.xml!P967</f>
        <v>10000_1002_65000,30000_30001_1,30000_30002_1,30000_30003_1</v>
      </c>
    </row>
    <row r="964" spans="1:14">
      <c r="A964" s="1" t="str">
        <f>equip.xml!A968</f>
        <v>30653060</v>
      </c>
      <c r="B964" s="1">
        <f>equip.xml!B968</f>
        <v>1</v>
      </c>
      <c r="C964" s="1" t="str">
        <f>equip.xml!C968</f>
        <v>龙语秘典</v>
      </c>
      <c r="D964" s="1" t="str">
        <f>equip.xml!D968</f>
        <v>副手武器</v>
      </c>
      <c r="E964" s="1">
        <f>equip.xml!E968</f>
        <v>6</v>
      </c>
      <c r="F964" s="1">
        <f>equip.xml!F968</f>
        <v>3</v>
      </c>
      <c r="G964" s="1">
        <f>equip.xml!G968</f>
        <v>65</v>
      </c>
      <c r="H964" s="1" t="str">
        <f>equip.xml!H968</f>
        <v>3,1003</v>
      </c>
      <c r="I964" s="1">
        <f>equip.xml!J968</f>
        <v>20</v>
      </c>
      <c r="J964" s="1">
        <f>equip.xml!K968</f>
        <v>0</v>
      </c>
      <c r="K964" s="1">
        <f>equip.xml!L968</f>
        <v>35000</v>
      </c>
      <c r="L964" s="1" t="str">
        <f>equip.xml!M968</f>
        <v>102_2620_2620</v>
      </c>
      <c r="M964" s="7" t="str">
        <f>equip.xml!Q968</f>
        <v>equipment/2317.png</v>
      </c>
      <c r="N964" t="str">
        <f>equip.xml!P968</f>
        <v>10000_1002_65000,30000_30001_1,30000_30002_1,30000_30003_1</v>
      </c>
    </row>
    <row r="965" spans="1:14">
      <c r="A965" s="1" t="str">
        <f>equip.xml!A969</f>
        <v>30653061</v>
      </c>
      <c r="B965" s="1">
        <f>equip.xml!B969</f>
        <v>0</v>
      </c>
      <c r="C965" s="1" t="str">
        <f>equip.xml!C969</f>
        <v>法术指南</v>
      </c>
      <c r="D965" s="1" t="str">
        <f>equip.xml!D969</f>
        <v>副手武器</v>
      </c>
      <c r="E965" s="1">
        <f>equip.xml!E969</f>
        <v>6</v>
      </c>
      <c r="F965" s="1">
        <f>equip.xml!F969</f>
        <v>3</v>
      </c>
      <c r="G965" s="1">
        <f>equip.xml!G969</f>
        <v>65</v>
      </c>
      <c r="H965" s="1" t="str">
        <f>equip.xml!H969</f>
        <v>3,1003</v>
      </c>
      <c r="I965" s="1">
        <f>equip.xml!J969</f>
        <v>20</v>
      </c>
      <c r="J965" s="1">
        <f>equip.xml!K969</f>
        <v>0</v>
      </c>
      <c r="K965" s="1">
        <f>equip.xml!L969</f>
        <v>37500</v>
      </c>
      <c r="L965" s="1" t="str">
        <f>equip.xml!M969</f>
        <v>102_2988_2988</v>
      </c>
      <c r="M965" s="7" t="str">
        <f>equip.xml!Q969</f>
        <v>equipment/2301.png</v>
      </c>
      <c r="N965" t="str">
        <f>equip.xml!P969</f>
        <v>10000_1002_65000,30000_30001_1,30000_30002_1,30000_30003_1</v>
      </c>
    </row>
    <row r="966" spans="1:14">
      <c r="A966" s="1" t="str">
        <f>equip.xml!A970</f>
        <v>30650040</v>
      </c>
      <c r="B966" s="1">
        <f>equip.xml!B970</f>
        <v>1</v>
      </c>
      <c r="C966" s="1" t="str">
        <f>equip.xml!C970</f>
        <v>末世胸铠</v>
      </c>
      <c r="D966" s="1" t="str">
        <f>equip.xml!D970</f>
        <v>胸甲</v>
      </c>
      <c r="E966" s="1">
        <f>equip.xml!E970</f>
        <v>4</v>
      </c>
      <c r="F966" s="1">
        <f>equip.xml!F970</f>
        <v>3</v>
      </c>
      <c r="G966" s="1">
        <f>equip.xml!G970</f>
        <v>65</v>
      </c>
      <c r="H966" s="1">
        <f>equip.xml!H970</f>
        <v>0</v>
      </c>
      <c r="I966" s="1">
        <f>equip.xml!J970</f>
        <v>20</v>
      </c>
      <c r="J966" s="1">
        <f>equip.xml!K970</f>
        <v>0</v>
      </c>
      <c r="K966" s="1">
        <f>equip.xml!L970</f>
        <v>35000</v>
      </c>
      <c r="L966" s="1" t="str">
        <f>equip.xml!M970</f>
        <v>105_1628_1628</v>
      </c>
      <c r="M966" s="7" t="str">
        <f>equip.xml!Q970</f>
        <v>equipment/5017.png</v>
      </c>
      <c r="N966" t="str">
        <f>equip.xml!P970</f>
        <v>10000_1002_65000,30000_30001_1,30000_30002_1,30000_30003_1</v>
      </c>
    </row>
    <row r="967" spans="1:14">
      <c r="A967" s="1" t="str">
        <f>equip.xml!A971</f>
        <v>30650041</v>
      </c>
      <c r="B967" s="1">
        <f>equip.xml!B971</f>
        <v>0</v>
      </c>
      <c r="C967" s="1" t="str">
        <f>equip.xml!C971</f>
        <v>新兵外套</v>
      </c>
      <c r="D967" s="1" t="str">
        <f>equip.xml!D971</f>
        <v>胸甲</v>
      </c>
      <c r="E967" s="1">
        <f>equip.xml!E971</f>
        <v>4</v>
      </c>
      <c r="F967" s="1">
        <f>equip.xml!F971</f>
        <v>3</v>
      </c>
      <c r="G967" s="1">
        <f>equip.xml!G971</f>
        <v>65</v>
      </c>
      <c r="H967" s="1">
        <f>equip.xml!H971</f>
        <v>0</v>
      </c>
      <c r="I967" s="1">
        <f>equip.xml!J971</f>
        <v>20</v>
      </c>
      <c r="J967" s="1">
        <f>equip.xml!K971</f>
        <v>0</v>
      </c>
      <c r="K967" s="1">
        <f>equip.xml!L971</f>
        <v>37500</v>
      </c>
      <c r="L967" s="1" t="str">
        <f>equip.xml!M971</f>
        <v>105_1628_1628</v>
      </c>
      <c r="M967" s="7" t="str">
        <f>equip.xml!Q971</f>
        <v>equipment/5001.png</v>
      </c>
      <c r="N967" t="str">
        <f>equip.xml!P971</f>
        <v>10000_1002_65000,30000_30001_1,30000_30002_1,30000_30003_1</v>
      </c>
    </row>
    <row r="968" spans="1:14">
      <c r="A968" s="1" t="str">
        <f>equip.xml!A972</f>
        <v>30650070</v>
      </c>
      <c r="B968" s="1">
        <f>equip.xml!B972</f>
        <v>1</v>
      </c>
      <c r="C968" s="1" t="str">
        <f>equip.xml!C972</f>
        <v>止战腿甲</v>
      </c>
      <c r="D968" s="1" t="str">
        <f>equip.xml!D972</f>
        <v>护腿</v>
      </c>
      <c r="E968" s="1">
        <f>equip.xml!E972</f>
        <v>7</v>
      </c>
      <c r="F968" s="1">
        <f>equip.xml!F972</f>
        <v>3</v>
      </c>
      <c r="G968" s="1">
        <f>equip.xml!G972</f>
        <v>65</v>
      </c>
      <c r="H968" s="1">
        <f>equip.xml!H972</f>
        <v>0</v>
      </c>
      <c r="I968" s="1">
        <f>equip.xml!J972</f>
        <v>20</v>
      </c>
      <c r="J968" s="1">
        <f>equip.xml!K972</f>
        <v>0</v>
      </c>
      <c r="K968" s="1">
        <f>equip.xml!L972</f>
        <v>35000</v>
      </c>
      <c r="L968" s="1" t="str">
        <f>equip.xml!M972</f>
        <v>105_1627_1627</v>
      </c>
      <c r="M968" s="7" t="str">
        <f>equip.xml!Q972</f>
        <v>equipment/7017.png</v>
      </c>
      <c r="N968" t="str">
        <f>equip.xml!P972</f>
        <v>10000_1002_65000,30000_30001_1,30000_30002_1,30000_30003_1</v>
      </c>
    </row>
    <row r="969" spans="1:14">
      <c r="A969" s="1" t="str">
        <f>equip.xml!A973</f>
        <v>30650071</v>
      </c>
      <c r="B969" s="1">
        <f>equip.xml!B973</f>
        <v>0</v>
      </c>
      <c r="C969" s="1" t="str">
        <f>equip.xml!C973</f>
        <v>学徒短裤</v>
      </c>
      <c r="D969" s="1" t="str">
        <f>equip.xml!D973</f>
        <v>护腿</v>
      </c>
      <c r="E969" s="1">
        <f>equip.xml!E973</f>
        <v>7</v>
      </c>
      <c r="F969" s="1">
        <f>equip.xml!F973</f>
        <v>3</v>
      </c>
      <c r="G969" s="1">
        <f>equip.xml!G973</f>
        <v>65</v>
      </c>
      <c r="H969" s="1">
        <f>equip.xml!H973</f>
        <v>0</v>
      </c>
      <c r="I969" s="1">
        <f>equip.xml!J973</f>
        <v>20</v>
      </c>
      <c r="J969" s="1">
        <f>equip.xml!K973</f>
        <v>0</v>
      </c>
      <c r="K969" s="1">
        <f>equip.xml!L973</f>
        <v>37500</v>
      </c>
      <c r="L969" s="1" t="str">
        <f>equip.xml!M973</f>
        <v>105_1627_1627</v>
      </c>
      <c r="M969" s="7" t="str">
        <f>equip.xml!Q973</f>
        <v>equipment/7001.png</v>
      </c>
      <c r="N969" t="str">
        <f>equip.xml!P973</f>
        <v>10000_1002_65000,30000_30001_1,30000_30002_1,30000_30003_1</v>
      </c>
    </row>
    <row r="970" spans="1:14">
      <c r="A970" s="1" t="str">
        <f>equip.xml!A974</f>
        <v>30700010</v>
      </c>
      <c r="B970" s="1">
        <f>equip.xml!B974</f>
        <v>0</v>
      </c>
      <c r="C970" s="1" t="str">
        <f>equip.xml!C974</f>
        <v>残阳王冠</v>
      </c>
      <c r="D970" s="1" t="str">
        <f>equip.xml!D974</f>
        <v>头盔</v>
      </c>
      <c r="E970" s="1">
        <f>equip.xml!E974</f>
        <v>1</v>
      </c>
      <c r="F970" s="1">
        <f>equip.xml!F974</f>
        <v>3</v>
      </c>
      <c r="G970" s="1">
        <f>equip.xml!G974</f>
        <v>70</v>
      </c>
      <c r="H970" s="1">
        <f>equip.xml!H974</f>
        <v>0</v>
      </c>
      <c r="I970" s="1">
        <f>equip.xml!J974</f>
        <v>20</v>
      </c>
      <c r="J970" s="1">
        <f>equip.xml!K974</f>
        <v>0</v>
      </c>
      <c r="K970" s="1">
        <f>equip.xml!L974</f>
        <v>37500</v>
      </c>
      <c r="L970" s="1" t="str">
        <f>equip.xml!M974</f>
        <v>106_0_0</v>
      </c>
      <c r="M970" s="7" t="str">
        <f>equip.xml!Q974</f>
        <v>equipment/3001.png</v>
      </c>
      <c r="N970" t="str">
        <f>equip.xml!P974</f>
        <v>10000_1002_70000,30000_30001_1,30000_30002_1,30000_30003_1</v>
      </c>
    </row>
    <row r="971" spans="1:14">
      <c r="A971" s="1" t="str">
        <f>equip.xml!A975</f>
        <v>30700020</v>
      </c>
      <c r="B971" s="1">
        <f>equip.xml!B975</f>
        <v>0</v>
      </c>
      <c r="C971" s="1" t="str">
        <f>equip.xml!C975</f>
        <v>至尊三戒</v>
      </c>
      <c r="D971" s="1" t="str">
        <f>equip.xml!D975</f>
        <v>戒指</v>
      </c>
      <c r="E971" s="1">
        <f>equip.xml!E975</f>
        <v>2</v>
      </c>
      <c r="F971" s="1">
        <f>equip.xml!F975</f>
        <v>3</v>
      </c>
      <c r="G971" s="1">
        <f>equip.xml!G975</f>
        <v>70</v>
      </c>
      <c r="H971" s="1">
        <f>equip.xml!H975</f>
        <v>0</v>
      </c>
      <c r="I971" s="1">
        <f>equip.xml!J975</f>
        <v>20</v>
      </c>
      <c r="J971" s="1">
        <f>equip.xml!K975</f>
        <v>0</v>
      </c>
      <c r="K971" s="1">
        <f>equip.xml!L975</f>
        <v>37500</v>
      </c>
      <c r="L971" s="1" t="str">
        <f>equip.xml!M975</f>
        <v>102_0_0</v>
      </c>
      <c r="M971" s="7" t="str">
        <f>equip.xml!Q975</f>
        <v>equipment/14001.png</v>
      </c>
      <c r="N971" t="str">
        <f>equip.xml!P975</f>
        <v>10000_1002_70000,30000_30001_1,30000_30002_1,30000_30003_1</v>
      </c>
    </row>
    <row r="972" spans="1:14">
      <c r="A972" s="1" t="str">
        <f>equip.xml!A976</f>
        <v>30700030</v>
      </c>
      <c r="B972" s="1">
        <f>equip.xml!B976</f>
        <v>0</v>
      </c>
      <c r="C972" s="1" t="str">
        <f>equip.xml!C976</f>
        <v>雷神护腰</v>
      </c>
      <c r="D972" s="1" t="str">
        <f>equip.xml!D976</f>
        <v>腰带</v>
      </c>
      <c r="E972" s="1">
        <f>equip.xml!E976</f>
        <v>3</v>
      </c>
      <c r="F972" s="1">
        <f>equip.xml!F976</f>
        <v>3</v>
      </c>
      <c r="G972" s="1">
        <f>equip.xml!G976</f>
        <v>70</v>
      </c>
      <c r="H972" s="1">
        <f>equip.xml!H976</f>
        <v>0</v>
      </c>
      <c r="I972" s="1">
        <f>equip.xml!J976</f>
        <v>20</v>
      </c>
      <c r="J972" s="1">
        <f>equip.xml!K976</f>
        <v>0</v>
      </c>
      <c r="K972" s="1">
        <f>equip.xml!L976</f>
        <v>37500</v>
      </c>
      <c r="L972" s="1" t="str">
        <f>equip.xml!M976</f>
        <v>101_0_0</v>
      </c>
      <c r="M972" s="7" t="str">
        <f>equip.xml!Q976</f>
        <v>equipment/6001.png</v>
      </c>
      <c r="N972" t="str">
        <f>equip.xml!P976</f>
        <v>10000_1002_70000,30000_30001_1,30000_30002_1,30000_30003_1</v>
      </c>
    </row>
    <row r="973" spans="1:14">
      <c r="A973" s="1" t="str">
        <f>equip.xml!A977</f>
        <v>30700080</v>
      </c>
      <c r="B973" s="1">
        <f>equip.xml!B977</f>
        <v>0</v>
      </c>
      <c r="C973" s="1" t="str">
        <f>equip.xml!C977</f>
        <v>星旅之靴</v>
      </c>
      <c r="D973" s="1" t="str">
        <f>equip.xml!D977</f>
        <v>鞋子</v>
      </c>
      <c r="E973" s="1">
        <f>equip.xml!E977</f>
        <v>8</v>
      </c>
      <c r="F973" s="1">
        <f>equip.xml!F977</f>
        <v>3</v>
      </c>
      <c r="G973" s="1">
        <f>equip.xml!G977</f>
        <v>70</v>
      </c>
      <c r="H973" s="1">
        <f>equip.xml!H977</f>
        <v>0</v>
      </c>
      <c r="I973" s="1">
        <f>equip.xml!J977</f>
        <v>20</v>
      </c>
      <c r="J973" s="1">
        <f>equip.xml!K977</f>
        <v>0</v>
      </c>
      <c r="K973" s="1">
        <f>equip.xml!L977</f>
        <v>37500</v>
      </c>
      <c r="L973" s="1" t="str">
        <f>equip.xml!M977</f>
        <v>110_0_0</v>
      </c>
      <c r="M973" s="7" t="str">
        <f>equip.xml!Q977</f>
        <v>equipment/8001.png</v>
      </c>
      <c r="N973" t="str">
        <f>equip.xml!P977</f>
        <v>10000_1002_70000,30000_30001_1,30000_30002_1,30000_30003_1</v>
      </c>
    </row>
    <row r="974" spans="1:14">
      <c r="A974" s="1" t="str">
        <f>equip.xml!A978</f>
        <v>30700090</v>
      </c>
      <c r="B974" s="1">
        <f>equip.xml!B978</f>
        <v>0</v>
      </c>
      <c r="C974" s="1" t="str">
        <f>equip.xml!C978</f>
        <v>泰坦之拳</v>
      </c>
      <c r="D974" s="1" t="str">
        <f>equip.xml!D978</f>
        <v>手套</v>
      </c>
      <c r="E974" s="1">
        <f>equip.xml!E978</f>
        <v>9</v>
      </c>
      <c r="F974" s="1">
        <f>equip.xml!F978</f>
        <v>3</v>
      </c>
      <c r="G974" s="1">
        <f>equip.xml!G978</f>
        <v>70</v>
      </c>
      <c r="H974" s="1">
        <f>equip.xml!H978</f>
        <v>0</v>
      </c>
      <c r="I974" s="1">
        <f>equip.xml!J978</f>
        <v>20</v>
      </c>
      <c r="J974" s="1">
        <f>equip.xml!K978</f>
        <v>0</v>
      </c>
      <c r="K974" s="1">
        <f>equip.xml!L978</f>
        <v>37500</v>
      </c>
      <c r="L974" s="1" t="str">
        <f>equip.xml!M978</f>
        <v>108_0_0</v>
      </c>
      <c r="M974" s="7" t="str">
        <f>equip.xml!Q978</f>
        <v>equipment/10001.png</v>
      </c>
      <c r="N974" t="str">
        <f>equip.xml!P978</f>
        <v>10000_1002_70000,30000_30001_1,30000_30002_1,30000_30003_1</v>
      </c>
    </row>
    <row r="975" spans="1:14">
      <c r="A975" s="1" t="str">
        <f>equip.xml!A979</f>
        <v>30700100</v>
      </c>
      <c r="B975" s="1">
        <f>equip.xml!B979</f>
        <v>0</v>
      </c>
      <c r="C975" s="1" t="str">
        <f>equip.xml!C979</f>
        <v>岁月永恒护符</v>
      </c>
      <c r="D975" s="1" t="str">
        <f>equip.xml!D979</f>
        <v>项链</v>
      </c>
      <c r="E975" s="1">
        <f>equip.xml!E979</f>
        <v>10</v>
      </c>
      <c r="F975" s="1">
        <f>equip.xml!F979</f>
        <v>3</v>
      </c>
      <c r="G975" s="1">
        <f>equip.xml!G979</f>
        <v>70</v>
      </c>
      <c r="H975" s="1">
        <f>equip.xml!H979</f>
        <v>0</v>
      </c>
      <c r="I975" s="1">
        <f>equip.xml!J979</f>
        <v>20</v>
      </c>
      <c r="J975" s="1">
        <f>equip.xml!K979</f>
        <v>0</v>
      </c>
      <c r="K975" s="1">
        <f>equip.xml!L979</f>
        <v>37500</v>
      </c>
      <c r="L975" s="1" t="str">
        <f>equip.xml!M979</f>
        <v>107_0_0</v>
      </c>
      <c r="M975" s="7" t="str">
        <f>equip.xml!Q979</f>
        <v>equipment/12001.png</v>
      </c>
      <c r="N975" t="str">
        <f>equip.xml!P979</f>
        <v>10000_1002_70000,30000_30001_1,30000_30002_1,30000_30003_1</v>
      </c>
    </row>
    <row r="976" spans="1:14">
      <c r="A976" s="1" t="str">
        <f>equip.xml!A980</f>
        <v>30701050</v>
      </c>
      <c r="B976" s="1">
        <f>equip.xml!B980</f>
        <v>1</v>
      </c>
      <c r="C976" s="1" t="str">
        <f>equip.xml!C980</f>
        <v>命运</v>
      </c>
      <c r="D976" s="1" t="str">
        <f>equip.xml!D980</f>
        <v>主手武器</v>
      </c>
      <c r="E976" s="1">
        <f>equip.xml!E980</f>
        <v>5</v>
      </c>
      <c r="F976" s="1">
        <f>equip.xml!F980</f>
        <v>3</v>
      </c>
      <c r="G976" s="1">
        <f>equip.xml!G980</f>
        <v>70</v>
      </c>
      <c r="H976" s="1" t="str">
        <f>equip.xml!H980</f>
        <v>1,1001</v>
      </c>
      <c r="I976" s="1">
        <f>equip.xml!J980</f>
        <v>20</v>
      </c>
      <c r="J976" s="1">
        <f>equip.xml!K980</f>
        <v>0</v>
      </c>
      <c r="K976" s="1">
        <f>equip.xml!L980</f>
        <v>37500</v>
      </c>
      <c r="L976" s="1" t="str">
        <f>equip.xml!M980</f>
        <v>103_3269_3269,104_6538_6538</v>
      </c>
      <c r="M976" s="7" t="str">
        <f>equip.xml!Q980</f>
        <v>equipment/1124.png</v>
      </c>
      <c r="N976" t="str">
        <f>equip.xml!P980</f>
        <v>10000_1002_70000,30000_30001_1,30000_30002_1,30000_30003_1</v>
      </c>
    </row>
    <row r="977" spans="1:14">
      <c r="A977" s="1" t="str">
        <f>equip.xml!A981</f>
        <v>30701051</v>
      </c>
      <c r="B977" s="1">
        <f>equip.xml!B981</f>
        <v>0</v>
      </c>
      <c r="C977" s="1" t="str">
        <f>equip.xml!C981</f>
        <v>灰烬使者</v>
      </c>
      <c r="D977" s="1" t="str">
        <f>equip.xml!D981</f>
        <v>主手武器</v>
      </c>
      <c r="E977" s="1">
        <f>equip.xml!E981</f>
        <v>5</v>
      </c>
      <c r="F977" s="1">
        <f>equip.xml!F981</f>
        <v>3</v>
      </c>
      <c r="G977" s="1">
        <f>equip.xml!G981</f>
        <v>70</v>
      </c>
      <c r="H977" s="1" t="str">
        <f>equip.xml!H981</f>
        <v>1,1001</v>
      </c>
      <c r="I977" s="1">
        <f>equip.xml!J981</f>
        <v>20</v>
      </c>
      <c r="J977" s="1">
        <f>equip.xml!K981</f>
        <v>0</v>
      </c>
      <c r="K977" s="1">
        <f>equip.xml!L981</f>
        <v>40000</v>
      </c>
      <c r="L977" s="1" t="str">
        <f>equip.xml!M981</f>
        <v>103_3269_3269,104_6538_6538</v>
      </c>
      <c r="M977" s="7" t="str">
        <f>equip.xml!Q981</f>
        <v>equipment/1101.png</v>
      </c>
      <c r="N977" t="str">
        <f>equip.xml!P981</f>
        <v>10000_1002_70000,30000_30001_1,30000_30002_1,30000_30003_1</v>
      </c>
    </row>
    <row r="978" spans="1:14">
      <c r="A978" s="1" t="str">
        <f>equip.xml!A982</f>
        <v>30701060</v>
      </c>
      <c r="B978" s="1">
        <f>equip.xml!B982</f>
        <v>1</v>
      </c>
      <c r="C978" s="1" t="str">
        <f>equip.xml!C982</f>
        <v>永恒之盾</v>
      </c>
      <c r="D978" s="1" t="str">
        <f>equip.xml!D982</f>
        <v>副手武器</v>
      </c>
      <c r="E978" s="1">
        <f>equip.xml!E982</f>
        <v>6</v>
      </c>
      <c r="F978" s="1">
        <f>equip.xml!F982</f>
        <v>3</v>
      </c>
      <c r="G978" s="1">
        <f>equip.xml!G982</f>
        <v>70</v>
      </c>
      <c r="H978" s="1" t="str">
        <f>equip.xml!H982</f>
        <v>1,1001</v>
      </c>
      <c r="I978" s="1">
        <f>equip.xml!J982</f>
        <v>20</v>
      </c>
      <c r="J978" s="1">
        <f>equip.xml!K982</f>
        <v>0</v>
      </c>
      <c r="K978" s="1">
        <f>equip.xml!L982</f>
        <v>37500</v>
      </c>
      <c r="L978" s="1" t="str">
        <f>equip.xml!M982</f>
        <v>105_3522_3522</v>
      </c>
      <c r="M978" s="7" t="str">
        <f>equip.xml!Q982</f>
        <v>equipment/2118.png</v>
      </c>
      <c r="N978" t="str">
        <f>equip.xml!P982</f>
        <v>10000_1002_70000,30000_30001_1,30000_30002_1,30000_30003_1</v>
      </c>
    </row>
    <row r="979" spans="1:14">
      <c r="A979" s="1" t="str">
        <f>equip.xml!A983</f>
        <v>30701061</v>
      </c>
      <c r="B979" s="1">
        <f>equip.xml!B983</f>
        <v>0</v>
      </c>
      <c r="C979" s="1" t="str">
        <f>equip.xml!C983</f>
        <v>相位壁垒</v>
      </c>
      <c r="D979" s="1" t="str">
        <f>equip.xml!D983</f>
        <v>副手武器</v>
      </c>
      <c r="E979" s="1">
        <f>equip.xml!E983</f>
        <v>6</v>
      </c>
      <c r="F979" s="1">
        <f>equip.xml!F983</f>
        <v>3</v>
      </c>
      <c r="G979" s="1">
        <f>equip.xml!G983</f>
        <v>70</v>
      </c>
      <c r="H979" s="1" t="str">
        <f>equip.xml!H983</f>
        <v>1,1001</v>
      </c>
      <c r="I979" s="1">
        <f>equip.xml!J983</f>
        <v>20</v>
      </c>
      <c r="J979" s="1">
        <f>equip.xml!K983</f>
        <v>0</v>
      </c>
      <c r="K979" s="1">
        <f>equip.xml!L983</f>
        <v>40000</v>
      </c>
      <c r="L979" s="1" t="str">
        <f>equip.xml!M983</f>
        <v>105_3522_3522</v>
      </c>
      <c r="M979" s="7" t="str">
        <f>equip.xml!Q983</f>
        <v>equipment/2101.png</v>
      </c>
      <c r="N979" t="str">
        <f>equip.xml!P983</f>
        <v>10000_1002_70000,30000_30001_1,30000_30002_1,30000_30003_1</v>
      </c>
    </row>
    <row r="980" spans="1:14">
      <c r="A980" s="1" t="str">
        <f>equip.xml!A984</f>
        <v>30702050</v>
      </c>
      <c r="B980" s="1">
        <f>equip.xml!B984</f>
        <v>1</v>
      </c>
      <c r="C980" s="1" t="str">
        <f>equip.xml!C984</f>
        <v>日怒凰弓</v>
      </c>
      <c r="D980" s="1" t="str">
        <f>equip.xml!D984</f>
        <v>主手武器</v>
      </c>
      <c r="E980" s="1">
        <f>equip.xml!E984</f>
        <v>5</v>
      </c>
      <c r="F980" s="1">
        <f>equip.xml!F984</f>
        <v>3</v>
      </c>
      <c r="G980" s="1">
        <f>equip.xml!G984</f>
        <v>70</v>
      </c>
      <c r="H980" s="1" t="str">
        <f>equip.xml!H984</f>
        <v>2,1002</v>
      </c>
      <c r="I980" s="1">
        <f>equip.xml!J984</f>
        <v>20</v>
      </c>
      <c r="J980" s="1">
        <f>equip.xml!K984</f>
        <v>0</v>
      </c>
      <c r="K980" s="1">
        <f>equip.xml!L984</f>
        <v>37500</v>
      </c>
      <c r="L980" s="1" t="str">
        <f>equip.xml!M984</f>
        <v>103_3269_3269,104_6538_6538</v>
      </c>
      <c r="M980" s="7" t="str">
        <f>equip.xml!Q984</f>
        <v>equipment/1222.png</v>
      </c>
      <c r="N980" t="str">
        <f>equip.xml!P984</f>
        <v>10000_1002_70000,30000_30001_1,30000_30002_1,30000_30003_1</v>
      </c>
    </row>
    <row r="981" spans="1:14">
      <c r="A981" s="1" t="str">
        <f>equip.xml!A985</f>
        <v>30702051</v>
      </c>
      <c r="B981" s="1">
        <f>equip.xml!B985</f>
        <v>0</v>
      </c>
      <c r="C981" s="1" t="str">
        <f>equip.xml!C985</f>
        <v>群星之怒</v>
      </c>
      <c r="D981" s="1" t="str">
        <f>equip.xml!D985</f>
        <v>主手武器</v>
      </c>
      <c r="E981" s="1">
        <f>equip.xml!E985</f>
        <v>5</v>
      </c>
      <c r="F981" s="1">
        <f>equip.xml!F985</f>
        <v>3</v>
      </c>
      <c r="G981" s="1">
        <f>equip.xml!G985</f>
        <v>70</v>
      </c>
      <c r="H981" s="1" t="str">
        <f>equip.xml!H985</f>
        <v>2,1002</v>
      </c>
      <c r="I981" s="1">
        <f>equip.xml!J985</f>
        <v>20</v>
      </c>
      <c r="J981" s="1">
        <f>equip.xml!K985</f>
        <v>0</v>
      </c>
      <c r="K981" s="1">
        <f>equip.xml!L985</f>
        <v>40000</v>
      </c>
      <c r="L981" s="1" t="str">
        <f>equip.xml!M985</f>
        <v>103_3269_3269,104_6538_6538</v>
      </c>
      <c r="M981" s="7" t="str">
        <f>equip.xml!Q985</f>
        <v>equipment/1201.png</v>
      </c>
      <c r="N981" t="str">
        <f>equip.xml!P985</f>
        <v>10000_1002_70000,30000_30001_1,30000_30002_1,30000_30003_1</v>
      </c>
    </row>
    <row r="982" spans="1:14">
      <c r="A982" s="1" t="str">
        <f>equip.xml!A986</f>
        <v>30702060</v>
      </c>
      <c r="B982" s="1">
        <f>equip.xml!B986</f>
        <v>1</v>
      </c>
      <c r="C982" s="1" t="str">
        <f>equip.xml!C986</f>
        <v>逐日之矢</v>
      </c>
      <c r="D982" s="1" t="str">
        <f>equip.xml!D986</f>
        <v>副手武器</v>
      </c>
      <c r="E982" s="1">
        <f>equip.xml!E986</f>
        <v>6</v>
      </c>
      <c r="F982" s="1">
        <f>equip.xml!F986</f>
        <v>3</v>
      </c>
      <c r="G982" s="1">
        <f>equip.xml!G986</f>
        <v>70</v>
      </c>
      <c r="H982" s="1" t="str">
        <f>equip.xml!H986</f>
        <v>2,1002</v>
      </c>
      <c r="I982" s="1">
        <f>equip.xml!J986</f>
        <v>20</v>
      </c>
      <c r="J982" s="1">
        <f>equip.xml!K986</f>
        <v>0</v>
      </c>
      <c r="K982" s="1">
        <f>equip.xml!L986</f>
        <v>37500</v>
      </c>
      <c r="L982" s="1" t="str">
        <f>equip.xml!M986</f>
        <v>108_3522_3522</v>
      </c>
      <c r="M982" s="7" t="str">
        <f>equip.xml!Q986</f>
        <v>equipment/2218.png</v>
      </c>
      <c r="N982" t="str">
        <f>equip.xml!P986</f>
        <v>10000_1002_70000,30000_30001_1,30000_30002_1,30000_30003_1</v>
      </c>
    </row>
    <row r="983" spans="1:14">
      <c r="A983" s="1" t="str">
        <f>equip.xml!A987</f>
        <v>30702061</v>
      </c>
      <c r="B983" s="1">
        <f>equip.xml!B987</f>
        <v>0</v>
      </c>
      <c r="C983" s="1" t="str">
        <f>equip.xml!C987</f>
        <v>箭筒</v>
      </c>
      <c r="D983" s="1" t="str">
        <f>equip.xml!D987</f>
        <v>副手武器</v>
      </c>
      <c r="E983" s="1">
        <f>equip.xml!E987</f>
        <v>6</v>
      </c>
      <c r="F983" s="1">
        <f>equip.xml!F987</f>
        <v>3</v>
      </c>
      <c r="G983" s="1">
        <f>equip.xml!G987</f>
        <v>70</v>
      </c>
      <c r="H983" s="1" t="str">
        <f>equip.xml!H987</f>
        <v>2,1002</v>
      </c>
      <c r="I983" s="1">
        <f>equip.xml!J987</f>
        <v>20</v>
      </c>
      <c r="J983" s="1">
        <f>equip.xml!K987</f>
        <v>0</v>
      </c>
      <c r="K983" s="1">
        <f>equip.xml!L987</f>
        <v>40000</v>
      </c>
      <c r="L983" s="1" t="str">
        <f>equip.xml!M987</f>
        <v>108_3522_3522</v>
      </c>
      <c r="M983" s="7" t="str">
        <f>equip.xml!Q987</f>
        <v>equipment/2201.png</v>
      </c>
      <c r="N983" t="str">
        <f>equip.xml!P987</f>
        <v>10000_1002_70000,30000_30001_1,30000_30002_1,30000_30003_1</v>
      </c>
    </row>
    <row r="984" spans="1:14">
      <c r="A984" s="1" t="str">
        <f>equip.xml!A988</f>
        <v>30703050</v>
      </c>
      <c r="B984" s="1">
        <f>equip.xml!B988</f>
        <v>1</v>
      </c>
      <c r="C984" s="1" t="str">
        <f>equip.xml!C988</f>
        <v>瓦解法杖</v>
      </c>
      <c r="D984" s="1" t="str">
        <f>equip.xml!D988</f>
        <v>主手武器</v>
      </c>
      <c r="E984" s="1">
        <f>equip.xml!E988</f>
        <v>5</v>
      </c>
      <c r="F984" s="1">
        <f>equip.xml!F988</f>
        <v>3</v>
      </c>
      <c r="G984" s="1">
        <f>equip.xml!G988</f>
        <v>70</v>
      </c>
      <c r="H984" s="1" t="str">
        <f>equip.xml!H988</f>
        <v>3,1003</v>
      </c>
      <c r="I984" s="1">
        <f>equip.xml!J988</f>
        <v>20</v>
      </c>
      <c r="J984" s="1">
        <f>equip.xml!K988</f>
        <v>0</v>
      </c>
      <c r="K984" s="1">
        <f>equip.xml!L988</f>
        <v>37500</v>
      </c>
      <c r="L984" s="1" t="str">
        <f>equip.xml!M988</f>
        <v>103_3269_3269,104_6538_6538</v>
      </c>
      <c r="M984" s="7" t="str">
        <f>equip.xml!Q988</f>
        <v>equipment/1324.png</v>
      </c>
      <c r="N984" t="str">
        <f>equip.xml!P988</f>
        <v>10000_1002_70000,30000_30001_1,30000_30002_1,30000_30003_1</v>
      </c>
    </row>
    <row r="985" spans="1:14">
      <c r="A985" s="1" t="str">
        <f>equip.xml!A989</f>
        <v>30703051</v>
      </c>
      <c r="B985" s="1">
        <f>equip.xml!B989</f>
        <v>0</v>
      </c>
      <c r="C985" s="1" t="str">
        <f>equip.xml!C989</f>
        <v>守护者之杖</v>
      </c>
      <c r="D985" s="1" t="str">
        <f>equip.xml!D989</f>
        <v>主手武器</v>
      </c>
      <c r="E985" s="1">
        <f>equip.xml!E989</f>
        <v>5</v>
      </c>
      <c r="F985" s="1">
        <f>equip.xml!F989</f>
        <v>3</v>
      </c>
      <c r="G985" s="1">
        <f>equip.xml!G989</f>
        <v>70</v>
      </c>
      <c r="H985" s="1" t="str">
        <f>equip.xml!H989</f>
        <v>3,1003</v>
      </c>
      <c r="I985" s="1">
        <f>equip.xml!J989</f>
        <v>20</v>
      </c>
      <c r="J985" s="1">
        <f>equip.xml!K989</f>
        <v>0</v>
      </c>
      <c r="K985" s="1">
        <f>equip.xml!L989</f>
        <v>40000</v>
      </c>
      <c r="L985" s="1" t="str">
        <f>equip.xml!M989</f>
        <v>103_3269_3269,104_6538_6538</v>
      </c>
      <c r="M985" s="7" t="str">
        <f>equip.xml!Q989</f>
        <v>equipment/1301.png</v>
      </c>
      <c r="N985" t="str">
        <f>equip.xml!P989</f>
        <v>10000_1002_70000,30000_30001_1,30000_30002_1,30000_30003_1</v>
      </c>
    </row>
    <row r="986" spans="1:14">
      <c r="A986" s="1" t="str">
        <f>equip.xml!A990</f>
        <v>30703060</v>
      </c>
      <c r="B986" s="1">
        <f>equip.xml!B990</f>
        <v>1</v>
      </c>
      <c r="C986" s="1" t="str">
        <f>equip.xml!C990</f>
        <v>虚空魔典</v>
      </c>
      <c r="D986" s="1" t="str">
        <f>equip.xml!D990</f>
        <v>副手武器</v>
      </c>
      <c r="E986" s="1">
        <f>equip.xml!E990</f>
        <v>6</v>
      </c>
      <c r="F986" s="1">
        <f>equip.xml!F990</f>
        <v>3</v>
      </c>
      <c r="G986" s="1">
        <f>equip.xml!G990</f>
        <v>70</v>
      </c>
      <c r="H986" s="1" t="str">
        <f>equip.xml!H990</f>
        <v>3,1003</v>
      </c>
      <c r="I986" s="1">
        <f>equip.xml!J990</f>
        <v>20</v>
      </c>
      <c r="J986" s="1">
        <f>equip.xml!K990</f>
        <v>0</v>
      </c>
      <c r="K986" s="1">
        <f>equip.xml!L990</f>
        <v>37500</v>
      </c>
      <c r="L986" s="1" t="str">
        <f>equip.xml!M990</f>
        <v>102_3522_3522</v>
      </c>
      <c r="M986" s="7" t="str">
        <f>equip.xml!Q990</f>
        <v>equipment/2318.png</v>
      </c>
      <c r="N986" t="str">
        <f>equip.xml!P990</f>
        <v>10000_1002_70000,30000_30001_1,30000_30002_1,30000_30003_1</v>
      </c>
    </row>
    <row r="987" spans="1:14">
      <c r="A987" s="1" t="str">
        <f>equip.xml!A991</f>
        <v>30703061</v>
      </c>
      <c r="B987" s="1">
        <f>equip.xml!B991</f>
        <v>0</v>
      </c>
      <c r="C987" s="1" t="str">
        <f>equip.xml!C991</f>
        <v>星界之书</v>
      </c>
      <c r="D987" s="1" t="str">
        <f>equip.xml!D991</f>
        <v>副手武器</v>
      </c>
      <c r="E987" s="1">
        <f>equip.xml!E991</f>
        <v>6</v>
      </c>
      <c r="F987" s="1">
        <f>equip.xml!F991</f>
        <v>3</v>
      </c>
      <c r="G987" s="1">
        <f>equip.xml!G991</f>
        <v>70</v>
      </c>
      <c r="H987" s="1" t="str">
        <f>equip.xml!H991</f>
        <v>3,1003</v>
      </c>
      <c r="I987" s="1">
        <f>equip.xml!J991</f>
        <v>20</v>
      </c>
      <c r="J987" s="1">
        <f>equip.xml!K991</f>
        <v>0</v>
      </c>
      <c r="K987" s="1">
        <f>equip.xml!L991</f>
        <v>40000</v>
      </c>
      <c r="L987" s="1" t="str">
        <f>equip.xml!M991</f>
        <v>102_3080_3080</v>
      </c>
      <c r="M987" s="7" t="str">
        <f>equip.xml!Q991</f>
        <v>equipment/2301.png</v>
      </c>
      <c r="N987" t="str">
        <f>equip.xml!P991</f>
        <v>10000_1002_70000,30000_30001_1,30000_30002_1,30000_30003_1</v>
      </c>
    </row>
    <row r="988" spans="1:14">
      <c r="A988" s="1" t="str">
        <f>equip.xml!A992</f>
        <v>30700040</v>
      </c>
      <c r="B988" s="1">
        <f>equip.xml!B992</f>
        <v>0</v>
      </c>
      <c r="C988" s="1" t="str">
        <f>equip.xml!C992</f>
        <v>湮没胸甲</v>
      </c>
      <c r="D988" s="1" t="str">
        <f>equip.xml!D992</f>
        <v>胸甲</v>
      </c>
      <c r="E988" s="1">
        <f>equip.xml!E992</f>
        <v>4</v>
      </c>
      <c r="F988" s="1">
        <f>equip.xml!F992</f>
        <v>3</v>
      </c>
      <c r="G988" s="1">
        <f>equip.xml!G992</f>
        <v>70</v>
      </c>
      <c r="H988" s="1">
        <f>equip.xml!H992</f>
        <v>0</v>
      </c>
      <c r="I988" s="1">
        <f>equip.xml!J992</f>
        <v>20</v>
      </c>
      <c r="J988" s="1">
        <f>equip.xml!K992</f>
        <v>0</v>
      </c>
      <c r="K988" s="1">
        <f>equip.xml!L992</f>
        <v>37500</v>
      </c>
      <c r="L988" s="1" t="str">
        <f>equip.xml!M992</f>
        <v>105_0_0</v>
      </c>
      <c r="M988" s="7" t="str">
        <f>equip.xml!Q992</f>
        <v>equipment/5001.png</v>
      </c>
      <c r="N988" t="str">
        <f>equip.xml!P992</f>
        <v>10000_1002_70000,30000_30001_1,30000_30002_1,30000_30003_1</v>
      </c>
    </row>
    <row r="989" spans="1:14">
      <c r="A989" s="1" t="str">
        <f>equip.xml!A993</f>
        <v>30700041</v>
      </c>
      <c r="B989" s="1">
        <f>equip.xml!B993</f>
        <v>0</v>
      </c>
      <c r="C989" s="1" t="str">
        <f>equip.xml!C993</f>
        <v>碎界之铠</v>
      </c>
      <c r="D989" s="1" t="str">
        <f>equip.xml!D993</f>
        <v>胸甲</v>
      </c>
      <c r="E989" s="1">
        <f>equip.xml!E993</f>
        <v>4</v>
      </c>
      <c r="F989" s="1">
        <f>equip.xml!F993</f>
        <v>3</v>
      </c>
      <c r="G989" s="1">
        <f>equip.xml!G993</f>
        <v>70</v>
      </c>
      <c r="H989" s="1">
        <f>equip.xml!H993</f>
        <v>0</v>
      </c>
      <c r="I989" s="1">
        <f>equip.xml!J993</f>
        <v>20</v>
      </c>
      <c r="J989" s="1">
        <f>equip.xml!K993</f>
        <v>0</v>
      </c>
      <c r="K989" s="1">
        <f>equip.xml!L993</f>
        <v>40000</v>
      </c>
      <c r="L989" s="1" t="str">
        <f>equip.xml!M993</f>
        <v>105_0_0</v>
      </c>
      <c r="M989" s="7" t="str">
        <f>equip.xml!Q993</f>
        <v>equipment/5001.png</v>
      </c>
      <c r="N989" t="str">
        <f>equip.xml!P993</f>
        <v>10000_1002_70000,30000_30001_1,30000_30002_1,30000_30003_1</v>
      </c>
    </row>
    <row r="990" spans="1:14">
      <c r="A990" s="1" t="str">
        <f>equip.xml!A994</f>
        <v>30700070</v>
      </c>
      <c r="B990" s="1">
        <f>equip.xml!B994</f>
        <v>0</v>
      </c>
      <c r="C990" s="1" t="str">
        <f>equip.xml!C994</f>
        <v>魂卫护腿</v>
      </c>
      <c r="D990" s="1" t="str">
        <f>equip.xml!D994</f>
        <v>护腿</v>
      </c>
      <c r="E990" s="1">
        <f>equip.xml!E994</f>
        <v>7</v>
      </c>
      <c r="F990" s="1">
        <f>equip.xml!F994</f>
        <v>3</v>
      </c>
      <c r="G990" s="1">
        <f>equip.xml!G994</f>
        <v>70</v>
      </c>
      <c r="H990" s="1">
        <f>equip.xml!H994</f>
        <v>0</v>
      </c>
      <c r="I990" s="1">
        <f>equip.xml!J994</f>
        <v>20</v>
      </c>
      <c r="J990" s="1">
        <f>equip.xml!K994</f>
        <v>0</v>
      </c>
      <c r="K990" s="1">
        <f>equip.xml!L994</f>
        <v>37500</v>
      </c>
      <c r="L990" s="1" t="str">
        <f>equip.xml!M994</f>
        <v>105_0_0</v>
      </c>
      <c r="M990" s="7" t="str">
        <f>equip.xml!Q994</f>
        <v>equipment/7001.png</v>
      </c>
      <c r="N990" t="str">
        <f>equip.xml!P994</f>
        <v>10000_1002_70000,30000_30001_1,30000_30002_1,30000_30003_1</v>
      </c>
    </row>
    <row r="991" spans="1:14">
      <c r="A991" s="1" t="str">
        <f>equip.xml!A995</f>
        <v>30700071</v>
      </c>
      <c r="B991" s="1">
        <f>equip.xml!B995</f>
        <v>0</v>
      </c>
      <c r="C991" s="1" t="str">
        <f>equip.xml!C995</f>
        <v>不朽护腿</v>
      </c>
      <c r="D991" s="1" t="str">
        <f>equip.xml!D995</f>
        <v>护腿</v>
      </c>
      <c r="E991" s="1">
        <f>equip.xml!E995</f>
        <v>7</v>
      </c>
      <c r="F991" s="1">
        <f>equip.xml!F995</f>
        <v>3</v>
      </c>
      <c r="G991" s="1">
        <f>equip.xml!G995</f>
        <v>70</v>
      </c>
      <c r="H991" s="1">
        <f>equip.xml!H995</f>
        <v>0</v>
      </c>
      <c r="I991" s="1">
        <f>equip.xml!J995</f>
        <v>20</v>
      </c>
      <c r="J991" s="1">
        <f>equip.xml!K995</f>
        <v>0</v>
      </c>
      <c r="K991" s="1">
        <f>equip.xml!L995</f>
        <v>40000</v>
      </c>
      <c r="L991" s="1" t="str">
        <f>equip.xml!M995</f>
        <v>105_0_0</v>
      </c>
      <c r="M991" s="7" t="str">
        <f>equip.xml!Q995</f>
        <v>equipment/7001.png</v>
      </c>
      <c r="N991" t="str">
        <f>equip.xml!P995</f>
        <v>10000_1002_70000,30000_30001_1,30000_30002_1,30000_30003_1</v>
      </c>
    </row>
    <row r="992" spans="1:14">
      <c r="A992" s="1" t="str">
        <f>equip.xml!A996</f>
        <v>40010010</v>
      </c>
      <c r="B992" s="1">
        <f>equip.xml!B996</f>
        <v>0</v>
      </c>
      <c r="C992" s="1" t="str">
        <f>equip.xml!C996</f>
        <v>纹饰帽</v>
      </c>
      <c r="D992" s="1" t="str">
        <f>equip.xml!D996</f>
        <v>头盔</v>
      </c>
      <c r="E992" s="1">
        <f>equip.xml!E996</f>
        <v>1</v>
      </c>
      <c r="F992" s="1">
        <f>equip.xml!F996</f>
        <v>4</v>
      </c>
      <c r="G992" s="1">
        <f>equip.xml!G996</f>
        <v>1</v>
      </c>
      <c r="H992" s="1">
        <f>equip.xml!H996</f>
        <v>0</v>
      </c>
      <c r="I992" s="1">
        <f>equip.xml!J996</f>
        <v>50</v>
      </c>
      <c r="J992" s="1">
        <f>equip.xml!K996</f>
        <v>500</v>
      </c>
      <c r="K992" s="1">
        <f>equip.xml!L996</f>
        <v>0</v>
      </c>
      <c r="L992" s="1" t="str">
        <f>equip.xml!M996</f>
        <v>106_0_0</v>
      </c>
      <c r="M992" s="7" t="str">
        <f>equip.xml!Q996</f>
        <v>equipment/3001.png</v>
      </c>
      <c r="N992" t="str">
        <f>equip.xml!P996</f>
        <v>10000_1002_1000,30000_30001_1,30000_30002_1,30000_30003_1</v>
      </c>
    </row>
    <row r="993" spans="1:14">
      <c r="A993" s="1" t="str">
        <f>equip.xml!A997</f>
        <v>40010020</v>
      </c>
      <c r="B993" s="1">
        <f>equip.xml!B997</f>
        <v>0</v>
      </c>
      <c r="C993" s="1" t="str">
        <f>equip.xml!C997</f>
        <v>金戒指</v>
      </c>
      <c r="D993" s="1" t="str">
        <f>equip.xml!D997</f>
        <v>戒指</v>
      </c>
      <c r="E993" s="1">
        <f>equip.xml!E997</f>
        <v>2</v>
      </c>
      <c r="F993" s="1">
        <f>equip.xml!F997</f>
        <v>4</v>
      </c>
      <c r="G993" s="1">
        <f>equip.xml!G997</f>
        <v>1</v>
      </c>
      <c r="H993" s="1">
        <f>equip.xml!H997</f>
        <v>0</v>
      </c>
      <c r="I993" s="1">
        <f>equip.xml!J997</f>
        <v>50</v>
      </c>
      <c r="J993" s="1">
        <f>equip.xml!K997</f>
        <v>500</v>
      </c>
      <c r="K993" s="1">
        <f>equip.xml!L997</f>
        <v>0</v>
      </c>
      <c r="L993" s="1" t="str">
        <f>equip.xml!M997</f>
        <v>102_20_20</v>
      </c>
      <c r="M993" s="7" t="str">
        <f>equip.xml!Q997</f>
        <v>equipment/14001.png</v>
      </c>
      <c r="N993" t="str">
        <f>equip.xml!P997</f>
        <v>10000_1002_1000,30000_30001_1,30000_30002_1,30000_30003_1</v>
      </c>
    </row>
    <row r="994" spans="1:14">
      <c r="A994" s="1" t="str">
        <f>equip.xml!A998</f>
        <v>40010030</v>
      </c>
      <c r="B994" s="1">
        <f>equip.xml!B998</f>
        <v>0</v>
      </c>
      <c r="C994" s="1" t="str">
        <f>equip.xml!C998</f>
        <v>兽皮腰带</v>
      </c>
      <c r="D994" s="1" t="str">
        <f>equip.xml!D998</f>
        <v>腰带</v>
      </c>
      <c r="E994" s="1">
        <f>equip.xml!E998</f>
        <v>3</v>
      </c>
      <c r="F994" s="1">
        <f>equip.xml!F998</f>
        <v>4</v>
      </c>
      <c r="G994" s="1">
        <f>equip.xml!G998</f>
        <v>1</v>
      </c>
      <c r="H994" s="1">
        <f>equip.xml!H998</f>
        <v>0</v>
      </c>
      <c r="I994" s="1">
        <f>equip.xml!J998</f>
        <v>50</v>
      </c>
      <c r="J994" s="1">
        <f>equip.xml!K998</f>
        <v>500</v>
      </c>
      <c r="K994" s="1">
        <f>equip.xml!L998</f>
        <v>0</v>
      </c>
      <c r="L994" s="1" t="str">
        <f>equip.xml!M998</f>
        <v>101_100_100</v>
      </c>
      <c r="M994" s="7" t="str">
        <f>equip.xml!Q998</f>
        <v>equipment/6001.png</v>
      </c>
      <c r="N994" t="str">
        <f>equip.xml!P998</f>
        <v>10000_1002_1000,30000_30001_1,30000_30002_1,30000_30003_1</v>
      </c>
    </row>
    <row r="995" spans="1:14">
      <c r="A995" s="1" t="str">
        <f>equip.xml!A999</f>
        <v>40010080</v>
      </c>
      <c r="B995" s="1">
        <f>equip.xml!B999</f>
        <v>1</v>
      </c>
      <c r="C995" s="1" t="str">
        <f>equip.xml!C999</f>
        <v>皮靴</v>
      </c>
      <c r="D995" s="1" t="str">
        <f>equip.xml!D999</f>
        <v>鞋子</v>
      </c>
      <c r="E995" s="1">
        <f>equip.xml!E999</f>
        <v>8</v>
      </c>
      <c r="F995" s="1">
        <f>equip.xml!F999</f>
        <v>4</v>
      </c>
      <c r="G995" s="1">
        <f>equip.xml!G999</f>
        <v>1</v>
      </c>
      <c r="H995" s="1">
        <f>equip.xml!H999</f>
        <v>0</v>
      </c>
      <c r="I995" s="1">
        <f>equip.xml!J999</f>
        <v>50</v>
      </c>
      <c r="J995" s="1">
        <f>equip.xml!K999</f>
        <v>500</v>
      </c>
      <c r="K995" s="1">
        <f>equip.xml!L999</f>
        <v>0</v>
      </c>
      <c r="L995" s="1" t="str">
        <f>equip.xml!M999</f>
        <v>110_4_4</v>
      </c>
      <c r="M995" s="7" t="str">
        <f>equip.xml!Q999</f>
        <v>equipment/8001.png</v>
      </c>
      <c r="N995" t="str">
        <f>equip.xml!P999</f>
        <v>10000_1002_1000,30000_30001_1,30000_30002_1,30000_30003_1</v>
      </c>
    </row>
    <row r="996" spans="1:14">
      <c r="A996" s="1" t="str">
        <f>equip.xml!A1000</f>
        <v>40010090</v>
      </c>
      <c r="B996" s="1">
        <f>equip.xml!B1000</f>
        <v>1</v>
      </c>
      <c r="C996" s="1" t="str">
        <f>equip.xml!C1000</f>
        <v>轻布手套</v>
      </c>
      <c r="D996" s="1" t="str">
        <f>equip.xml!D1000</f>
        <v>手套</v>
      </c>
      <c r="E996" s="1">
        <f>equip.xml!E1000</f>
        <v>9</v>
      </c>
      <c r="F996" s="1">
        <f>equip.xml!F1000</f>
        <v>4</v>
      </c>
      <c r="G996" s="1">
        <f>equip.xml!G1000</f>
        <v>1</v>
      </c>
      <c r="H996" s="1">
        <f>equip.xml!H1000</f>
        <v>0</v>
      </c>
      <c r="I996" s="1">
        <f>equip.xml!J1000</f>
        <v>50</v>
      </c>
      <c r="J996" s="1">
        <f>equip.xml!K1000</f>
        <v>500</v>
      </c>
      <c r="K996" s="1">
        <f>equip.xml!L1000</f>
        <v>0</v>
      </c>
      <c r="L996" s="1" t="str">
        <f>equip.xml!M1000</f>
        <v>108_9_9</v>
      </c>
      <c r="M996" s="7" t="str">
        <f>equip.xml!Q1000</f>
        <v>equipment/10001.png</v>
      </c>
      <c r="N996" t="str">
        <f>equip.xml!P1000</f>
        <v>10000_1002_1000,30000_30001_1,30000_30002_1,30000_30003_1</v>
      </c>
    </row>
    <row r="997" spans="1:14">
      <c r="A997" s="1" t="str">
        <f>equip.xml!A1001</f>
        <v>40010100</v>
      </c>
      <c r="B997" s="1">
        <f>equip.xml!B1001</f>
        <v>0</v>
      </c>
      <c r="C997" s="1" t="str">
        <f>equip.xml!C1001</f>
        <v>贝壳项链</v>
      </c>
      <c r="D997" s="1" t="str">
        <f>equip.xml!D1001</f>
        <v>项链</v>
      </c>
      <c r="E997" s="1">
        <f>equip.xml!E1001</f>
        <v>10</v>
      </c>
      <c r="F997" s="1">
        <f>equip.xml!F1001</f>
        <v>4</v>
      </c>
      <c r="G997" s="1">
        <f>equip.xml!G1001</f>
        <v>1</v>
      </c>
      <c r="H997" s="1">
        <f>equip.xml!H1001</f>
        <v>0</v>
      </c>
      <c r="I997" s="1">
        <f>equip.xml!J1001</f>
        <v>50</v>
      </c>
      <c r="J997" s="1">
        <f>equip.xml!K1001</f>
        <v>500</v>
      </c>
      <c r="K997" s="1">
        <f>equip.xml!L1001</f>
        <v>0</v>
      </c>
      <c r="L997" s="1" t="str">
        <f>equip.xml!M1001</f>
        <v>107_0_0</v>
      </c>
      <c r="M997" s="7" t="str">
        <f>equip.xml!Q1001</f>
        <v>equipment/12001.png</v>
      </c>
      <c r="N997" t="str">
        <f>equip.xml!P1001</f>
        <v>10000_1002_1000,30000_30001_1,30000_30002_1,30000_30003_1</v>
      </c>
    </row>
    <row r="998" spans="1:14">
      <c r="A998" s="1" t="str">
        <f>equip.xml!A1002</f>
        <v>40011050</v>
      </c>
      <c r="B998" s="1">
        <f>equip.xml!B1002</f>
        <v>1</v>
      </c>
      <c r="C998" s="1" t="str">
        <f>equip.xml!C1002</f>
        <v>短剑</v>
      </c>
      <c r="D998" s="1" t="str">
        <f>equip.xml!D1002</f>
        <v>主手武器</v>
      </c>
      <c r="E998" s="1">
        <f>equip.xml!E1002</f>
        <v>5</v>
      </c>
      <c r="F998" s="1">
        <f>equip.xml!F1002</f>
        <v>4</v>
      </c>
      <c r="G998" s="1">
        <f>equip.xml!G1002</f>
        <v>1</v>
      </c>
      <c r="H998" s="1" t="str">
        <f>equip.xml!H1002</f>
        <v>1,1001</v>
      </c>
      <c r="I998" s="1">
        <f>equip.xml!J1002</f>
        <v>50</v>
      </c>
      <c r="J998" s="1">
        <f>equip.xml!K1002</f>
        <v>500</v>
      </c>
      <c r="K998" s="1">
        <f>equip.xml!L1002</f>
        <v>0</v>
      </c>
      <c r="L998" s="1" t="str">
        <f>equip.xml!M1002</f>
        <v>103_2_2,104_6_6</v>
      </c>
      <c r="M998" s="7" t="str">
        <f>equip.xml!Q1002</f>
        <v>equipment/1101.png</v>
      </c>
      <c r="N998" t="str">
        <f>equip.xml!P1002</f>
        <v>10000_1002_1000,30000_30001_1,30000_30002_1,30000_30003_1</v>
      </c>
    </row>
    <row r="999" spans="1:14">
      <c r="A999" s="1" t="str">
        <f>equip.xml!A1003</f>
        <v>40011051</v>
      </c>
      <c r="B999" s="1">
        <f>equip.xml!B1003</f>
        <v>1</v>
      </c>
      <c r="C999" s="1" t="str">
        <f>equip.xml!C1003</f>
        <v>军刀</v>
      </c>
      <c r="D999" s="1" t="str">
        <f>equip.xml!D1003</f>
        <v>主手武器</v>
      </c>
      <c r="E999" s="1">
        <f>equip.xml!E1003</f>
        <v>5</v>
      </c>
      <c r="F999" s="1">
        <f>equip.xml!F1003</f>
        <v>4</v>
      </c>
      <c r="G999" s="1">
        <f>equip.xml!G1003</f>
        <v>1</v>
      </c>
      <c r="H999" s="1" t="str">
        <f>equip.xml!H1003</f>
        <v>1,1001</v>
      </c>
      <c r="I999" s="1">
        <f>equip.xml!J1003</f>
        <v>50</v>
      </c>
      <c r="J999" s="1">
        <f>equip.xml!K1003</f>
        <v>500</v>
      </c>
      <c r="K999" s="1">
        <f>equip.xml!L1003</f>
        <v>0</v>
      </c>
      <c r="L999" s="1" t="str">
        <f>equip.xml!M1003</f>
        <v>103_5_5,104_12_12</v>
      </c>
      <c r="M999" s="7" t="str">
        <f>equip.xml!Q1003</f>
        <v>equipment/1102.png</v>
      </c>
      <c r="N999" t="str">
        <f>equip.xml!P1003</f>
        <v>10000_1002_1000,30000_30001_1,30000_30002_1,30000_30003_1</v>
      </c>
    </row>
    <row r="1000" spans="1:14">
      <c r="A1000" s="1" t="str">
        <f>equip.xml!A1004</f>
        <v>40011060</v>
      </c>
      <c r="B1000" s="1">
        <f>equip.xml!B1004</f>
        <v>1</v>
      </c>
      <c r="C1000" s="1" t="str">
        <f>equip.xml!C1004</f>
        <v>小圆盾</v>
      </c>
      <c r="D1000" s="1" t="str">
        <f>equip.xml!D1004</f>
        <v>副手武器</v>
      </c>
      <c r="E1000" s="1">
        <f>equip.xml!E1004</f>
        <v>6</v>
      </c>
      <c r="F1000" s="1">
        <f>equip.xml!F1004</f>
        <v>4</v>
      </c>
      <c r="G1000" s="1">
        <f>equip.xml!G1004</f>
        <v>1</v>
      </c>
      <c r="H1000" s="1" t="str">
        <f>equip.xml!H1004</f>
        <v>1,1001</v>
      </c>
      <c r="I1000" s="1">
        <f>equip.xml!J1004</f>
        <v>50</v>
      </c>
      <c r="J1000" s="1">
        <f>equip.xml!K1004</f>
        <v>500</v>
      </c>
      <c r="K1000" s="1">
        <f>equip.xml!L1004</f>
        <v>0</v>
      </c>
      <c r="L1000" s="1" t="str">
        <f>equip.xml!M1004</f>
        <v>105_4_4</v>
      </c>
      <c r="M1000" s="7" t="str">
        <f>equip.xml!Q1004</f>
        <v>equipment/2101.png</v>
      </c>
      <c r="N1000" t="str">
        <f>equip.xml!P1004</f>
        <v>10000_1002_1000,30000_30001_1,30000_30002_1,30000_30003_1</v>
      </c>
    </row>
    <row r="1001" spans="1:14">
      <c r="A1001" s="1" t="str">
        <f>equip.xml!A1005</f>
        <v>40011061</v>
      </c>
      <c r="B1001" s="1">
        <f>equip.xml!B1005</f>
        <v>0</v>
      </c>
      <c r="C1001" s="1" t="str">
        <f>equip.xml!C1005</f>
        <v>尖头盾</v>
      </c>
      <c r="D1001" s="1" t="str">
        <f>equip.xml!D1005</f>
        <v>副手武器</v>
      </c>
      <c r="E1001" s="1">
        <f>equip.xml!E1005</f>
        <v>6</v>
      </c>
      <c r="F1001" s="1">
        <f>equip.xml!F1005</f>
        <v>4</v>
      </c>
      <c r="G1001" s="1">
        <f>equip.xml!G1005</f>
        <v>1</v>
      </c>
      <c r="H1001" s="1" t="str">
        <f>equip.xml!H1005</f>
        <v>1,1001</v>
      </c>
      <c r="I1001" s="1">
        <f>equip.xml!J1005</f>
        <v>50</v>
      </c>
      <c r="J1001" s="1">
        <f>equip.xml!K1005</f>
        <v>500</v>
      </c>
      <c r="K1001" s="1">
        <f>equip.xml!L1005</f>
        <v>0</v>
      </c>
      <c r="L1001" s="1" t="str">
        <f>equip.xml!M1005</f>
        <v>105_7_7</v>
      </c>
      <c r="M1001" s="7" t="str">
        <f>equip.xml!Q1005</f>
        <v>equipment/2101.png</v>
      </c>
      <c r="N1001" t="str">
        <f>equip.xml!P1005</f>
        <v>10000_1002_1000,30000_30001_1,30000_30002_1,30000_30003_1</v>
      </c>
    </row>
    <row r="1002" spans="1:14">
      <c r="A1002" s="1" t="str">
        <f>equip.xml!A1006</f>
        <v>40012050</v>
      </c>
      <c r="B1002" s="1">
        <f>equip.xml!B1006</f>
        <v>1</v>
      </c>
      <c r="C1002" s="1" t="str">
        <f>equip.xml!C1006</f>
        <v>短弓</v>
      </c>
      <c r="D1002" s="1" t="str">
        <f>equip.xml!D1006</f>
        <v>主手武器</v>
      </c>
      <c r="E1002" s="1">
        <f>equip.xml!E1006</f>
        <v>5</v>
      </c>
      <c r="F1002" s="1">
        <f>equip.xml!F1006</f>
        <v>4</v>
      </c>
      <c r="G1002" s="1">
        <f>equip.xml!G1006</f>
        <v>1</v>
      </c>
      <c r="H1002" s="1" t="str">
        <f>equip.xml!H1006</f>
        <v>2,1002</v>
      </c>
      <c r="I1002" s="1">
        <f>equip.xml!J1006</f>
        <v>50</v>
      </c>
      <c r="J1002" s="1">
        <f>equip.xml!K1006</f>
        <v>500</v>
      </c>
      <c r="K1002" s="1">
        <f>equip.xml!L1006</f>
        <v>0</v>
      </c>
      <c r="L1002" s="1" t="str">
        <f>equip.xml!M1006</f>
        <v>103_2_2,104_6_6</v>
      </c>
      <c r="M1002" s="7" t="str">
        <f>equip.xml!Q1006</f>
        <v>equipment/1201.png</v>
      </c>
      <c r="N1002" t="str">
        <f>equip.xml!P1006</f>
        <v>10000_1002_1000,30000_30001_1,30000_30002_1,30000_30003_1</v>
      </c>
    </row>
    <row r="1003" spans="1:14">
      <c r="A1003" s="1" t="str">
        <f>equip.xml!A1007</f>
        <v>40012051</v>
      </c>
      <c r="B1003" s="1">
        <f>equip.xml!B1007</f>
        <v>1</v>
      </c>
      <c r="C1003" s="1" t="str">
        <f>equip.xml!C1007</f>
        <v>棘木弓</v>
      </c>
      <c r="D1003" s="1" t="str">
        <f>equip.xml!D1007</f>
        <v>主手武器</v>
      </c>
      <c r="E1003" s="1">
        <f>equip.xml!E1007</f>
        <v>5</v>
      </c>
      <c r="F1003" s="1">
        <f>equip.xml!F1007</f>
        <v>4</v>
      </c>
      <c r="G1003" s="1">
        <f>equip.xml!G1007</f>
        <v>1</v>
      </c>
      <c r="H1003" s="1" t="str">
        <f>equip.xml!H1007</f>
        <v>2,1002</v>
      </c>
      <c r="I1003" s="1">
        <f>equip.xml!J1007</f>
        <v>50</v>
      </c>
      <c r="J1003" s="1">
        <f>equip.xml!K1007</f>
        <v>500</v>
      </c>
      <c r="K1003" s="1">
        <f>equip.xml!L1007</f>
        <v>0</v>
      </c>
      <c r="L1003" s="1" t="str">
        <f>equip.xml!M1007</f>
        <v>103_5_5,104_12_12</v>
      </c>
      <c r="M1003" s="7" t="str">
        <f>equip.xml!Q1007</f>
        <v>equipment/1202.png</v>
      </c>
      <c r="N1003" t="str">
        <f>equip.xml!P1007</f>
        <v>10000_1002_1000,30000_30001_1,30000_30002_1,30000_30003_1</v>
      </c>
    </row>
    <row r="1004" spans="1:14">
      <c r="A1004" s="1" t="str">
        <f>equip.xml!A1008</f>
        <v>40012060</v>
      </c>
      <c r="B1004" s="1">
        <f>equip.xml!B1008</f>
        <v>1</v>
      </c>
      <c r="C1004" s="1" t="str">
        <f>equip.xml!C1008</f>
        <v>小箭筒</v>
      </c>
      <c r="D1004" s="1" t="str">
        <f>equip.xml!D1008</f>
        <v>副手武器</v>
      </c>
      <c r="E1004" s="1">
        <f>equip.xml!E1008</f>
        <v>6</v>
      </c>
      <c r="F1004" s="1">
        <f>equip.xml!F1008</f>
        <v>4</v>
      </c>
      <c r="G1004" s="1">
        <f>equip.xml!G1008</f>
        <v>1</v>
      </c>
      <c r="H1004" s="1" t="str">
        <f>equip.xml!H1008</f>
        <v>2,1002</v>
      </c>
      <c r="I1004" s="1">
        <f>equip.xml!J1008</f>
        <v>50</v>
      </c>
      <c r="J1004" s="1">
        <f>equip.xml!K1008</f>
        <v>500</v>
      </c>
      <c r="K1004" s="1">
        <f>equip.xml!L1008</f>
        <v>0</v>
      </c>
      <c r="L1004" s="1" t="str">
        <f>equip.xml!M1008</f>
        <v>108_4_4</v>
      </c>
      <c r="M1004" s="7" t="str">
        <f>equip.xml!Q1008</f>
        <v>equipment/2201.png</v>
      </c>
      <c r="N1004" t="str">
        <f>equip.xml!P1008</f>
        <v>10000_1002_1000,30000_30001_1,30000_30002_1,30000_30003_1</v>
      </c>
    </row>
    <row r="1005" spans="1:14">
      <c r="A1005" s="1" t="str">
        <f>equip.xml!A1009</f>
        <v>40012061</v>
      </c>
      <c r="B1005" s="1">
        <f>equip.xml!B1009</f>
        <v>0</v>
      </c>
      <c r="C1005" s="1" t="str">
        <f>equip.xml!C1009</f>
        <v>箭筒</v>
      </c>
      <c r="D1005" s="1" t="str">
        <f>equip.xml!D1009</f>
        <v>副手武器</v>
      </c>
      <c r="E1005" s="1">
        <f>equip.xml!E1009</f>
        <v>6</v>
      </c>
      <c r="F1005" s="1">
        <f>equip.xml!F1009</f>
        <v>4</v>
      </c>
      <c r="G1005" s="1">
        <f>equip.xml!G1009</f>
        <v>1</v>
      </c>
      <c r="H1005" s="1" t="str">
        <f>equip.xml!H1009</f>
        <v>2,1002</v>
      </c>
      <c r="I1005" s="1">
        <f>equip.xml!J1009</f>
        <v>50</v>
      </c>
      <c r="J1005" s="1">
        <f>equip.xml!K1009</f>
        <v>500</v>
      </c>
      <c r="K1005" s="1">
        <f>equip.xml!L1009</f>
        <v>0</v>
      </c>
      <c r="L1005" s="1" t="str">
        <f>equip.xml!M1009</f>
        <v>108_7_7</v>
      </c>
      <c r="M1005" s="7" t="str">
        <f>equip.xml!Q1009</f>
        <v>equipment/2201.png</v>
      </c>
      <c r="N1005" t="str">
        <f>equip.xml!P1009</f>
        <v>10000_1002_1000,30000_30001_1,30000_30002_1,30000_30003_1</v>
      </c>
    </row>
    <row r="1006" spans="1:14">
      <c r="A1006" s="1" t="str">
        <f>equip.xml!A1010</f>
        <v>40013050</v>
      </c>
      <c r="B1006" s="1">
        <f>equip.xml!B1010</f>
        <v>1</v>
      </c>
      <c r="C1006" s="1" t="str">
        <f>equip.xml!C1010</f>
        <v>训练用杖</v>
      </c>
      <c r="D1006" s="1" t="str">
        <f>equip.xml!D1010</f>
        <v>主手武器</v>
      </c>
      <c r="E1006" s="1">
        <f>equip.xml!E1010</f>
        <v>5</v>
      </c>
      <c r="F1006" s="1">
        <f>equip.xml!F1010</f>
        <v>4</v>
      </c>
      <c r="G1006" s="1">
        <f>equip.xml!G1010</f>
        <v>1</v>
      </c>
      <c r="H1006" s="1" t="str">
        <f>equip.xml!H1010</f>
        <v>3,1003</v>
      </c>
      <c r="I1006" s="1">
        <f>equip.xml!J1010</f>
        <v>50</v>
      </c>
      <c r="J1006" s="1">
        <f>equip.xml!K1010</f>
        <v>500</v>
      </c>
      <c r="K1006" s="1">
        <f>equip.xml!L1010</f>
        <v>0</v>
      </c>
      <c r="L1006" s="1" t="str">
        <f>equip.xml!M1010</f>
        <v>103_2_2,104_6_6</v>
      </c>
      <c r="M1006" s="7" t="str">
        <f>equip.xml!Q1010</f>
        <v>equipment/1301.png</v>
      </c>
      <c r="N1006" t="str">
        <f>equip.xml!P1010</f>
        <v>10000_1002_1000,30000_30001_1,30000_30002_1,30000_30003_1</v>
      </c>
    </row>
    <row r="1007" spans="1:14">
      <c r="A1007" s="1" t="str">
        <f>equip.xml!A1011</f>
        <v>40013051</v>
      </c>
      <c r="B1007" s="1">
        <f>equip.xml!B1011</f>
        <v>1</v>
      </c>
      <c r="C1007" s="1" t="str">
        <f>equip.xml!C1011</f>
        <v>学徒法杖</v>
      </c>
      <c r="D1007" s="1" t="str">
        <f>equip.xml!D1011</f>
        <v>主手武器</v>
      </c>
      <c r="E1007" s="1">
        <f>equip.xml!E1011</f>
        <v>5</v>
      </c>
      <c r="F1007" s="1">
        <f>equip.xml!F1011</f>
        <v>4</v>
      </c>
      <c r="G1007" s="1">
        <f>equip.xml!G1011</f>
        <v>1</v>
      </c>
      <c r="H1007" s="1" t="str">
        <f>equip.xml!H1011</f>
        <v>3,1003</v>
      </c>
      <c r="I1007" s="1">
        <f>equip.xml!J1011</f>
        <v>50</v>
      </c>
      <c r="J1007" s="1">
        <f>equip.xml!K1011</f>
        <v>500</v>
      </c>
      <c r="K1007" s="1">
        <f>equip.xml!L1011</f>
        <v>0</v>
      </c>
      <c r="L1007" s="1" t="str">
        <f>equip.xml!M1011</f>
        <v>103_5_5,104_12_12</v>
      </c>
      <c r="M1007" s="7" t="str">
        <f>equip.xml!Q1011</f>
        <v>equipment/1302.png</v>
      </c>
      <c r="N1007" t="str">
        <f>equip.xml!P1011</f>
        <v>10000_1002_1000,30000_30001_1,30000_30002_1,30000_30003_1</v>
      </c>
    </row>
    <row r="1008" spans="1:14">
      <c r="A1008" s="1" t="str">
        <f>equip.xml!A1012</f>
        <v>40013060</v>
      </c>
      <c r="B1008" s="1">
        <f>equip.xml!B1012</f>
        <v>1</v>
      </c>
      <c r="C1008" s="1" t="str">
        <f>equip.xml!C1012</f>
        <v>学徒手册</v>
      </c>
      <c r="D1008" s="1" t="str">
        <f>equip.xml!D1012</f>
        <v>副手武器</v>
      </c>
      <c r="E1008" s="1">
        <f>equip.xml!E1012</f>
        <v>6</v>
      </c>
      <c r="F1008" s="1">
        <f>equip.xml!F1012</f>
        <v>4</v>
      </c>
      <c r="G1008" s="1">
        <f>equip.xml!G1012</f>
        <v>1</v>
      </c>
      <c r="H1008" s="1" t="str">
        <f>equip.xml!H1012</f>
        <v>3,1003</v>
      </c>
      <c r="I1008" s="1">
        <f>equip.xml!J1012</f>
        <v>50</v>
      </c>
      <c r="J1008" s="1">
        <f>equip.xml!K1012</f>
        <v>500</v>
      </c>
      <c r="K1008" s="1">
        <f>equip.xml!L1012</f>
        <v>0</v>
      </c>
      <c r="L1008" s="1" t="str">
        <f>equip.xml!M1012</f>
        <v>102_30_30</v>
      </c>
      <c r="M1008" s="7" t="str">
        <f>equip.xml!Q1012</f>
        <v>equipment/2301.png</v>
      </c>
      <c r="N1008" t="str">
        <f>equip.xml!P1012</f>
        <v>10000_1002_1000,30000_30001_1,30000_30002_1,30000_30003_1</v>
      </c>
    </row>
    <row r="1009" spans="1:14">
      <c r="A1009" s="1" t="str">
        <f>equip.xml!A1013</f>
        <v>40013061</v>
      </c>
      <c r="B1009" s="1">
        <f>equip.xml!B1013</f>
        <v>0</v>
      </c>
      <c r="C1009" s="1" t="str">
        <f>equip.xml!C1013</f>
        <v>法术指南</v>
      </c>
      <c r="D1009" s="1" t="str">
        <f>equip.xml!D1013</f>
        <v>副手武器</v>
      </c>
      <c r="E1009" s="1">
        <f>equip.xml!E1013</f>
        <v>6</v>
      </c>
      <c r="F1009" s="1">
        <f>equip.xml!F1013</f>
        <v>4</v>
      </c>
      <c r="G1009" s="1">
        <f>equip.xml!G1013</f>
        <v>1</v>
      </c>
      <c r="H1009" s="1" t="str">
        <f>equip.xml!H1013</f>
        <v>3,1003</v>
      </c>
      <c r="I1009" s="1">
        <f>equip.xml!J1013</f>
        <v>50</v>
      </c>
      <c r="J1009" s="1">
        <f>equip.xml!K1013</f>
        <v>500</v>
      </c>
      <c r="K1009" s="1">
        <f>equip.xml!L1013</f>
        <v>0</v>
      </c>
      <c r="L1009" s="1" t="str">
        <f>equip.xml!M1013</f>
        <v>102_7_7</v>
      </c>
      <c r="M1009" s="7" t="str">
        <f>equip.xml!Q1013</f>
        <v>equipment/2301.png</v>
      </c>
      <c r="N1009" t="str">
        <f>equip.xml!P1013</f>
        <v>10000_1002_1000,30000_30001_1,30000_30002_1,30000_30003_1</v>
      </c>
    </row>
    <row r="1010" spans="1:14">
      <c r="A1010" s="1" t="str">
        <f>equip.xml!A1014</f>
        <v>40010040</v>
      </c>
      <c r="B1010" s="1">
        <f>equip.xml!B1014</f>
        <v>1</v>
      </c>
      <c r="C1010" s="1" t="str">
        <f>equip.xml!C1014</f>
        <v>新兵外套</v>
      </c>
      <c r="D1010" s="1" t="str">
        <f>equip.xml!D1014</f>
        <v>胸甲</v>
      </c>
      <c r="E1010" s="1">
        <f>equip.xml!E1014</f>
        <v>4</v>
      </c>
      <c r="F1010" s="1">
        <f>equip.xml!F1014</f>
        <v>4</v>
      </c>
      <c r="G1010" s="1">
        <f>equip.xml!G1014</f>
        <v>1</v>
      </c>
      <c r="H1010" s="1">
        <f>equip.xml!H1014</f>
        <v>0</v>
      </c>
      <c r="I1010" s="1">
        <f>equip.xml!J1014</f>
        <v>50</v>
      </c>
      <c r="J1010" s="1">
        <f>equip.xml!K1014</f>
        <v>500</v>
      </c>
      <c r="K1010" s="1">
        <f>equip.xml!L1014</f>
        <v>0</v>
      </c>
      <c r="L1010" s="1" t="str">
        <f>equip.xml!M1014</f>
        <v>105_3_3</v>
      </c>
      <c r="M1010" s="7" t="str">
        <f>equip.xml!Q1014</f>
        <v>equipment/5001.png</v>
      </c>
      <c r="N1010" t="str">
        <f>equip.xml!P1014</f>
        <v>10000_1002_1000,30000_30001_1,30000_30002_1,30000_30003_1</v>
      </c>
    </row>
    <row r="1011" spans="1:14">
      <c r="A1011" s="1" t="str">
        <f>equip.xml!A1015</f>
        <v>40010041</v>
      </c>
      <c r="B1011" s="1">
        <f>equip.xml!B1015</f>
        <v>0</v>
      </c>
      <c r="C1011" s="1" t="str">
        <f>equip.xml!C1015</f>
        <v>新兵外套</v>
      </c>
      <c r="D1011" s="1" t="str">
        <f>equip.xml!D1015</f>
        <v>胸甲</v>
      </c>
      <c r="E1011" s="1">
        <f>equip.xml!E1015</f>
        <v>4</v>
      </c>
      <c r="F1011" s="1">
        <f>equip.xml!F1015</f>
        <v>4</v>
      </c>
      <c r="G1011" s="1">
        <f>equip.xml!G1015</f>
        <v>1</v>
      </c>
      <c r="H1011" s="1">
        <f>equip.xml!H1015</f>
        <v>0</v>
      </c>
      <c r="I1011" s="1">
        <f>equip.xml!J1015</f>
        <v>50</v>
      </c>
      <c r="J1011" s="1">
        <f>equip.xml!K1015</f>
        <v>500</v>
      </c>
      <c r="K1011" s="1">
        <f>equip.xml!L1015</f>
        <v>0</v>
      </c>
      <c r="L1011" s="1" t="str">
        <f>equip.xml!M1015</f>
        <v>105_5_5</v>
      </c>
      <c r="M1011" s="7" t="str">
        <f>equip.xml!Q1015</f>
        <v>equipment/5001.png</v>
      </c>
      <c r="N1011" t="str">
        <f>equip.xml!P1015</f>
        <v>10000_1002_1000,30000_30001_1,30000_30002_1,30000_30003_1</v>
      </c>
    </row>
    <row r="1012" spans="1:14">
      <c r="A1012" s="1" t="str">
        <f>equip.xml!A1016</f>
        <v>40010070</v>
      </c>
      <c r="B1012" s="1">
        <f>equip.xml!B1016</f>
        <v>0</v>
      </c>
      <c r="C1012" s="1" t="str">
        <f>equip.xml!C1016</f>
        <v>皮甲短裤</v>
      </c>
      <c r="D1012" s="1" t="str">
        <f>equip.xml!D1016</f>
        <v>护腿</v>
      </c>
      <c r="E1012" s="1">
        <f>equip.xml!E1016</f>
        <v>7</v>
      </c>
      <c r="F1012" s="1">
        <f>equip.xml!F1016</f>
        <v>4</v>
      </c>
      <c r="G1012" s="1">
        <f>equip.xml!G1016</f>
        <v>1</v>
      </c>
      <c r="H1012" s="1">
        <f>equip.xml!H1016</f>
        <v>0</v>
      </c>
      <c r="I1012" s="1">
        <f>equip.xml!J1016</f>
        <v>50</v>
      </c>
      <c r="J1012" s="1">
        <f>equip.xml!K1016</f>
        <v>500</v>
      </c>
      <c r="K1012" s="1">
        <f>equip.xml!L1016</f>
        <v>0</v>
      </c>
      <c r="L1012" s="1" t="str">
        <f>equip.xml!M1016</f>
        <v>105_0_0</v>
      </c>
      <c r="M1012" s="7" t="str">
        <f>equip.xml!Q1016</f>
        <v>equipment/7001.png</v>
      </c>
      <c r="N1012" t="str">
        <f>equip.xml!P1016</f>
        <v>10000_1002_1000,30000_30001_1,30000_30002_1,30000_30003_1</v>
      </c>
    </row>
    <row r="1013" spans="1:14">
      <c r="A1013" s="1" t="str">
        <f>equip.xml!A1017</f>
        <v>40010071</v>
      </c>
      <c r="B1013" s="1">
        <f>equip.xml!B1017</f>
        <v>0</v>
      </c>
      <c r="C1013" s="1" t="str">
        <f>equip.xml!C1017</f>
        <v>学徒短裤</v>
      </c>
      <c r="D1013" s="1" t="str">
        <f>equip.xml!D1017</f>
        <v>护腿</v>
      </c>
      <c r="E1013" s="1">
        <f>equip.xml!E1017</f>
        <v>7</v>
      </c>
      <c r="F1013" s="1">
        <f>equip.xml!F1017</f>
        <v>4</v>
      </c>
      <c r="G1013" s="1">
        <f>equip.xml!G1017</f>
        <v>1</v>
      </c>
      <c r="H1013" s="1">
        <f>equip.xml!H1017</f>
        <v>0</v>
      </c>
      <c r="I1013" s="1">
        <f>equip.xml!J1017</f>
        <v>50</v>
      </c>
      <c r="J1013" s="1">
        <f>equip.xml!K1017</f>
        <v>500</v>
      </c>
      <c r="K1013" s="1">
        <f>equip.xml!L1017</f>
        <v>0</v>
      </c>
      <c r="L1013" s="1" t="str">
        <f>equip.xml!M1017</f>
        <v>105_1_1</v>
      </c>
      <c r="M1013" s="7" t="str">
        <f>equip.xml!Q1017</f>
        <v>equipment/7001.png</v>
      </c>
      <c r="N1013" t="str">
        <f>equip.xml!P1017</f>
        <v>10000_1002_1000,30000_30001_1,30000_30002_1,30000_30003_1</v>
      </c>
    </row>
    <row r="1014" spans="1:14">
      <c r="A1014" s="1" t="str">
        <f>equip.xml!A1018</f>
        <v>40050010</v>
      </c>
      <c r="B1014" s="1">
        <f>equip.xml!B1018</f>
        <v>1</v>
      </c>
      <c r="C1014" s="1" t="str">
        <f>equip.xml!C1018</f>
        <v>纹饰帽</v>
      </c>
      <c r="D1014" s="1" t="str">
        <f>equip.xml!D1018</f>
        <v>头盔</v>
      </c>
      <c r="E1014" s="1">
        <f>equip.xml!E1018</f>
        <v>1</v>
      </c>
      <c r="F1014" s="1">
        <f>equip.xml!F1018</f>
        <v>4</v>
      </c>
      <c r="G1014" s="1">
        <f>equip.xml!G1018</f>
        <v>5</v>
      </c>
      <c r="H1014" s="1">
        <f>equip.xml!H1018</f>
        <v>0</v>
      </c>
      <c r="I1014" s="1">
        <f>equip.xml!J1018</f>
        <v>50</v>
      </c>
      <c r="J1014" s="1">
        <f>equip.xml!K1018</f>
        <v>500</v>
      </c>
      <c r="K1014" s="1">
        <f>equip.xml!L1018</f>
        <v>0</v>
      </c>
      <c r="L1014" s="1" t="str">
        <f>equip.xml!M1018</f>
        <v>106_20_20</v>
      </c>
      <c r="M1014" s="7" t="str">
        <f>equip.xml!Q1018</f>
        <v>equipment/3001.png</v>
      </c>
      <c r="N1014" t="str">
        <f>equip.xml!P1018</f>
        <v>10000_1002_5000,30000_30001_1,30000_30002_1,30000_30003_1</v>
      </c>
    </row>
    <row r="1015" spans="1:14">
      <c r="A1015" s="1" t="str">
        <f>equip.xml!A1019</f>
        <v>40050020</v>
      </c>
      <c r="B1015" s="1">
        <f>equip.xml!B1019</f>
        <v>1</v>
      </c>
      <c r="C1015" s="1" t="str">
        <f>equip.xml!C1019</f>
        <v>金戒指</v>
      </c>
      <c r="D1015" s="1" t="str">
        <f>equip.xml!D1019</f>
        <v>戒指</v>
      </c>
      <c r="E1015" s="1">
        <f>equip.xml!E1019</f>
        <v>2</v>
      </c>
      <c r="F1015" s="1">
        <f>equip.xml!F1019</f>
        <v>4</v>
      </c>
      <c r="G1015" s="1">
        <f>equip.xml!G1019</f>
        <v>5</v>
      </c>
      <c r="H1015" s="1">
        <f>equip.xml!H1019</f>
        <v>0</v>
      </c>
      <c r="I1015" s="1">
        <f>equip.xml!J1019</f>
        <v>50</v>
      </c>
      <c r="J1015" s="1">
        <f>equip.xml!K1019</f>
        <v>500</v>
      </c>
      <c r="K1015" s="1">
        <f>equip.xml!L1019</f>
        <v>0</v>
      </c>
      <c r="L1015" s="1" t="str">
        <f>equip.xml!M1019</f>
        <v>102_80_80</v>
      </c>
      <c r="M1015" s="7" t="str">
        <f>equip.xml!Q1019</f>
        <v>equipment/14001.png</v>
      </c>
      <c r="N1015" t="str">
        <f>equip.xml!P1019</f>
        <v>10000_1002_5000,30000_30001_1,30000_30002_1,30000_30003_1</v>
      </c>
    </row>
    <row r="1016" spans="1:14">
      <c r="A1016" s="1" t="str">
        <f>equip.xml!A1020</f>
        <v>40050030</v>
      </c>
      <c r="B1016" s="1">
        <f>equip.xml!B1020</f>
        <v>1</v>
      </c>
      <c r="C1016" s="1" t="str">
        <f>equip.xml!C1020</f>
        <v>兽皮腰带</v>
      </c>
      <c r="D1016" s="1" t="str">
        <f>equip.xml!D1020</f>
        <v>腰带</v>
      </c>
      <c r="E1016" s="1">
        <f>equip.xml!E1020</f>
        <v>3</v>
      </c>
      <c r="F1016" s="1">
        <f>equip.xml!F1020</f>
        <v>4</v>
      </c>
      <c r="G1016" s="1">
        <f>equip.xml!G1020</f>
        <v>5</v>
      </c>
      <c r="H1016" s="1">
        <f>equip.xml!H1020</f>
        <v>0</v>
      </c>
      <c r="I1016" s="1">
        <f>equip.xml!J1020</f>
        <v>50</v>
      </c>
      <c r="J1016" s="1">
        <f>equip.xml!K1020</f>
        <v>500</v>
      </c>
      <c r="K1016" s="1">
        <f>equip.xml!L1020</f>
        <v>0</v>
      </c>
      <c r="L1016" s="1" t="str">
        <f>equip.xml!M1020</f>
        <v>101_100_100</v>
      </c>
      <c r="M1016" s="7" t="str">
        <f>equip.xml!Q1020</f>
        <v>equipment/6001.png</v>
      </c>
      <c r="N1016" t="str">
        <f>equip.xml!P1020</f>
        <v>10000_1002_5000,30000_30001_1,30000_30002_1,30000_30003_1</v>
      </c>
    </row>
    <row r="1017" spans="1:14">
      <c r="A1017" s="1" t="str">
        <f>equip.xml!A1021</f>
        <v>40050080</v>
      </c>
      <c r="B1017" s="1">
        <f>equip.xml!B1021</f>
        <v>0</v>
      </c>
      <c r="C1017" s="1" t="str">
        <f>equip.xml!C1021</f>
        <v>皮靴</v>
      </c>
      <c r="D1017" s="1" t="str">
        <f>equip.xml!D1021</f>
        <v>鞋子</v>
      </c>
      <c r="E1017" s="1">
        <f>equip.xml!E1021</f>
        <v>8</v>
      </c>
      <c r="F1017" s="1">
        <f>equip.xml!F1021</f>
        <v>4</v>
      </c>
      <c r="G1017" s="1">
        <f>equip.xml!G1021</f>
        <v>5</v>
      </c>
      <c r="H1017" s="1">
        <f>equip.xml!H1021</f>
        <v>0</v>
      </c>
      <c r="I1017" s="1">
        <f>equip.xml!J1021</f>
        <v>50</v>
      </c>
      <c r="J1017" s="1">
        <f>equip.xml!K1021</f>
        <v>500</v>
      </c>
      <c r="K1017" s="1">
        <f>equip.xml!L1021</f>
        <v>0</v>
      </c>
      <c r="L1017" s="1" t="str">
        <f>equip.xml!M1021</f>
        <v>110_7_7</v>
      </c>
      <c r="M1017" s="7" t="str">
        <f>equip.xml!Q1021</f>
        <v>equipment/8001.png</v>
      </c>
      <c r="N1017" t="str">
        <f>equip.xml!P1021</f>
        <v>10000_1002_5000,30000_30001_1,30000_30002_1,30000_30003_1</v>
      </c>
    </row>
    <row r="1018" spans="1:14">
      <c r="A1018" s="1" t="str">
        <f>equip.xml!A1022</f>
        <v>40050090</v>
      </c>
      <c r="B1018" s="1">
        <f>equip.xml!B1022</f>
        <v>0</v>
      </c>
      <c r="C1018" s="1" t="str">
        <f>equip.xml!C1022</f>
        <v>轻布手套</v>
      </c>
      <c r="D1018" s="1" t="str">
        <f>equip.xml!D1022</f>
        <v>手套</v>
      </c>
      <c r="E1018" s="1">
        <f>equip.xml!E1022</f>
        <v>9</v>
      </c>
      <c r="F1018" s="1">
        <f>equip.xml!F1022</f>
        <v>4</v>
      </c>
      <c r="G1018" s="1">
        <f>equip.xml!G1022</f>
        <v>5</v>
      </c>
      <c r="H1018" s="1">
        <f>equip.xml!H1022</f>
        <v>0</v>
      </c>
      <c r="I1018" s="1">
        <f>equip.xml!J1022</f>
        <v>50</v>
      </c>
      <c r="J1018" s="1">
        <f>equip.xml!K1022</f>
        <v>500</v>
      </c>
      <c r="K1018" s="1">
        <f>equip.xml!L1022</f>
        <v>0</v>
      </c>
      <c r="L1018" s="1" t="str">
        <f>equip.xml!M1022</f>
        <v>108_23_23</v>
      </c>
      <c r="M1018" s="7" t="str">
        <f>equip.xml!Q1022</f>
        <v>equipment/10001.png</v>
      </c>
      <c r="N1018" t="str">
        <f>equip.xml!P1022</f>
        <v>10000_1002_5000,30000_30001_1,30000_30002_1,30000_30003_1</v>
      </c>
    </row>
    <row r="1019" spans="1:14">
      <c r="A1019" s="1" t="str">
        <f>equip.xml!A1023</f>
        <v>40050100</v>
      </c>
      <c r="B1019" s="1">
        <f>equip.xml!B1023</f>
        <v>1</v>
      </c>
      <c r="C1019" s="1" t="str">
        <f>equip.xml!C1023</f>
        <v>贝壳项链</v>
      </c>
      <c r="D1019" s="1" t="str">
        <f>equip.xml!D1023</f>
        <v>项链</v>
      </c>
      <c r="E1019" s="1">
        <f>equip.xml!E1023</f>
        <v>10</v>
      </c>
      <c r="F1019" s="1">
        <f>equip.xml!F1023</f>
        <v>4</v>
      </c>
      <c r="G1019" s="1">
        <f>equip.xml!G1023</f>
        <v>5</v>
      </c>
      <c r="H1019" s="1">
        <f>equip.xml!H1023</f>
        <v>0</v>
      </c>
      <c r="I1019" s="1">
        <f>equip.xml!J1023</f>
        <v>50</v>
      </c>
      <c r="J1019" s="1">
        <f>equip.xml!K1023</f>
        <v>500</v>
      </c>
      <c r="K1019" s="1">
        <f>equip.xml!L1023</f>
        <v>0</v>
      </c>
      <c r="L1019" s="1" t="str">
        <f>equip.xml!M1023</f>
        <v>107_20_20</v>
      </c>
      <c r="M1019" s="7" t="str">
        <f>equip.xml!Q1023</f>
        <v>equipment/12001.png</v>
      </c>
      <c r="N1019" t="str">
        <f>equip.xml!P1023</f>
        <v>10000_1002_5000,30000_30001_1,30000_30002_1,30000_30003_1</v>
      </c>
    </row>
    <row r="1020" spans="1:14">
      <c r="A1020" s="1" t="str">
        <f>equip.xml!A1024</f>
        <v>40051050</v>
      </c>
      <c r="B1020" s="1">
        <f>equip.xml!B1024</f>
        <v>1</v>
      </c>
      <c r="C1020" s="1" t="str">
        <f>equip.xml!C1024</f>
        <v>长剑</v>
      </c>
      <c r="D1020" s="1" t="str">
        <f>equip.xml!D1024</f>
        <v>主手武器</v>
      </c>
      <c r="E1020" s="1">
        <f>equip.xml!E1024</f>
        <v>5</v>
      </c>
      <c r="F1020" s="1">
        <f>equip.xml!F1024</f>
        <v>4</v>
      </c>
      <c r="G1020" s="1">
        <f>equip.xml!G1024</f>
        <v>5</v>
      </c>
      <c r="H1020" s="1" t="str">
        <f>equip.xml!H1024</f>
        <v>1,1001</v>
      </c>
      <c r="I1020" s="1">
        <f>equip.xml!J1024</f>
        <v>50</v>
      </c>
      <c r="J1020" s="1">
        <f>equip.xml!K1024</f>
        <v>500</v>
      </c>
      <c r="K1020" s="1">
        <f>equip.xml!L1024</f>
        <v>0</v>
      </c>
      <c r="L1020" s="1" t="str">
        <f>equip.xml!M1024</f>
        <v>103_10_10,104_20_20</v>
      </c>
      <c r="M1020" s="7" t="str">
        <f>equip.xml!Q1024</f>
        <v>equipment/1103.png</v>
      </c>
      <c r="N1020" t="str">
        <f>equip.xml!P1024</f>
        <v>10000_1002_5000,30000_30001_1,30000_30002_1,30000_30003_1</v>
      </c>
    </row>
    <row r="1021" spans="1:14">
      <c r="A1021" s="1" t="str">
        <f>equip.xml!A1025</f>
        <v>40051051</v>
      </c>
      <c r="B1021" s="1">
        <f>equip.xml!B1025</f>
        <v>1</v>
      </c>
      <c r="C1021" s="1" t="str">
        <f>equip.xml!C1025</f>
        <v>双刃剑</v>
      </c>
      <c r="D1021" s="1" t="str">
        <f>equip.xml!D1025</f>
        <v>主手武器</v>
      </c>
      <c r="E1021" s="1">
        <f>equip.xml!E1025</f>
        <v>5</v>
      </c>
      <c r="F1021" s="1">
        <f>equip.xml!F1025</f>
        <v>4</v>
      </c>
      <c r="G1021" s="1">
        <f>equip.xml!G1025</f>
        <v>5</v>
      </c>
      <c r="H1021" s="1" t="str">
        <f>equip.xml!H1025</f>
        <v>1,1001</v>
      </c>
      <c r="I1021" s="1">
        <f>equip.xml!J1025</f>
        <v>50</v>
      </c>
      <c r="J1021" s="1">
        <f>equip.xml!K1025</f>
        <v>500</v>
      </c>
      <c r="K1021" s="1">
        <f>equip.xml!L1025</f>
        <v>0</v>
      </c>
      <c r="L1021" s="1" t="str">
        <f>equip.xml!M1025</f>
        <v>103_18_18,104_38_38</v>
      </c>
      <c r="M1021" s="7" t="str">
        <f>equip.xml!Q1025</f>
        <v>equipment/1104.png</v>
      </c>
      <c r="N1021" t="str">
        <f>equip.xml!P1025</f>
        <v>10000_1002_5000,30000_30001_1,30000_30002_1,30000_30003_1</v>
      </c>
    </row>
    <row r="1022" spans="1:14">
      <c r="A1022" s="1" t="str">
        <f>equip.xml!A1026</f>
        <v>40051060</v>
      </c>
      <c r="B1022" s="1">
        <f>equip.xml!B1026</f>
        <v>1</v>
      </c>
      <c r="C1022" s="1" t="str">
        <f>equip.xml!C1026</f>
        <v>尖头盾</v>
      </c>
      <c r="D1022" s="1" t="str">
        <f>equip.xml!D1026</f>
        <v>副手武器</v>
      </c>
      <c r="E1022" s="1">
        <f>equip.xml!E1026</f>
        <v>6</v>
      </c>
      <c r="F1022" s="1">
        <f>equip.xml!F1026</f>
        <v>4</v>
      </c>
      <c r="G1022" s="1">
        <f>equip.xml!G1026</f>
        <v>5</v>
      </c>
      <c r="H1022" s="1" t="str">
        <f>equip.xml!H1026</f>
        <v>1,1001</v>
      </c>
      <c r="I1022" s="1">
        <f>equip.xml!J1026</f>
        <v>50</v>
      </c>
      <c r="J1022" s="1">
        <f>equip.xml!K1026</f>
        <v>500</v>
      </c>
      <c r="K1022" s="1">
        <f>equip.xml!L1026</f>
        <v>0</v>
      </c>
      <c r="L1022" s="1" t="str">
        <f>equip.xml!M1026</f>
        <v>105_12_12</v>
      </c>
      <c r="M1022" s="7" t="str">
        <f>equip.xml!Q1026</f>
        <v>equipment/2102.png</v>
      </c>
      <c r="N1022" t="str">
        <f>equip.xml!P1026</f>
        <v>10000_1002_5000,30000_30001_1,30000_30002_1,30000_30003_1</v>
      </c>
    </row>
    <row r="1023" spans="1:14">
      <c r="A1023" s="1" t="str">
        <f>equip.xml!A1027</f>
        <v>40051061</v>
      </c>
      <c r="B1023" s="1">
        <f>equip.xml!B1027</f>
        <v>0</v>
      </c>
      <c r="C1023" s="1" t="str">
        <f>equip.xml!C1027</f>
        <v>尖头盾</v>
      </c>
      <c r="D1023" s="1" t="str">
        <f>equip.xml!D1027</f>
        <v>副手武器</v>
      </c>
      <c r="E1023" s="1">
        <f>equip.xml!E1027</f>
        <v>6</v>
      </c>
      <c r="F1023" s="1">
        <f>equip.xml!F1027</f>
        <v>4</v>
      </c>
      <c r="G1023" s="1">
        <f>equip.xml!G1027</f>
        <v>5</v>
      </c>
      <c r="H1023" s="1" t="str">
        <f>equip.xml!H1027</f>
        <v>1,1001</v>
      </c>
      <c r="I1023" s="1">
        <f>equip.xml!J1027</f>
        <v>50</v>
      </c>
      <c r="J1023" s="1">
        <f>equip.xml!K1027</f>
        <v>500</v>
      </c>
      <c r="K1023" s="1">
        <f>equip.xml!L1027</f>
        <v>0</v>
      </c>
      <c r="L1023" s="1" t="str">
        <f>equip.xml!M1027</f>
        <v>105_19_19</v>
      </c>
      <c r="M1023" s="7" t="str">
        <f>equip.xml!Q1027</f>
        <v>equipment/2101.png</v>
      </c>
      <c r="N1023" t="str">
        <f>equip.xml!P1027</f>
        <v>10000_1002_5000,30000_30001_1,30000_30002_1,30000_30003_1</v>
      </c>
    </row>
    <row r="1024" spans="1:14">
      <c r="A1024" s="1" t="str">
        <f>equip.xml!A1028</f>
        <v>40052050</v>
      </c>
      <c r="B1024" s="1">
        <f>equip.xml!B1028</f>
        <v>1</v>
      </c>
      <c r="C1024" s="1" t="str">
        <f>equip.xml!C1028</f>
        <v>硬弓</v>
      </c>
      <c r="D1024" s="1" t="str">
        <f>equip.xml!D1028</f>
        <v>主手武器</v>
      </c>
      <c r="E1024" s="1">
        <f>equip.xml!E1028</f>
        <v>5</v>
      </c>
      <c r="F1024" s="1">
        <f>equip.xml!F1028</f>
        <v>4</v>
      </c>
      <c r="G1024" s="1">
        <f>equip.xml!G1028</f>
        <v>5</v>
      </c>
      <c r="H1024" s="1" t="str">
        <f>equip.xml!H1028</f>
        <v>2,1002</v>
      </c>
      <c r="I1024" s="1">
        <f>equip.xml!J1028</f>
        <v>50</v>
      </c>
      <c r="J1024" s="1">
        <f>equip.xml!K1028</f>
        <v>500</v>
      </c>
      <c r="K1024" s="1">
        <f>equip.xml!L1028</f>
        <v>0</v>
      </c>
      <c r="L1024" s="1" t="str">
        <f>equip.xml!M1028</f>
        <v>103_10_10,104_20_20</v>
      </c>
      <c r="M1024" s="7" t="str">
        <f>equip.xml!Q1028</f>
        <v>equipment/1204.png</v>
      </c>
      <c r="N1024" t="str">
        <f>equip.xml!P1028</f>
        <v>10000_1002_5000,30000_30001_1,30000_30002_1,30000_30003_1</v>
      </c>
    </row>
    <row r="1025" spans="1:14">
      <c r="A1025" s="1" t="str">
        <f>equip.xml!A1029</f>
        <v>40052051</v>
      </c>
      <c r="B1025" s="1">
        <f>equip.xml!B1029</f>
        <v>1</v>
      </c>
      <c r="C1025" s="1" t="str">
        <f>equip.xml!C1029</f>
        <v>反曲弓</v>
      </c>
      <c r="D1025" s="1" t="str">
        <f>equip.xml!D1029</f>
        <v>主手武器</v>
      </c>
      <c r="E1025" s="1">
        <f>equip.xml!E1029</f>
        <v>5</v>
      </c>
      <c r="F1025" s="1">
        <f>equip.xml!F1029</f>
        <v>4</v>
      </c>
      <c r="G1025" s="1">
        <f>equip.xml!G1029</f>
        <v>5</v>
      </c>
      <c r="H1025" s="1" t="str">
        <f>equip.xml!H1029</f>
        <v>2,1002</v>
      </c>
      <c r="I1025" s="1">
        <f>equip.xml!J1029</f>
        <v>50</v>
      </c>
      <c r="J1025" s="1">
        <f>equip.xml!K1029</f>
        <v>500</v>
      </c>
      <c r="K1025" s="1">
        <f>equip.xml!L1029</f>
        <v>0</v>
      </c>
      <c r="L1025" s="1" t="str">
        <f>equip.xml!M1029</f>
        <v>103_18_18,104_38_38</v>
      </c>
      <c r="M1025" s="7" t="str">
        <f>equip.xml!Q1029</f>
        <v>equipment/1203.png</v>
      </c>
      <c r="N1025" t="str">
        <f>equip.xml!P1029</f>
        <v>10000_1002_5000,30000_30001_1,30000_30002_1,30000_30003_1</v>
      </c>
    </row>
    <row r="1026" spans="1:14">
      <c r="A1026" s="1" t="str">
        <f>equip.xml!A1030</f>
        <v>40052060</v>
      </c>
      <c r="B1026" s="1">
        <f>equip.xml!B1030</f>
        <v>1</v>
      </c>
      <c r="C1026" s="1" t="str">
        <f>equip.xml!C1030</f>
        <v>箭筒</v>
      </c>
      <c r="D1026" s="1" t="str">
        <f>equip.xml!D1030</f>
        <v>副手武器</v>
      </c>
      <c r="E1026" s="1">
        <f>equip.xml!E1030</f>
        <v>6</v>
      </c>
      <c r="F1026" s="1">
        <f>equip.xml!F1030</f>
        <v>4</v>
      </c>
      <c r="G1026" s="1">
        <f>equip.xml!G1030</f>
        <v>5</v>
      </c>
      <c r="H1026" s="1" t="str">
        <f>equip.xml!H1030</f>
        <v>2,1002</v>
      </c>
      <c r="I1026" s="1">
        <f>equip.xml!J1030</f>
        <v>50</v>
      </c>
      <c r="J1026" s="1">
        <f>equip.xml!K1030</f>
        <v>500</v>
      </c>
      <c r="K1026" s="1">
        <f>equip.xml!L1030</f>
        <v>0</v>
      </c>
      <c r="L1026" s="1" t="str">
        <f>equip.xml!M1030</f>
        <v>108_12_12</v>
      </c>
      <c r="M1026" s="7" t="str">
        <f>equip.xml!Q1030</f>
        <v>equipment/2202.png</v>
      </c>
      <c r="N1026" t="str">
        <f>equip.xml!P1030</f>
        <v>10000_1002_5000,30000_30001_1,30000_30002_1,30000_30003_1</v>
      </c>
    </row>
    <row r="1027" spans="1:14">
      <c r="A1027" s="1" t="str">
        <f>equip.xml!A1031</f>
        <v>40052061</v>
      </c>
      <c r="B1027" s="1">
        <f>equip.xml!B1031</f>
        <v>0</v>
      </c>
      <c r="C1027" s="1" t="str">
        <f>equip.xml!C1031</f>
        <v>箭筒</v>
      </c>
      <c r="D1027" s="1" t="str">
        <f>equip.xml!D1031</f>
        <v>副手武器</v>
      </c>
      <c r="E1027" s="1">
        <f>equip.xml!E1031</f>
        <v>6</v>
      </c>
      <c r="F1027" s="1">
        <f>equip.xml!F1031</f>
        <v>4</v>
      </c>
      <c r="G1027" s="1">
        <f>equip.xml!G1031</f>
        <v>5</v>
      </c>
      <c r="H1027" s="1" t="str">
        <f>equip.xml!H1031</f>
        <v>2,1002</v>
      </c>
      <c r="I1027" s="1">
        <f>equip.xml!J1031</f>
        <v>50</v>
      </c>
      <c r="J1027" s="1">
        <f>equip.xml!K1031</f>
        <v>500</v>
      </c>
      <c r="K1027" s="1">
        <f>equip.xml!L1031</f>
        <v>0</v>
      </c>
      <c r="L1027" s="1" t="str">
        <f>equip.xml!M1031</f>
        <v>108_19_19</v>
      </c>
      <c r="M1027" s="7" t="str">
        <f>equip.xml!Q1031</f>
        <v>equipment/2201.png</v>
      </c>
      <c r="N1027" t="str">
        <f>equip.xml!P1031</f>
        <v>10000_1002_5000,30000_30001_1,30000_30002_1,30000_30003_1</v>
      </c>
    </row>
    <row r="1028" spans="1:14">
      <c r="A1028" s="1" t="str">
        <f>equip.xml!A1032</f>
        <v>40053050</v>
      </c>
      <c r="B1028" s="1">
        <f>equip.xml!B1032</f>
        <v>1</v>
      </c>
      <c r="C1028" s="1" t="str">
        <f>equip.xml!C1032</f>
        <v>巫术之杖</v>
      </c>
      <c r="D1028" s="1" t="str">
        <f>equip.xml!D1032</f>
        <v>主手武器</v>
      </c>
      <c r="E1028" s="1">
        <f>equip.xml!E1032</f>
        <v>5</v>
      </c>
      <c r="F1028" s="1">
        <f>equip.xml!F1032</f>
        <v>4</v>
      </c>
      <c r="G1028" s="1">
        <f>equip.xml!G1032</f>
        <v>5</v>
      </c>
      <c r="H1028" s="1" t="str">
        <f>equip.xml!H1032</f>
        <v>3,1003</v>
      </c>
      <c r="I1028" s="1">
        <f>equip.xml!J1032</f>
        <v>50</v>
      </c>
      <c r="J1028" s="1">
        <f>equip.xml!K1032</f>
        <v>500</v>
      </c>
      <c r="K1028" s="1">
        <f>equip.xml!L1032</f>
        <v>0</v>
      </c>
      <c r="L1028" s="1" t="str">
        <f>equip.xml!M1032</f>
        <v>103_10_10,104_20_20</v>
      </c>
      <c r="M1028" s="7" t="str">
        <f>equip.xml!Q1032</f>
        <v>equipment/1303.png</v>
      </c>
      <c r="N1028" t="str">
        <f>equip.xml!P1032</f>
        <v>10000_1002_5000,30000_30001_1,30000_30002_1,30000_30003_1</v>
      </c>
    </row>
    <row r="1029" spans="1:14">
      <c r="A1029" s="1" t="str">
        <f>equip.xml!A1033</f>
        <v>40053051</v>
      </c>
      <c r="B1029" s="1">
        <f>equip.xml!B1033</f>
        <v>1</v>
      </c>
      <c r="C1029" s="1" t="str">
        <f>equip.xml!C1033</f>
        <v>秘术法杖</v>
      </c>
      <c r="D1029" s="1" t="str">
        <f>equip.xml!D1033</f>
        <v>主手武器</v>
      </c>
      <c r="E1029" s="1">
        <f>equip.xml!E1033</f>
        <v>5</v>
      </c>
      <c r="F1029" s="1">
        <f>equip.xml!F1033</f>
        <v>4</v>
      </c>
      <c r="G1029" s="1">
        <f>equip.xml!G1033</f>
        <v>5</v>
      </c>
      <c r="H1029" s="1" t="str">
        <f>equip.xml!H1033</f>
        <v>3,1003</v>
      </c>
      <c r="I1029" s="1">
        <f>equip.xml!J1033</f>
        <v>50</v>
      </c>
      <c r="J1029" s="1">
        <f>equip.xml!K1033</f>
        <v>500</v>
      </c>
      <c r="K1029" s="1">
        <f>equip.xml!L1033</f>
        <v>0</v>
      </c>
      <c r="L1029" s="1" t="str">
        <f>equip.xml!M1033</f>
        <v>103_18_18,104_38_38</v>
      </c>
      <c r="M1029" s="7" t="str">
        <f>equip.xml!Q1033</f>
        <v>equipment/1304.png</v>
      </c>
      <c r="N1029" t="str">
        <f>equip.xml!P1033</f>
        <v>10000_1002_5000,30000_30001_1,30000_30002_1,30000_30003_1</v>
      </c>
    </row>
    <row r="1030" spans="1:14">
      <c r="A1030" s="1" t="str">
        <f>equip.xml!A1034</f>
        <v>40053060</v>
      </c>
      <c r="B1030" s="1">
        <f>equip.xml!B1034</f>
        <v>1</v>
      </c>
      <c r="C1030" s="1" t="str">
        <f>equip.xml!C1034</f>
        <v>法术指南</v>
      </c>
      <c r="D1030" s="1" t="str">
        <f>equip.xml!D1034</f>
        <v>副手武器</v>
      </c>
      <c r="E1030" s="1">
        <f>equip.xml!E1034</f>
        <v>6</v>
      </c>
      <c r="F1030" s="1">
        <f>equip.xml!F1034</f>
        <v>4</v>
      </c>
      <c r="G1030" s="1">
        <f>equip.xml!G1034</f>
        <v>5</v>
      </c>
      <c r="H1030" s="1" t="str">
        <f>equip.xml!H1034</f>
        <v>3,1003</v>
      </c>
      <c r="I1030" s="1">
        <f>equip.xml!J1034</f>
        <v>50</v>
      </c>
      <c r="J1030" s="1">
        <f>equip.xml!K1034</f>
        <v>500</v>
      </c>
      <c r="K1030" s="1">
        <f>equip.xml!L1034</f>
        <v>0</v>
      </c>
      <c r="L1030" s="1" t="str">
        <f>equip.xml!M1034</f>
        <v>102_110_110</v>
      </c>
      <c r="M1030" s="7" t="str">
        <f>equip.xml!Q1034</f>
        <v>equipment/2302.png</v>
      </c>
      <c r="N1030" t="str">
        <f>equip.xml!P1034</f>
        <v>10000_1002_5000,30000_30001_1,30000_30002_1,30000_30003_1</v>
      </c>
    </row>
    <row r="1031" spans="1:14">
      <c r="A1031" s="1" t="str">
        <f>equip.xml!A1035</f>
        <v>40053061</v>
      </c>
      <c r="B1031" s="1">
        <f>equip.xml!B1035</f>
        <v>0</v>
      </c>
      <c r="C1031" s="1" t="str">
        <f>equip.xml!C1035</f>
        <v>法术指南</v>
      </c>
      <c r="D1031" s="1" t="str">
        <f>equip.xml!D1035</f>
        <v>副手武器</v>
      </c>
      <c r="E1031" s="1">
        <f>equip.xml!E1035</f>
        <v>6</v>
      </c>
      <c r="F1031" s="1">
        <f>equip.xml!F1035</f>
        <v>4</v>
      </c>
      <c r="G1031" s="1">
        <f>equip.xml!G1035</f>
        <v>5</v>
      </c>
      <c r="H1031" s="1" t="str">
        <f>equip.xml!H1035</f>
        <v>3,1003</v>
      </c>
      <c r="I1031" s="1">
        <f>equip.xml!J1035</f>
        <v>50</v>
      </c>
      <c r="J1031" s="1">
        <f>equip.xml!K1035</f>
        <v>500</v>
      </c>
      <c r="K1031" s="1">
        <f>equip.xml!L1035</f>
        <v>0</v>
      </c>
      <c r="L1031" s="1" t="str">
        <f>equip.xml!M1035</f>
        <v>102_19_19</v>
      </c>
      <c r="M1031" s="7" t="str">
        <f>equip.xml!Q1035</f>
        <v>equipment/2301.png</v>
      </c>
      <c r="N1031" t="str">
        <f>equip.xml!P1035</f>
        <v>10000_1002_5000,30000_30001_1,30000_30002_1,30000_30003_1</v>
      </c>
    </row>
    <row r="1032" spans="1:14">
      <c r="A1032" s="1" t="str">
        <f>equip.xml!A1036</f>
        <v>40050040</v>
      </c>
      <c r="B1032" s="1">
        <f>equip.xml!B1036</f>
        <v>1</v>
      </c>
      <c r="C1032" s="1" t="str">
        <f>equip.xml!C1036</f>
        <v>锁甲外套</v>
      </c>
      <c r="D1032" s="1" t="str">
        <f>equip.xml!D1036</f>
        <v>胸甲</v>
      </c>
      <c r="E1032" s="1">
        <f>equip.xml!E1036</f>
        <v>4</v>
      </c>
      <c r="F1032" s="1">
        <f>equip.xml!F1036</f>
        <v>4</v>
      </c>
      <c r="G1032" s="1">
        <f>equip.xml!G1036</f>
        <v>5</v>
      </c>
      <c r="H1032" s="1">
        <f>equip.xml!H1036</f>
        <v>0</v>
      </c>
      <c r="I1032" s="1">
        <f>equip.xml!J1036</f>
        <v>50</v>
      </c>
      <c r="J1032" s="1">
        <f>equip.xml!K1036</f>
        <v>500</v>
      </c>
      <c r="K1032" s="1">
        <f>equip.xml!L1036</f>
        <v>0</v>
      </c>
      <c r="L1032" s="1" t="str">
        <f>equip.xml!M1036</f>
        <v>105_9_9</v>
      </c>
      <c r="M1032" s="7" t="str">
        <f>equip.xml!Q1036</f>
        <v>equipment/5002.png</v>
      </c>
      <c r="N1032" t="str">
        <f>equip.xml!P1036</f>
        <v>10000_1002_5000,30000_30001_1,30000_30002_1,30000_30003_1</v>
      </c>
    </row>
    <row r="1033" spans="1:14">
      <c r="A1033" s="1" t="str">
        <f>equip.xml!A1037</f>
        <v>40050041</v>
      </c>
      <c r="B1033" s="1">
        <f>equip.xml!B1037</f>
        <v>1</v>
      </c>
      <c r="C1033" s="1" t="str">
        <f>equip.xml!C1037</f>
        <v>战士胸甲</v>
      </c>
      <c r="D1033" s="1" t="str">
        <f>equip.xml!D1037</f>
        <v>胸甲</v>
      </c>
      <c r="E1033" s="1">
        <f>equip.xml!E1037</f>
        <v>4</v>
      </c>
      <c r="F1033" s="1">
        <f>equip.xml!F1037</f>
        <v>4</v>
      </c>
      <c r="G1033" s="1">
        <f>equip.xml!G1037</f>
        <v>5</v>
      </c>
      <c r="H1033" s="1">
        <f>equip.xml!H1037</f>
        <v>0</v>
      </c>
      <c r="I1033" s="1">
        <f>equip.xml!J1037</f>
        <v>50</v>
      </c>
      <c r="J1033" s="1">
        <f>equip.xml!K1037</f>
        <v>500</v>
      </c>
      <c r="K1033" s="1">
        <f>equip.xml!L1037</f>
        <v>0</v>
      </c>
      <c r="L1033" s="1" t="str">
        <f>equip.xml!M1037</f>
        <v>105_13_13</v>
      </c>
      <c r="M1033" s="7" t="str">
        <f>equip.xml!Q1037</f>
        <v>equipment/5003.png</v>
      </c>
      <c r="N1033" t="str">
        <f>equip.xml!P1037</f>
        <v>10000_1002_5000,30000_30001_1,30000_30002_1,30000_30003_1</v>
      </c>
    </row>
    <row r="1034" spans="1:14">
      <c r="A1034" s="1" t="str">
        <f>equip.xml!A1038</f>
        <v>40050070</v>
      </c>
      <c r="B1034" s="1">
        <f>equip.xml!B1038</f>
        <v>1</v>
      </c>
      <c r="C1034" s="1" t="str">
        <f>equip.xml!C1038</f>
        <v>皮甲短裤</v>
      </c>
      <c r="D1034" s="1" t="str">
        <f>equip.xml!D1038</f>
        <v>护腿</v>
      </c>
      <c r="E1034" s="1">
        <f>equip.xml!E1038</f>
        <v>7</v>
      </c>
      <c r="F1034" s="1">
        <f>equip.xml!F1038</f>
        <v>4</v>
      </c>
      <c r="G1034" s="1">
        <f>equip.xml!G1038</f>
        <v>5</v>
      </c>
      <c r="H1034" s="1">
        <f>equip.xml!H1038</f>
        <v>0</v>
      </c>
      <c r="I1034" s="1">
        <f>equip.xml!J1038</f>
        <v>50</v>
      </c>
      <c r="J1034" s="1">
        <f>equip.xml!K1038</f>
        <v>500</v>
      </c>
      <c r="K1034" s="1">
        <f>equip.xml!L1038</f>
        <v>0</v>
      </c>
      <c r="L1034" s="1" t="str">
        <f>equip.xml!M1038</f>
        <v>105_3_3</v>
      </c>
      <c r="M1034" s="7" t="str">
        <f>equip.xml!Q1038</f>
        <v>equipment/7001.png</v>
      </c>
      <c r="N1034" t="str">
        <f>equip.xml!P1038</f>
        <v>10000_1002_5000,30000_30001_1,30000_30002_1,30000_30003_1</v>
      </c>
    </row>
    <row r="1035" spans="1:14">
      <c r="A1035" s="1" t="str">
        <f>equip.xml!A1039</f>
        <v>40050071</v>
      </c>
      <c r="B1035" s="1">
        <f>equip.xml!B1039</f>
        <v>1</v>
      </c>
      <c r="C1035" s="1" t="str">
        <f>equip.xml!C1039</f>
        <v>学徒短裤</v>
      </c>
      <c r="D1035" s="1" t="str">
        <f>equip.xml!D1039</f>
        <v>护腿</v>
      </c>
      <c r="E1035" s="1">
        <f>equip.xml!E1039</f>
        <v>7</v>
      </c>
      <c r="F1035" s="1">
        <f>equip.xml!F1039</f>
        <v>4</v>
      </c>
      <c r="G1035" s="1">
        <f>equip.xml!G1039</f>
        <v>5</v>
      </c>
      <c r="H1035" s="1">
        <f>equip.xml!H1039</f>
        <v>0</v>
      </c>
      <c r="I1035" s="1">
        <f>equip.xml!J1039</f>
        <v>50</v>
      </c>
      <c r="J1035" s="1">
        <f>equip.xml!K1039</f>
        <v>500</v>
      </c>
      <c r="K1035" s="1">
        <f>equip.xml!L1039</f>
        <v>0</v>
      </c>
      <c r="L1035" s="1" t="str">
        <f>equip.xml!M1039</f>
        <v>105_10_10</v>
      </c>
      <c r="M1035" s="7" t="str">
        <f>equip.xml!Q1039</f>
        <v>equipment/7002.png</v>
      </c>
      <c r="N1035" t="str">
        <f>equip.xml!P1039</f>
        <v>10000_1002_5000,30000_30001_1,30000_30002_1,30000_30003_1</v>
      </c>
    </row>
    <row r="1036" spans="1:14">
      <c r="A1036" s="1" t="str">
        <f>equip.xml!A1040</f>
        <v>40100010</v>
      </c>
      <c r="B1036" s="1">
        <f>equip.xml!B1040</f>
        <v>1</v>
      </c>
      <c r="C1036" s="1" t="str">
        <f>equip.xml!C1040</f>
        <v>轻便头盔</v>
      </c>
      <c r="D1036" s="1" t="str">
        <f>equip.xml!D1040</f>
        <v>头盔</v>
      </c>
      <c r="E1036" s="1">
        <f>equip.xml!E1040</f>
        <v>1</v>
      </c>
      <c r="F1036" s="1">
        <f>equip.xml!F1040</f>
        <v>4</v>
      </c>
      <c r="G1036" s="1">
        <f>equip.xml!G1040</f>
        <v>10</v>
      </c>
      <c r="H1036" s="1">
        <f>equip.xml!H1040</f>
        <v>0</v>
      </c>
      <c r="I1036" s="1">
        <f>equip.xml!J1040</f>
        <v>50</v>
      </c>
      <c r="J1036" s="1">
        <f>equip.xml!K1040</f>
        <v>500</v>
      </c>
      <c r="K1036" s="1">
        <f>equip.xml!L1040</f>
        <v>7500</v>
      </c>
      <c r="L1036" s="1" t="str">
        <f>equip.xml!M1040</f>
        <v>106_64_64</v>
      </c>
      <c r="M1036" s="7" t="str">
        <f>equip.xml!Q1040</f>
        <v>equipment/3002.png</v>
      </c>
      <c r="N1036" t="str">
        <f>equip.xml!P1040</f>
        <v>10000_1002_10000,30000_30001_1,30000_30002_1,30000_30003_1</v>
      </c>
    </row>
    <row r="1037" spans="1:14">
      <c r="A1037" s="1" t="str">
        <f>equip.xml!A1041</f>
        <v>40100020</v>
      </c>
      <c r="B1037" s="1">
        <f>equip.xml!B1041</f>
        <v>1</v>
      </c>
      <c r="C1037" s="1" t="str">
        <f>equip.xml!C1041</f>
        <v>宝石戒指</v>
      </c>
      <c r="D1037" s="1" t="str">
        <f>equip.xml!D1041</f>
        <v>戒指</v>
      </c>
      <c r="E1037" s="1">
        <f>equip.xml!E1041</f>
        <v>2</v>
      </c>
      <c r="F1037" s="1">
        <f>equip.xml!F1041</f>
        <v>4</v>
      </c>
      <c r="G1037" s="1">
        <f>equip.xml!G1041</f>
        <v>10</v>
      </c>
      <c r="H1037" s="1">
        <f>equip.xml!H1041</f>
        <v>0</v>
      </c>
      <c r="I1037" s="1">
        <f>equip.xml!J1041</f>
        <v>50</v>
      </c>
      <c r="J1037" s="1">
        <f>equip.xml!K1041</f>
        <v>500</v>
      </c>
      <c r="K1037" s="1">
        <f>equip.xml!L1041</f>
        <v>7500</v>
      </c>
      <c r="L1037" s="1" t="str">
        <f>equip.xml!M1041</f>
        <v>102_150_150</v>
      </c>
      <c r="M1037" s="7" t="str">
        <f>equip.xml!Q1041</f>
        <v>equipment/14002.png</v>
      </c>
      <c r="N1037" t="str">
        <f>equip.xml!P1041</f>
        <v>10000_1002_10000,30000_30001_1,30000_30002_1,30000_30003_1</v>
      </c>
    </row>
    <row r="1038" spans="1:14">
      <c r="A1038" s="1" t="str">
        <f>equip.xml!A1042</f>
        <v>40100030</v>
      </c>
      <c r="B1038" s="1">
        <f>equip.xml!B1042</f>
        <v>1</v>
      </c>
      <c r="C1038" s="1" t="str">
        <f>equip.xml!C1042</f>
        <v>坚硬皮带</v>
      </c>
      <c r="D1038" s="1" t="str">
        <f>equip.xml!D1042</f>
        <v>腰带</v>
      </c>
      <c r="E1038" s="1">
        <f>equip.xml!E1042</f>
        <v>3</v>
      </c>
      <c r="F1038" s="1">
        <f>equip.xml!F1042</f>
        <v>4</v>
      </c>
      <c r="G1038" s="1">
        <f>equip.xml!G1042</f>
        <v>10</v>
      </c>
      <c r="H1038" s="1">
        <f>equip.xml!H1042</f>
        <v>0</v>
      </c>
      <c r="I1038" s="1">
        <f>equip.xml!J1042</f>
        <v>50</v>
      </c>
      <c r="J1038" s="1">
        <f>equip.xml!K1042</f>
        <v>500</v>
      </c>
      <c r="K1038" s="1">
        <f>equip.xml!L1042</f>
        <v>7500</v>
      </c>
      <c r="L1038" s="1" t="str">
        <f>equip.xml!M1042</f>
        <v>101_480_480</v>
      </c>
      <c r="M1038" s="7" t="str">
        <f>equip.xml!Q1042</f>
        <v>equipment/6002.png</v>
      </c>
      <c r="N1038" t="str">
        <f>equip.xml!P1042</f>
        <v>10000_1002_10000,30000_30001_1,30000_30002_1,30000_30003_1</v>
      </c>
    </row>
    <row r="1039" spans="1:14">
      <c r="A1039" s="1" t="str">
        <f>equip.xml!A1043</f>
        <v>40100080</v>
      </c>
      <c r="B1039" s="1">
        <f>equip.xml!B1043</f>
        <v>1</v>
      </c>
      <c r="C1039" s="1" t="str">
        <f>equip.xml!C1043</f>
        <v>软垫靴</v>
      </c>
      <c r="D1039" s="1" t="str">
        <f>equip.xml!D1043</f>
        <v>鞋子</v>
      </c>
      <c r="E1039" s="1">
        <f>equip.xml!E1043</f>
        <v>8</v>
      </c>
      <c r="F1039" s="1">
        <f>equip.xml!F1043</f>
        <v>4</v>
      </c>
      <c r="G1039" s="1">
        <f>equip.xml!G1043</f>
        <v>10</v>
      </c>
      <c r="H1039" s="1">
        <f>equip.xml!H1043</f>
        <v>0</v>
      </c>
      <c r="I1039" s="1">
        <f>equip.xml!J1043</f>
        <v>50</v>
      </c>
      <c r="J1039" s="1">
        <f>equip.xml!K1043</f>
        <v>500</v>
      </c>
      <c r="K1039" s="1">
        <f>equip.xml!L1043</f>
        <v>7500</v>
      </c>
      <c r="L1039" s="1" t="str">
        <f>equip.xml!M1043</f>
        <v>110_12_12</v>
      </c>
      <c r="M1039" s="7" t="str">
        <f>equip.xml!Q1043</f>
        <v>equipment/8002.png</v>
      </c>
      <c r="N1039" t="str">
        <f>equip.xml!P1043</f>
        <v>10000_1002_10000,30000_30001_1,30000_30002_1,30000_30003_1</v>
      </c>
    </row>
    <row r="1040" spans="1:14">
      <c r="A1040" s="1" t="str">
        <f>equip.xml!A1044</f>
        <v>40100090</v>
      </c>
      <c r="B1040" s="1">
        <f>equip.xml!B1044</f>
        <v>1</v>
      </c>
      <c r="C1040" s="1" t="str">
        <f>equip.xml!C1044</f>
        <v>步兵护手</v>
      </c>
      <c r="D1040" s="1" t="str">
        <f>equip.xml!D1044</f>
        <v>手套</v>
      </c>
      <c r="E1040" s="1">
        <f>equip.xml!E1044</f>
        <v>9</v>
      </c>
      <c r="F1040" s="1">
        <f>equip.xml!F1044</f>
        <v>4</v>
      </c>
      <c r="G1040" s="1">
        <f>equip.xml!G1044</f>
        <v>10</v>
      </c>
      <c r="H1040" s="1">
        <f>equip.xml!H1044</f>
        <v>0</v>
      </c>
      <c r="I1040" s="1">
        <f>equip.xml!J1044</f>
        <v>50</v>
      </c>
      <c r="J1040" s="1">
        <f>equip.xml!K1044</f>
        <v>500</v>
      </c>
      <c r="K1040" s="1">
        <f>equip.xml!L1044</f>
        <v>7500</v>
      </c>
      <c r="L1040" s="1" t="str">
        <f>equip.xml!M1044</f>
        <v>108_43_43</v>
      </c>
      <c r="M1040" s="7" t="str">
        <f>equip.xml!Q1044</f>
        <v>equipment/10002.png</v>
      </c>
      <c r="N1040" t="str">
        <f>equip.xml!P1044</f>
        <v>10000_1002_10000,30000_30001_1,30000_30002_1,30000_30003_1</v>
      </c>
    </row>
    <row r="1041" spans="1:14">
      <c r="A1041" s="1" t="str">
        <f>equip.xml!A1045</f>
        <v>40100100</v>
      </c>
      <c r="B1041" s="1">
        <f>equip.xml!B1045</f>
        <v>0</v>
      </c>
      <c r="C1041" s="1" t="str">
        <f>equip.xml!C1045</f>
        <v>贝壳项链</v>
      </c>
      <c r="D1041" s="1" t="str">
        <f>equip.xml!D1045</f>
        <v>项链</v>
      </c>
      <c r="E1041" s="1">
        <f>equip.xml!E1045</f>
        <v>10</v>
      </c>
      <c r="F1041" s="1">
        <f>equip.xml!F1045</f>
        <v>4</v>
      </c>
      <c r="G1041" s="1">
        <f>equip.xml!G1045</f>
        <v>10</v>
      </c>
      <c r="H1041" s="1">
        <f>equip.xml!H1045</f>
        <v>0</v>
      </c>
      <c r="I1041" s="1">
        <f>equip.xml!J1045</f>
        <v>50</v>
      </c>
      <c r="J1041" s="1">
        <f>equip.xml!K1045</f>
        <v>500</v>
      </c>
      <c r="K1041" s="1">
        <f>equip.xml!L1045</f>
        <v>7500</v>
      </c>
      <c r="L1041" s="1" t="str">
        <f>equip.xml!M1045</f>
        <v>107_20_20</v>
      </c>
      <c r="M1041" s="7" t="str">
        <f>equip.xml!Q1045</f>
        <v>equipment/12001.png</v>
      </c>
      <c r="N1041" t="str">
        <f>equip.xml!P1045</f>
        <v>10000_1002_10000,30000_30001_1,30000_30002_1,30000_30003_1</v>
      </c>
    </row>
    <row r="1042" spans="1:14">
      <c r="A1042" s="1" t="str">
        <f>equip.xml!A1046</f>
        <v>40101050</v>
      </c>
      <c r="B1042" s="1">
        <f>equip.xml!B1046</f>
        <v>1</v>
      </c>
      <c r="C1042" s="1" t="str">
        <f>equip.xml!C1046</f>
        <v>护卫之刃</v>
      </c>
      <c r="D1042" s="1" t="str">
        <f>equip.xml!D1046</f>
        <v>主手武器</v>
      </c>
      <c r="E1042" s="1">
        <f>equip.xml!E1046</f>
        <v>5</v>
      </c>
      <c r="F1042" s="1">
        <f>equip.xml!F1046</f>
        <v>4</v>
      </c>
      <c r="G1042" s="1">
        <f>equip.xml!G1046</f>
        <v>10</v>
      </c>
      <c r="H1042" s="1" t="str">
        <f>equip.xml!H1046</f>
        <v>1,1001</v>
      </c>
      <c r="I1042" s="1">
        <f>equip.xml!J1046</f>
        <v>50</v>
      </c>
      <c r="J1042" s="1">
        <f>equip.xml!K1046</f>
        <v>500</v>
      </c>
      <c r="K1042" s="1">
        <f>equip.xml!L1046</f>
        <v>7500</v>
      </c>
      <c r="L1042" s="1" t="str">
        <f>equip.xml!M1046</f>
        <v>103_32_32,104_64_64</v>
      </c>
      <c r="M1042" s="7" t="str">
        <f>equip.xml!Q1046</f>
        <v>equipment/1105.png</v>
      </c>
      <c r="N1042" t="str">
        <f>equip.xml!P1046</f>
        <v>10000_1002_10000,30000_30001_1,30000_30002_1,30000_30003_1</v>
      </c>
    </row>
    <row r="1043" spans="1:14">
      <c r="A1043" s="1" t="str">
        <f>equip.xml!A1047</f>
        <v>40101051</v>
      </c>
      <c r="B1043" s="1">
        <f>equip.xml!B1047</f>
        <v>1</v>
      </c>
      <c r="C1043" s="1" t="str">
        <f>equip.xml!C1047</f>
        <v>铜铸重剑</v>
      </c>
      <c r="D1043" s="1" t="str">
        <f>equip.xml!D1047</f>
        <v>主手武器</v>
      </c>
      <c r="E1043" s="1">
        <f>equip.xml!E1047</f>
        <v>5</v>
      </c>
      <c r="F1043" s="1">
        <f>equip.xml!F1047</f>
        <v>4</v>
      </c>
      <c r="G1043" s="1">
        <f>equip.xml!G1047</f>
        <v>10</v>
      </c>
      <c r="H1043" s="1" t="str">
        <f>equip.xml!H1047</f>
        <v>1,1001</v>
      </c>
      <c r="I1043" s="1">
        <f>equip.xml!J1047</f>
        <v>50</v>
      </c>
      <c r="J1043" s="1">
        <f>equip.xml!K1047</f>
        <v>500</v>
      </c>
      <c r="K1043" s="1">
        <f>equip.xml!L1047</f>
        <v>10000</v>
      </c>
      <c r="L1043" s="1" t="str">
        <f>equip.xml!M1047</f>
        <v>103_40_40,104_80_80</v>
      </c>
      <c r="M1043" s="7" t="str">
        <f>equip.xml!Q1047</f>
        <v>equipment/1106.png</v>
      </c>
      <c r="N1043" t="str">
        <f>equip.xml!P1047</f>
        <v>10000_1002_10000,30000_30001_1,30000_30002_1,30000_30003_1</v>
      </c>
    </row>
    <row r="1044" spans="1:14">
      <c r="A1044" s="1" t="str">
        <f>equip.xml!A1048</f>
        <v>40101060</v>
      </c>
      <c r="B1044" s="1">
        <f>equip.xml!B1048</f>
        <v>1</v>
      </c>
      <c r="C1044" s="1" t="str">
        <f>equip.xml!C1048</f>
        <v>金属大盾</v>
      </c>
      <c r="D1044" s="1" t="str">
        <f>equip.xml!D1048</f>
        <v>副手武器</v>
      </c>
      <c r="E1044" s="1">
        <f>equip.xml!E1048</f>
        <v>6</v>
      </c>
      <c r="F1044" s="1">
        <f>equip.xml!F1048</f>
        <v>4</v>
      </c>
      <c r="G1044" s="1">
        <f>equip.xml!G1048</f>
        <v>10</v>
      </c>
      <c r="H1044" s="1" t="str">
        <f>equip.xml!H1048</f>
        <v>1,1001</v>
      </c>
      <c r="I1044" s="1">
        <f>equip.xml!J1048</f>
        <v>50</v>
      </c>
      <c r="J1044" s="1">
        <f>equip.xml!K1048</f>
        <v>500</v>
      </c>
      <c r="K1044" s="1">
        <f>equip.xml!L1048</f>
        <v>7500</v>
      </c>
      <c r="L1044" s="1" t="str">
        <f>equip.xml!M1048</f>
        <v>105_30_30</v>
      </c>
      <c r="M1044" s="7" t="str">
        <f>equip.xml!Q1048</f>
        <v>equipment/2103.png</v>
      </c>
      <c r="N1044" t="str">
        <f>equip.xml!P1048</f>
        <v>10000_1002_10000,30000_30001_1,30000_30002_1,30000_30003_1</v>
      </c>
    </row>
    <row r="1045" spans="1:14">
      <c r="A1045" s="1" t="str">
        <f>equip.xml!A1049</f>
        <v>40101061</v>
      </c>
      <c r="B1045" s="1">
        <f>equip.xml!B1049</f>
        <v>0</v>
      </c>
      <c r="C1045" s="1" t="str">
        <f>equip.xml!C1049</f>
        <v>尖头盾</v>
      </c>
      <c r="D1045" s="1" t="str">
        <f>equip.xml!D1049</f>
        <v>副手武器</v>
      </c>
      <c r="E1045" s="1">
        <f>equip.xml!E1049</f>
        <v>6</v>
      </c>
      <c r="F1045" s="1">
        <f>equip.xml!F1049</f>
        <v>4</v>
      </c>
      <c r="G1045" s="1">
        <f>equip.xml!G1049</f>
        <v>10</v>
      </c>
      <c r="H1045" s="1" t="str">
        <f>equip.xml!H1049</f>
        <v>1,1001</v>
      </c>
      <c r="I1045" s="1">
        <f>equip.xml!J1049</f>
        <v>50</v>
      </c>
      <c r="J1045" s="1">
        <f>equip.xml!K1049</f>
        <v>500</v>
      </c>
      <c r="K1045" s="1">
        <f>equip.xml!L1049</f>
        <v>10000</v>
      </c>
      <c r="L1045" s="1" t="str">
        <f>equip.xml!M1049</f>
        <v>105_59_59</v>
      </c>
      <c r="M1045" s="7" t="str">
        <f>equip.xml!Q1049</f>
        <v>equipment/2101.png</v>
      </c>
      <c r="N1045" t="str">
        <f>equip.xml!P1049</f>
        <v>10000_1002_10000,30000_30001_1,30000_30002_1,30000_30003_1</v>
      </c>
    </row>
    <row r="1046" spans="1:14">
      <c r="A1046" s="1" t="str">
        <f>equip.xml!A1050</f>
        <v>40102050</v>
      </c>
      <c r="B1046" s="1">
        <f>equip.xml!B1050</f>
        <v>1</v>
      </c>
      <c r="C1046" s="1" t="str">
        <f>equip.xml!C1050</f>
        <v>猎手强弓</v>
      </c>
      <c r="D1046" s="1" t="str">
        <f>equip.xml!D1050</f>
        <v>主手武器</v>
      </c>
      <c r="E1046" s="1">
        <f>equip.xml!E1050</f>
        <v>5</v>
      </c>
      <c r="F1046" s="1">
        <f>equip.xml!F1050</f>
        <v>4</v>
      </c>
      <c r="G1046" s="1">
        <f>equip.xml!G1050</f>
        <v>10</v>
      </c>
      <c r="H1046" s="1" t="str">
        <f>equip.xml!H1050</f>
        <v>2,1002</v>
      </c>
      <c r="I1046" s="1">
        <f>equip.xml!J1050</f>
        <v>50</v>
      </c>
      <c r="J1046" s="1">
        <f>equip.xml!K1050</f>
        <v>500</v>
      </c>
      <c r="K1046" s="1">
        <f>equip.xml!L1050</f>
        <v>7500</v>
      </c>
      <c r="L1046" s="1" t="str">
        <f>equip.xml!M1050</f>
        <v>103_32_32,104_64_64</v>
      </c>
      <c r="M1046" s="7" t="str">
        <f>equip.xml!Q1050</f>
        <v>equipment/1205.png</v>
      </c>
      <c r="N1046" t="str">
        <f>equip.xml!P1050</f>
        <v>10000_1002_10000,30000_30001_1,30000_30002_1,30000_30003_1</v>
      </c>
    </row>
    <row r="1047" spans="1:14">
      <c r="A1047" s="1" t="str">
        <f>equip.xml!A1051</f>
        <v>40102051</v>
      </c>
      <c r="B1047" s="1">
        <f>equip.xml!B1051</f>
        <v>1</v>
      </c>
      <c r="C1047" s="1" t="str">
        <f>equip.xml!C1051</f>
        <v>灰木弓</v>
      </c>
      <c r="D1047" s="1" t="str">
        <f>equip.xml!D1051</f>
        <v>主手武器</v>
      </c>
      <c r="E1047" s="1">
        <f>equip.xml!E1051</f>
        <v>5</v>
      </c>
      <c r="F1047" s="1">
        <f>equip.xml!F1051</f>
        <v>4</v>
      </c>
      <c r="G1047" s="1">
        <f>equip.xml!G1051</f>
        <v>10</v>
      </c>
      <c r="H1047" s="1" t="str">
        <f>equip.xml!H1051</f>
        <v>2,1002</v>
      </c>
      <c r="I1047" s="1">
        <f>equip.xml!J1051</f>
        <v>50</v>
      </c>
      <c r="J1047" s="1">
        <f>equip.xml!K1051</f>
        <v>500</v>
      </c>
      <c r="K1047" s="1">
        <f>equip.xml!L1051</f>
        <v>10000</v>
      </c>
      <c r="L1047" s="1" t="str">
        <f>equip.xml!M1051</f>
        <v>103_40_40,104_80_80</v>
      </c>
      <c r="M1047" s="7" t="str">
        <f>equip.xml!Q1051</f>
        <v>equipment/1206.png</v>
      </c>
      <c r="N1047" t="str">
        <f>equip.xml!P1051</f>
        <v>10000_1002_10000,30000_30001_1,30000_30002_1,30000_30003_1</v>
      </c>
    </row>
    <row r="1048" spans="1:14">
      <c r="A1048" s="1" t="str">
        <f>equip.xml!A1052</f>
        <v>40102060</v>
      </c>
      <c r="B1048" s="1">
        <f>equip.xml!B1052</f>
        <v>1</v>
      </c>
      <c r="C1048" s="1" t="str">
        <f>equip.xml!C1052</f>
        <v>帆布箭筒</v>
      </c>
      <c r="D1048" s="1" t="str">
        <f>equip.xml!D1052</f>
        <v>副手武器</v>
      </c>
      <c r="E1048" s="1">
        <f>equip.xml!E1052</f>
        <v>6</v>
      </c>
      <c r="F1048" s="1">
        <f>equip.xml!F1052</f>
        <v>4</v>
      </c>
      <c r="G1048" s="1">
        <f>equip.xml!G1052</f>
        <v>10</v>
      </c>
      <c r="H1048" s="1" t="str">
        <f>equip.xml!H1052</f>
        <v>2,1002</v>
      </c>
      <c r="I1048" s="1">
        <f>equip.xml!J1052</f>
        <v>50</v>
      </c>
      <c r="J1048" s="1">
        <f>equip.xml!K1052</f>
        <v>500</v>
      </c>
      <c r="K1048" s="1">
        <f>equip.xml!L1052</f>
        <v>7500</v>
      </c>
      <c r="L1048" s="1" t="str">
        <f>equip.xml!M1052</f>
        <v>108_30_30</v>
      </c>
      <c r="M1048" s="7" t="str">
        <f>equip.xml!Q1052</f>
        <v>equipment/2203.png</v>
      </c>
      <c r="N1048" t="str">
        <f>equip.xml!P1052</f>
        <v>10000_1002_10000,30000_30001_1,30000_30002_1,30000_30003_1</v>
      </c>
    </row>
    <row r="1049" spans="1:14">
      <c r="A1049" s="1" t="str">
        <f>equip.xml!A1053</f>
        <v>40102061</v>
      </c>
      <c r="B1049" s="1">
        <f>equip.xml!B1053</f>
        <v>0</v>
      </c>
      <c r="C1049" s="1" t="str">
        <f>equip.xml!C1053</f>
        <v>箭筒</v>
      </c>
      <c r="D1049" s="1" t="str">
        <f>equip.xml!D1053</f>
        <v>副手武器</v>
      </c>
      <c r="E1049" s="1">
        <f>equip.xml!E1053</f>
        <v>6</v>
      </c>
      <c r="F1049" s="1">
        <f>equip.xml!F1053</f>
        <v>4</v>
      </c>
      <c r="G1049" s="1">
        <f>equip.xml!G1053</f>
        <v>10</v>
      </c>
      <c r="H1049" s="1" t="str">
        <f>equip.xml!H1053</f>
        <v>2,1002</v>
      </c>
      <c r="I1049" s="1">
        <f>equip.xml!J1053</f>
        <v>50</v>
      </c>
      <c r="J1049" s="1">
        <f>equip.xml!K1053</f>
        <v>500</v>
      </c>
      <c r="K1049" s="1">
        <f>equip.xml!L1053</f>
        <v>10000</v>
      </c>
      <c r="L1049" s="1" t="str">
        <f>equip.xml!M1053</f>
        <v>108_59_59</v>
      </c>
      <c r="M1049" s="7" t="str">
        <f>equip.xml!Q1053</f>
        <v>equipment/2201.png</v>
      </c>
      <c r="N1049" t="str">
        <f>equip.xml!P1053</f>
        <v>10000_1002_10000,30000_30001_1,30000_30002_1,30000_30003_1</v>
      </c>
    </row>
    <row r="1050" spans="1:14">
      <c r="A1050" s="1" t="str">
        <f>equip.xml!A1054</f>
        <v>40103050</v>
      </c>
      <c r="B1050" s="1">
        <f>equip.xml!B1054</f>
        <v>1</v>
      </c>
      <c r="C1050" s="1" t="str">
        <f>equip.xml!C1054</f>
        <v>附魔银棒</v>
      </c>
      <c r="D1050" s="1" t="str">
        <f>equip.xml!D1054</f>
        <v>主手武器</v>
      </c>
      <c r="E1050" s="1">
        <f>equip.xml!E1054</f>
        <v>5</v>
      </c>
      <c r="F1050" s="1">
        <f>equip.xml!F1054</f>
        <v>4</v>
      </c>
      <c r="G1050" s="1">
        <f>equip.xml!G1054</f>
        <v>10</v>
      </c>
      <c r="H1050" s="1" t="str">
        <f>equip.xml!H1054</f>
        <v>3,1003</v>
      </c>
      <c r="I1050" s="1">
        <f>equip.xml!J1054</f>
        <v>50</v>
      </c>
      <c r="J1050" s="1">
        <f>equip.xml!K1054</f>
        <v>500</v>
      </c>
      <c r="K1050" s="1">
        <f>equip.xml!L1054</f>
        <v>7500</v>
      </c>
      <c r="L1050" s="1" t="str">
        <f>equip.xml!M1054</f>
        <v>103_32_32,104_64_64</v>
      </c>
      <c r="M1050" s="7" t="str">
        <f>equip.xml!Q1054</f>
        <v>equipment/1305.png</v>
      </c>
      <c r="N1050" t="str">
        <f>equip.xml!P1054</f>
        <v>10000_1002_10000,30000_30001_1,30000_30002_1,30000_30003_1</v>
      </c>
    </row>
    <row r="1051" spans="1:14">
      <c r="A1051" s="1" t="str">
        <f>equip.xml!A1055</f>
        <v>40103051</v>
      </c>
      <c r="B1051" s="1">
        <f>equip.xml!B1055</f>
        <v>1</v>
      </c>
      <c r="C1051" s="1" t="str">
        <f>equip.xml!C1055</f>
        <v>魔导法杖</v>
      </c>
      <c r="D1051" s="1" t="str">
        <f>equip.xml!D1055</f>
        <v>主手武器</v>
      </c>
      <c r="E1051" s="1">
        <f>equip.xml!E1055</f>
        <v>5</v>
      </c>
      <c r="F1051" s="1">
        <f>equip.xml!F1055</f>
        <v>4</v>
      </c>
      <c r="G1051" s="1">
        <f>equip.xml!G1055</f>
        <v>10</v>
      </c>
      <c r="H1051" s="1" t="str">
        <f>equip.xml!H1055</f>
        <v>3,1003</v>
      </c>
      <c r="I1051" s="1">
        <f>equip.xml!J1055</f>
        <v>50</v>
      </c>
      <c r="J1051" s="1">
        <f>equip.xml!K1055</f>
        <v>500</v>
      </c>
      <c r="K1051" s="1">
        <f>equip.xml!L1055</f>
        <v>10000</v>
      </c>
      <c r="L1051" s="1" t="str">
        <f>equip.xml!M1055</f>
        <v>103_40_40,104_80_80</v>
      </c>
      <c r="M1051" s="7" t="str">
        <f>equip.xml!Q1055</f>
        <v>equipment/1306.png</v>
      </c>
      <c r="N1051" t="str">
        <f>equip.xml!P1055</f>
        <v>10000_1002_10000,30000_30001_1,30000_30002_1,30000_30003_1</v>
      </c>
    </row>
    <row r="1052" spans="1:14">
      <c r="A1052" s="1" t="str">
        <f>equip.xml!A1056</f>
        <v>40103060</v>
      </c>
      <c r="B1052" s="1">
        <f>equip.xml!B1056</f>
        <v>1</v>
      </c>
      <c r="C1052" s="1" t="str">
        <f>equip.xml!C1056</f>
        <v>奥术典籍</v>
      </c>
      <c r="D1052" s="1" t="str">
        <f>equip.xml!D1056</f>
        <v>副手武器</v>
      </c>
      <c r="E1052" s="1">
        <f>equip.xml!E1056</f>
        <v>6</v>
      </c>
      <c r="F1052" s="1">
        <f>equip.xml!F1056</f>
        <v>4</v>
      </c>
      <c r="G1052" s="1">
        <f>equip.xml!G1056</f>
        <v>10</v>
      </c>
      <c r="H1052" s="1" t="str">
        <f>equip.xml!H1056</f>
        <v>3,1003</v>
      </c>
      <c r="I1052" s="1">
        <f>equip.xml!J1056</f>
        <v>50</v>
      </c>
      <c r="J1052" s="1">
        <f>equip.xml!K1056</f>
        <v>500</v>
      </c>
      <c r="K1052" s="1">
        <f>equip.xml!L1056</f>
        <v>7500</v>
      </c>
      <c r="L1052" s="1" t="str">
        <f>equip.xml!M1056</f>
        <v>102_240_240</v>
      </c>
      <c r="M1052" s="7" t="str">
        <f>equip.xml!Q1056</f>
        <v>equipment/2303.png</v>
      </c>
      <c r="N1052" t="str">
        <f>equip.xml!P1056</f>
        <v>10000_1002_10000,30000_30001_1,30000_30002_1,30000_30003_1</v>
      </c>
    </row>
    <row r="1053" spans="1:14">
      <c r="A1053" s="1" t="str">
        <f>equip.xml!A1057</f>
        <v>40103061</v>
      </c>
      <c r="B1053" s="1">
        <f>equip.xml!B1057</f>
        <v>0</v>
      </c>
      <c r="C1053" s="1" t="str">
        <f>equip.xml!C1057</f>
        <v>法术指南</v>
      </c>
      <c r="D1053" s="1" t="str">
        <f>equip.xml!D1057</f>
        <v>副手武器</v>
      </c>
      <c r="E1053" s="1">
        <f>equip.xml!E1057</f>
        <v>6</v>
      </c>
      <c r="F1053" s="1">
        <f>equip.xml!F1057</f>
        <v>4</v>
      </c>
      <c r="G1053" s="1">
        <f>equip.xml!G1057</f>
        <v>10</v>
      </c>
      <c r="H1053" s="1" t="str">
        <f>equip.xml!H1057</f>
        <v>3,1003</v>
      </c>
      <c r="I1053" s="1">
        <f>equip.xml!J1057</f>
        <v>50</v>
      </c>
      <c r="J1053" s="1">
        <f>equip.xml!K1057</f>
        <v>500</v>
      </c>
      <c r="K1053" s="1">
        <f>equip.xml!L1057</f>
        <v>10000</v>
      </c>
      <c r="L1053" s="1" t="str">
        <f>equip.xml!M1057</f>
        <v>102_59_59</v>
      </c>
      <c r="M1053" s="7" t="str">
        <f>equip.xml!Q1057</f>
        <v>equipment/2301.png</v>
      </c>
      <c r="N1053" t="str">
        <f>equip.xml!P1057</f>
        <v>10000_1002_10000,30000_30001_1,30000_30002_1,30000_30003_1</v>
      </c>
    </row>
    <row r="1054" spans="1:14">
      <c r="A1054" s="1" t="str">
        <f>equip.xml!A1058</f>
        <v>40100040</v>
      </c>
      <c r="B1054" s="1">
        <f>equip.xml!B1058</f>
        <v>1</v>
      </c>
      <c r="C1054" s="1" t="str">
        <f>equip.xml!C1058</f>
        <v>硬皮外套</v>
      </c>
      <c r="D1054" s="1" t="str">
        <f>equip.xml!D1058</f>
        <v>胸甲</v>
      </c>
      <c r="E1054" s="1">
        <f>equip.xml!E1058</f>
        <v>4</v>
      </c>
      <c r="F1054" s="1">
        <f>equip.xml!F1058</f>
        <v>4</v>
      </c>
      <c r="G1054" s="1">
        <f>equip.xml!G1058</f>
        <v>10</v>
      </c>
      <c r="H1054" s="1">
        <f>equip.xml!H1058</f>
        <v>0</v>
      </c>
      <c r="I1054" s="1">
        <f>equip.xml!J1058</f>
        <v>50</v>
      </c>
      <c r="J1054" s="1">
        <f>equip.xml!K1058</f>
        <v>500</v>
      </c>
      <c r="K1054" s="1">
        <f>equip.xml!L1058</f>
        <v>7500</v>
      </c>
      <c r="L1054" s="1" t="str">
        <f>equip.xml!M1058</f>
        <v>105_20_20</v>
      </c>
      <c r="M1054" s="7" t="str">
        <f>equip.xml!Q1058</f>
        <v>equipment/5003.png</v>
      </c>
      <c r="N1054" t="str">
        <f>equip.xml!P1058</f>
        <v>10000_1002_10000,30000_30001_1,30000_30002_1,30000_30003_1</v>
      </c>
    </row>
    <row r="1055" spans="1:14">
      <c r="A1055" s="1" t="str">
        <f>equip.xml!A1059</f>
        <v>40100041</v>
      </c>
      <c r="B1055" s="1">
        <f>equip.xml!B1059</f>
        <v>0</v>
      </c>
      <c r="C1055" s="1" t="str">
        <f>equip.xml!C1059</f>
        <v>新兵外套</v>
      </c>
      <c r="D1055" s="1" t="str">
        <f>equip.xml!D1059</f>
        <v>胸甲</v>
      </c>
      <c r="E1055" s="1">
        <f>equip.xml!E1059</f>
        <v>4</v>
      </c>
      <c r="F1055" s="1">
        <f>equip.xml!F1059</f>
        <v>4</v>
      </c>
      <c r="G1055" s="1">
        <f>equip.xml!G1059</f>
        <v>10</v>
      </c>
      <c r="H1055" s="1">
        <f>equip.xml!H1059</f>
        <v>0</v>
      </c>
      <c r="I1055" s="1">
        <f>equip.xml!J1059</f>
        <v>50</v>
      </c>
      <c r="J1055" s="1">
        <f>equip.xml!K1059</f>
        <v>500</v>
      </c>
      <c r="K1055" s="1">
        <f>equip.xml!L1059</f>
        <v>10000</v>
      </c>
      <c r="L1055" s="1" t="str">
        <f>equip.xml!M1059</f>
        <v>105_28_28</v>
      </c>
      <c r="M1055" s="7" t="str">
        <f>equip.xml!Q1059</f>
        <v>equipment/5001.png</v>
      </c>
      <c r="N1055" t="str">
        <f>equip.xml!P1059</f>
        <v>10000_1002_10000,30000_30001_1,30000_30002_1,30000_30003_1</v>
      </c>
    </row>
    <row r="1056" spans="1:14">
      <c r="A1056" s="1" t="str">
        <f>equip.xml!A1060</f>
        <v>40100070</v>
      </c>
      <c r="B1056" s="1">
        <f>equip.xml!B1060</f>
        <v>1</v>
      </c>
      <c r="C1056" s="1" t="str">
        <f>equip.xml!C1060</f>
        <v>护卫短裤</v>
      </c>
      <c r="D1056" s="1" t="str">
        <f>equip.xml!D1060</f>
        <v>护腿</v>
      </c>
      <c r="E1056" s="1">
        <f>equip.xml!E1060</f>
        <v>7</v>
      </c>
      <c r="F1056" s="1">
        <f>equip.xml!F1060</f>
        <v>4</v>
      </c>
      <c r="G1056" s="1">
        <f>equip.xml!G1060</f>
        <v>10</v>
      </c>
      <c r="H1056" s="1">
        <f>equip.xml!H1060</f>
        <v>0</v>
      </c>
      <c r="I1056" s="1">
        <f>equip.xml!J1060</f>
        <v>50</v>
      </c>
      <c r="J1056" s="1">
        <f>equip.xml!K1060</f>
        <v>500</v>
      </c>
      <c r="K1056" s="1">
        <f>equip.xml!L1060</f>
        <v>7500</v>
      </c>
      <c r="L1056" s="1" t="str">
        <f>equip.xml!M1060</f>
        <v>105_20_20</v>
      </c>
      <c r="M1056" s="7" t="str">
        <f>equip.xml!Q1060</f>
        <v>equipment/7003.png</v>
      </c>
      <c r="N1056" t="str">
        <f>equip.xml!P1060</f>
        <v>10000_1002_10000,30000_30001_1,30000_30002_1,30000_30003_1</v>
      </c>
    </row>
    <row r="1057" spans="1:14">
      <c r="A1057" s="1" t="str">
        <f>equip.xml!A1061</f>
        <v>40100071</v>
      </c>
      <c r="B1057" s="1">
        <f>equip.xml!B1061</f>
        <v>0</v>
      </c>
      <c r="C1057" s="1" t="str">
        <f>equip.xml!C1061</f>
        <v>学徒短裤</v>
      </c>
      <c r="D1057" s="1" t="str">
        <f>equip.xml!D1061</f>
        <v>护腿</v>
      </c>
      <c r="E1057" s="1">
        <f>equip.xml!E1061</f>
        <v>7</v>
      </c>
      <c r="F1057" s="1">
        <f>equip.xml!F1061</f>
        <v>4</v>
      </c>
      <c r="G1057" s="1">
        <f>equip.xml!G1061</f>
        <v>10</v>
      </c>
      <c r="H1057" s="1">
        <f>equip.xml!H1061</f>
        <v>0</v>
      </c>
      <c r="I1057" s="1">
        <f>equip.xml!J1061</f>
        <v>50</v>
      </c>
      <c r="J1057" s="1">
        <f>equip.xml!K1061</f>
        <v>500</v>
      </c>
      <c r="K1057" s="1">
        <f>equip.xml!L1061</f>
        <v>10000</v>
      </c>
      <c r="L1057" s="1" t="str">
        <f>equip.xml!M1061</f>
        <v>105_28_28</v>
      </c>
      <c r="M1057" s="7" t="str">
        <f>equip.xml!Q1061</f>
        <v>equipment/7001.png</v>
      </c>
      <c r="N1057" t="str">
        <f>equip.xml!P1061</f>
        <v>10000_1002_10000,30000_30001_1,30000_30002_1,30000_30003_1</v>
      </c>
    </row>
    <row r="1058" spans="1:14">
      <c r="A1058" s="1" t="str">
        <f>equip.xml!A1062</f>
        <v>40150010</v>
      </c>
      <c r="B1058" s="1">
        <f>equip.xml!B1062</f>
        <v>0</v>
      </c>
      <c r="C1058" s="1" t="str">
        <f>equip.xml!C1062</f>
        <v>纹饰帽</v>
      </c>
      <c r="D1058" s="1" t="str">
        <f>equip.xml!D1062</f>
        <v>头盔</v>
      </c>
      <c r="E1058" s="1">
        <f>equip.xml!E1062</f>
        <v>1</v>
      </c>
      <c r="F1058" s="1">
        <f>equip.xml!F1062</f>
        <v>4</v>
      </c>
      <c r="G1058" s="1">
        <f>equip.xml!G1062</f>
        <v>15</v>
      </c>
      <c r="H1058" s="1">
        <f>equip.xml!H1062</f>
        <v>0</v>
      </c>
      <c r="I1058" s="1">
        <f>equip.xml!J1062</f>
        <v>50</v>
      </c>
      <c r="J1058" s="1">
        <f>equip.xml!K1062</f>
        <v>500</v>
      </c>
      <c r="K1058" s="1">
        <f>equip.xml!L1062</f>
        <v>10000</v>
      </c>
      <c r="L1058" s="1" t="str">
        <f>equip.xml!M1062</f>
        <v>106_64_64</v>
      </c>
      <c r="M1058" s="7" t="str">
        <f>equip.xml!Q1062</f>
        <v>equipment/3001.png</v>
      </c>
      <c r="N1058" t="str">
        <f>equip.xml!P1062</f>
        <v>10000_1002_15000,30000_30001_1,30000_30002_1,30000_30003_1</v>
      </c>
    </row>
    <row r="1059" spans="1:14">
      <c r="A1059" s="1" t="str">
        <f>equip.xml!A1063</f>
        <v>40150020</v>
      </c>
      <c r="B1059" s="1">
        <f>equip.xml!B1063</f>
        <v>0</v>
      </c>
      <c r="C1059" s="1" t="str">
        <f>equip.xml!C1063</f>
        <v>金戒指</v>
      </c>
      <c r="D1059" s="1" t="str">
        <f>equip.xml!D1063</f>
        <v>戒指</v>
      </c>
      <c r="E1059" s="1">
        <f>equip.xml!E1063</f>
        <v>2</v>
      </c>
      <c r="F1059" s="1">
        <f>equip.xml!F1063</f>
        <v>4</v>
      </c>
      <c r="G1059" s="1">
        <f>equip.xml!G1063</f>
        <v>15</v>
      </c>
      <c r="H1059" s="1">
        <f>equip.xml!H1063</f>
        <v>0</v>
      </c>
      <c r="I1059" s="1">
        <f>equip.xml!J1063</f>
        <v>50</v>
      </c>
      <c r="J1059" s="1">
        <f>equip.xml!K1063</f>
        <v>500</v>
      </c>
      <c r="K1059" s="1">
        <f>equip.xml!L1063</f>
        <v>10000</v>
      </c>
      <c r="L1059" s="1" t="str">
        <f>equip.xml!M1063</f>
        <v>102_185_185</v>
      </c>
      <c r="M1059" s="7" t="str">
        <f>equip.xml!Q1063</f>
        <v>equipment/14001.png</v>
      </c>
      <c r="N1059" t="str">
        <f>equip.xml!P1063</f>
        <v>10000_1002_15000,30000_30001_1,30000_30002_1,30000_30003_1</v>
      </c>
    </row>
    <row r="1060" spans="1:14">
      <c r="A1060" s="1" t="str">
        <f>equip.xml!A1064</f>
        <v>40150030</v>
      </c>
      <c r="B1060" s="1">
        <f>equip.xml!B1064</f>
        <v>1</v>
      </c>
      <c r="C1060" s="1" t="str">
        <f>equip.xml!C1064</f>
        <v>铁锁腰带</v>
      </c>
      <c r="D1060" s="1" t="str">
        <f>equip.xml!D1064</f>
        <v>腰带</v>
      </c>
      <c r="E1060" s="1">
        <f>equip.xml!E1064</f>
        <v>3</v>
      </c>
      <c r="F1060" s="1">
        <f>equip.xml!F1064</f>
        <v>4</v>
      </c>
      <c r="G1060" s="1">
        <f>equip.xml!G1064</f>
        <v>15</v>
      </c>
      <c r="H1060" s="1">
        <f>equip.xml!H1064</f>
        <v>0</v>
      </c>
      <c r="I1060" s="1">
        <f>equip.xml!J1064</f>
        <v>50</v>
      </c>
      <c r="J1060" s="1">
        <f>equip.xml!K1064</f>
        <v>500</v>
      </c>
      <c r="K1060" s="1">
        <f>equip.xml!L1064</f>
        <v>10000</v>
      </c>
      <c r="L1060" s="1" t="str">
        <f>equip.xml!M1064</f>
        <v>101_1160_1160</v>
      </c>
      <c r="M1060" s="7" t="str">
        <f>equip.xml!Q1064</f>
        <v>equipment/6003.png</v>
      </c>
      <c r="N1060" t="str">
        <f>equip.xml!P1064</f>
        <v>10000_1002_15000,30000_30001_1,30000_30002_1,30000_30003_1</v>
      </c>
    </row>
    <row r="1061" spans="1:14">
      <c r="A1061" s="1" t="str">
        <f>equip.xml!A1065</f>
        <v>40150080</v>
      </c>
      <c r="B1061" s="1">
        <f>equip.xml!B1065</f>
        <v>1</v>
      </c>
      <c r="C1061" s="1" t="str">
        <f>equip.xml!C1065</f>
        <v>链甲战靴</v>
      </c>
      <c r="D1061" s="1" t="str">
        <f>equip.xml!D1065</f>
        <v>鞋子</v>
      </c>
      <c r="E1061" s="1">
        <f>equip.xml!E1065</f>
        <v>8</v>
      </c>
      <c r="F1061" s="1">
        <f>equip.xml!F1065</f>
        <v>4</v>
      </c>
      <c r="G1061" s="1">
        <f>equip.xml!G1065</f>
        <v>15</v>
      </c>
      <c r="H1061" s="1">
        <f>equip.xml!H1065</f>
        <v>0</v>
      </c>
      <c r="I1061" s="1">
        <f>equip.xml!J1065</f>
        <v>50</v>
      </c>
      <c r="J1061" s="1">
        <f>equip.xml!K1065</f>
        <v>500</v>
      </c>
      <c r="K1061" s="1">
        <f>equip.xml!L1065</f>
        <v>10000</v>
      </c>
      <c r="L1061" s="1" t="str">
        <f>equip.xml!M1065</f>
        <v>110_27_27</v>
      </c>
      <c r="M1061" s="7" t="str">
        <f>equip.xml!Q1065</f>
        <v>equipment/8003.png</v>
      </c>
      <c r="N1061" t="str">
        <f>equip.xml!P1065</f>
        <v>10000_1002_15000,30000_30001_1,30000_30002_1,30000_30003_1</v>
      </c>
    </row>
    <row r="1062" spans="1:14">
      <c r="A1062" s="1" t="str">
        <f>equip.xml!A1066</f>
        <v>40150090</v>
      </c>
      <c r="B1062" s="1">
        <f>equip.xml!B1066</f>
        <v>1</v>
      </c>
      <c r="C1062" s="1" t="str">
        <f>equip.xml!C1066</f>
        <v>战痕手套</v>
      </c>
      <c r="D1062" s="1" t="str">
        <f>equip.xml!D1066</f>
        <v>手套</v>
      </c>
      <c r="E1062" s="1">
        <f>equip.xml!E1066</f>
        <v>9</v>
      </c>
      <c r="F1062" s="1">
        <f>equip.xml!F1066</f>
        <v>4</v>
      </c>
      <c r="G1062" s="1">
        <f>equip.xml!G1066</f>
        <v>15</v>
      </c>
      <c r="H1062" s="1">
        <f>equip.xml!H1066</f>
        <v>0</v>
      </c>
      <c r="I1062" s="1">
        <f>equip.xml!J1066</f>
        <v>50</v>
      </c>
      <c r="J1062" s="1">
        <f>equip.xml!K1066</f>
        <v>500</v>
      </c>
      <c r="K1062" s="1">
        <f>equip.xml!L1066</f>
        <v>10000</v>
      </c>
      <c r="L1062" s="1" t="str">
        <f>equip.xml!M1066</f>
        <v>108_106_106</v>
      </c>
      <c r="M1062" s="7" t="str">
        <f>equip.xml!Q1066</f>
        <v>equipment/10003.png</v>
      </c>
      <c r="N1062" t="str">
        <f>equip.xml!P1066</f>
        <v>10000_1002_15000,30000_30001_1,30000_30002_1,30000_30003_1</v>
      </c>
    </row>
    <row r="1063" spans="1:14">
      <c r="A1063" s="1" t="str">
        <f>equip.xml!A1067</f>
        <v>40150100</v>
      </c>
      <c r="B1063" s="1">
        <f>equip.xml!B1067</f>
        <v>1</v>
      </c>
      <c r="C1063" s="1" t="str">
        <f>equip.xml!C1067</f>
        <v>使者项链</v>
      </c>
      <c r="D1063" s="1" t="str">
        <f>equip.xml!D1067</f>
        <v>项链</v>
      </c>
      <c r="E1063" s="1">
        <f>equip.xml!E1067</f>
        <v>10</v>
      </c>
      <c r="F1063" s="1">
        <f>equip.xml!F1067</f>
        <v>4</v>
      </c>
      <c r="G1063" s="1">
        <f>equip.xml!G1067</f>
        <v>15</v>
      </c>
      <c r="H1063" s="1">
        <f>equip.xml!H1067</f>
        <v>0</v>
      </c>
      <c r="I1063" s="1">
        <f>equip.xml!J1067</f>
        <v>50</v>
      </c>
      <c r="J1063" s="1">
        <f>equip.xml!K1067</f>
        <v>500</v>
      </c>
      <c r="K1063" s="1">
        <f>equip.xml!L1067</f>
        <v>10000</v>
      </c>
      <c r="L1063" s="1" t="str">
        <f>equip.xml!M1067</f>
        <v>107_64_64</v>
      </c>
      <c r="M1063" s="7" t="str">
        <f>equip.xml!Q1067</f>
        <v>equipment/12002.png</v>
      </c>
      <c r="N1063" t="str">
        <f>equip.xml!P1067</f>
        <v>10000_1002_15000,30000_30001_1,30000_30002_1,30000_30003_1</v>
      </c>
    </row>
    <row r="1064" spans="1:14">
      <c r="A1064" s="1" t="str">
        <f>equip.xml!A1068</f>
        <v>40151050</v>
      </c>
      <c r="B1064" s="1">
        <f>equip.xml!B1068</f>
        <v>1</v>
      </c>
      <c r="C1064" s="1" t="str">
        <f>equip.xml!C1068</f>
        <v>宽刃剑</v>
      </c>
      <c r="D1064" s="1" t="str">
        <f>equip.xml!D1068</f>
        <v>主手武器</v>
      </c>
      <c r="E1064" s="1">
        <f>equip.xml!E1068</f>
        <v>5</v>
      </c>
      <c r="F1064" s="1">
        <f>equip.xml!F1068</f>
        <v>4</v>
      </c>
      <c r="G1064" s="1">
        <f>equip.xml!G1068</f>
        <v>15</v>
      </c>
      <c r="H1064" s="1" t="str">
        <f>equip.xml!H1068</f>
        <v>1,1001</v>
      </c>
      <c r="I1064" s="1">
        <f>equip.xml!J1068</f>
        <v>50</v>
      </c>
      <c r="J1064" s="1">
        <f>equip.xml!K1068</f>
        <v>500</v>
      </c>
      <c r="K1064" s="1">
        <f>equip.xml!L1068</f>
        <v>10000</v>
      </c>
      <c r="L1064" s="1" t="str">
        <f>equip.xml!M1068</f>
        <v>103_52_52,104_104_104</v>
      </c>
      <c r="M1064" s="7" t="str">
        <f>equip.xml!Q1068</f>
        <v>equipment/1108.png</v>
      </c>
      <c r="N1064" t="str">
        <f>equip.xml!P1068</f>
        <v>10000_1002_15000,30000_30001_1,30000_30002_1,30000_30003_1</v>
      </c>
    </row>
    <row r="1065" spans="1:14">
      <c r="A1065" s="1">
        <f>equip.xml!A1069</f>
        <v>40151051</v>
      </c>
      <c r="B1065" s="1">
        <f>equip.xml!B1069</f>
        <v>1</v>
      </c>
      <c r="C1065" s="1" t="str">
        <f>equip.xml!C1069</f>
        <v>游侠之刃</v>
      </c>
      <c r="D1065" s="1" t="str">
        <f>equip.xml!D1069</f>
        <v>主手武器</v>
      </c>
      <c r="E1065" s="1">
        <f>equip.xml!E1069</f>
        <v>5</v>
      </c>
      <c r="F1065" s="1">
        <f>equip.xml!F1069</f>
        <v>4</v>
      </c>
      <c r="G1065" s="1">
        <f>equip.xml!G1069</f>
        <v>15</v>
      </c>
      <c r="H1065" s="1" t="str">
        <f>equip.xml!H1069</f>
        <v>1,1001</v>
      </c>
      <c r="I1065" s="1">
        <f>equip.xml!J1069</f>
        <v>50</v>
      </c>
      <c r="J1065" s="1">
        <f>equip.xml!K1069</f>
        <v>500</v>
      </c>
      <c r="K1065" s="1">
        <f>equip.xml!L1069</f>
        <v>12500</v>
      </c>
      <c r="L1065" s="1" t="str">
        <f>equip.xml!M1069</f>
        <v>103_76_76,104_152_152</v>
      </c>
      <c r="M1065" s="7" t="str">
        <f>equip.xml!Q1069</f>
        <v>equipment/1107.png</v>
      </c>
      <c r="N1065" t="str">
        <f>equip.xml!P1069</f>
        <v>10000_1002_15000,30000_30001_1,30000_30002_1,30000_30003_1</v>
      </c>
    </row>
    <row r="1066" spans="1:14">
      <c r="A1066" s="1" t="str">
        <f>equip.xml!A1070</f>
        <v>40151060</v>
      </c>
      <c r="B1066" s="1">
        <f>equip.xml!B1070</f>
        <v>1</v>
      </c>
      <c r="C1066" s="1" t="str">
        <f>equip.xml!C1070</f>
        <v>鸢盾</v>
      </c>
      <c r="D1066" s="1" t="str">
        <f>equip.xml!D1070</f>
        <v>副手武器</v>
      </c>
      <c r="E1066" s="1">
        <f>equip.xml!E1070</f>
        <v>6</v>
      </c>
      <c r="F1066" s="1">
        <f>equip.xml!F1070</f>
        <v>4</v>
      </c>
      <c r="G1066" s="1">
        <f>equip.xml!G1070</f>
        <v>15</v>
      </c>
      <c r="H1066" s="1" t="str">
        <f>equip.xml!H1070</f>
        <v>1,1001</v>
      </c>
      <c r="I1066" s="1">
        <f>equip.xml!J1070</f>
        <v>50</v>
      </c>
      <c r="J1066" s="1">
        <f>equip.xml!K1070</f>
        <v>500</v>
      </c>
      <c r="K1066" s="1">
        <f>equip.xml!L1070</f>
        <v>10000</v>
      </c>
      <c r="L1066" s="1" t="str">
        <f>equip.xml!M1070</f>
        <v>105_103_103</v>
      </c>
      <c r="M1066" s="7" t="str">
        <f>equip.xml!Q1070</f>
        <v>equipment/2105.png</v>
      </c>
      <c r="N1066" t="str">
        <f>equip.xml!P1070</f>
        <v>10000_1002_15000,30000_30001_1,30000_30002_1,30000_30003_1</v>
      </c>
    </row>
    <row r="1067" spans="1:14">
      <c r="A1067" s="1" t="str">
        <f>equip.xml!A1071</f>
        <v>40151061</v>
      </c>
      <c r="B1067" s="1">
        <f>equip.xml!B1071</f>
        <v>0</v>
      </c>
      <c r="C1067" s="1" t="str">
        <f>equip.xml!C1071</f>
        <v>尖头盾</v>
      </c>
      <c r="D1067" s="1" t="str">
        <f>equip.xml!D1071</f>
        <v>副手武器</v>
      </c>
      <c r="E1067" s="1">
        <f>equip.xml!E1071</f>
        <v>6</v>
      </c>
      <c r="F1067" s="1">
        <f>equip.xml!F1071</f>
        <v>4</v>
      </c>
      <c r="G1067" s="1">
        <f>equip.xml!G1071</f>
        <v>15</v>
      </c>
      <c r="H1067" s="1" t="str">
        <f>equip.xml!H1071</f>
        <v>1,1001</v>
      </c>
      <c r="I1067" s="1">
        <f>equip.xml!J1071</f>
        <v>50</v>
      </c>
      <c r="J1067" s="1">
        <f>equip.xml!K1071</f>
        <v>500</v>
      </c>
      <c r="K1067" s="1">
        <f>equip.xml!L1071</f>
        <v>12500</v>
      </c>
      <c r="L1067" s="1" t="str">
        <f>equip.xml!M1071</f>
        <v>105_130_130</v>
      </c>
      <c r="M1067" s="7" t="str">
        <f>equip.xml!Q1071</f>
        <v>equipment/2101.png</v>
      </c>
      <c r="N1067" t="str">
        <f>equip.xml!P1071</f>
        <v>10000_1002_15000,30000_30001_1,30000_30002_1,30000_30003_1</v>
      </c>
    </row>
    <row r="1068" spans="1:14">
      <c r="A1068" s="1" t="str">
        <f>equip.xml!A1072</f>
        <v>40152050</v>
      </c>
      <c r="B1068" s="1">
        <f>equip.xml!B1072</f>
        <v>1</v>
      </c>
      <c r="C1068" s="1" t="str">
        <f>equip.xml!C1072</f>
        <v>狩猎之弓</v>
      </c>
      <c r="D1068" s="1" t="str">
        <f>equip.xml!D1072</f>
        <v>主手武器</v>
      </c>
      <c r="E1068" s="1">
        <f>equip.xml!E1072</f>
        <v>5</v>
      </c>
      <c r="F1068" s="1">
        <f>equip.xml!F1072</f>
        <v>4</v>
      </c>
      <c r="G1068" s="1">
        <f>equip.xml!G1072</f>
        <v>15</v>
      </c>
      <c r="H1068" s="1" t="str">
        <f>equip.xml!H1072</f>
        <v>2,1002</v>
      </c>
      <c r="I1068" s="1">
        <f>equip.xml!J1072</f>
        <v>50</v>
      </c>
      <c r="J1068" s="1">
        <f>equip.xml!K1072</f>
        <v>500</v>
      </c>
      <c r="K1068" s="1">
        <f>equip.xml!L1072</f>
        <v>10000</v>
      </c>
      <c r="L1068" s="1" t="str">
        <f>equip.xml!M1072</f>
        <v>103_52_52,104_104_104</v>
      </c>
      <c r="M1068" s="7" t="str">
        <f>equip.xml!Q1072</f>
        <v>equipment/1207.png</v>
      </c>
      <c r="N1068" t="str">
        <f>equip.xml!P1072</f>
        <v>10000_1002_15000,30000_30001_1,30000_30002_1,30000_30003_1</v>
      </c>
    </row>
    <row r="1069" spans="1:14">
      <c r="A1069" s="1">
        <f>equip.xml!A1073</f>
        <v>40152051</v>
      </c>
      <c r="B1069" s="1">
        <f>equip.xml!B1073</f>
        <v>1</v>
      </c>
      <c r="C1069" s="1" t="str">
        <f>equip.xml!C1073</f>
        <v>半人马长弓</v>
      </c>
      <c r="D1069" s="1" t="str">
        <f>equip.xml!D1073</f>
        <v>主手武器</v>
      </c>
      <c r="E1069" s="1">
        <f>equip.xml!E1073</f>
        <v>5</v>
      </c>
      <c r="F1069" s="1">
        <f>equip.xml!F1073</f>
        <v>4</v>
      </c>
      <c r="G1069" s="1">
        <f>equip.xml!G1073</f>
        <v>15</v>
      </c>
      <c r="H1069" s="1" t="str">
        <f>equip.xml!H1073</f>
        <v>2,1002</v>
      </c>
      <c r="I1069" s="1">
        <f>equip.xml!J1073</f>
        <v>50</v>
      </c>
      <c r="J1069" s="1">
        <f>equip.xml!K1073</f>
        <v>500</v>
      </c>
      <c r="K1069" s="1">
        <f>equip.xml!L1073</f>
        <v>12500</v>
      </c>
      <c r="L1069" s="1" t="str">
        <f>equip.xml!M1073</f>
        <v>103_76_76,104_152_152</v>
      </c>
      <c r="M1069" s="7" t="str">
        <f>equip.xml!Q1073</f>
        <v>equipment/1208.png</v>
      </c>
      <c r="N1069" t="str">
        <f>equip.xml!P1073</f>
        <v>10000_1002_15000,30000_30001_1,30000_30002_1,30000_30003_1</v>
      </c>
    </row>
    <row r="1070" spans="1:14">
      <c r="A1070" s="1" t="str">
        <f>equip.xml!A1074</f>
        <v>40152060</v>
      </c>
      <c r="B1070" s="1">
        <f>equip.xml!B1074</f>
        <v>1</v>
      </c>
      <c r="C1070" s="1" t="str">
        <f>equip.xml!C1074</f>
        <v>皮革箭筒</v>
      </c>
      <c r="D1070" s="1" t="str">
        <f>equip.xml!D1074</f>
        <v>副手武器</v>
      </c>
      <c r="E1070" s="1">
        <f>equip.xml!E1074</f>
        <v>6</v>
      </c>
      <c r="F1070" s="1">
        <f>equip.xml!F1074</f>
        <v>4</v>
      </c>
      <c r="G1070" s="1">
        <f>equip.xml!G1074</f>
        <v>15</v>
      </c>
      <c r="H1070" s="1" t="str">
        <f>equip.xml!H1074</f>
        <v>2,1002</v>
      </c>
      <c r="I1070" s="1">
        <f>equip.xml!J1074</f>
        <v>50</v>
      </c>
      <c r="J1070" s="1">
        <f>equip.xml!K1074</f>
        <v>500</v>
      </c>
      <c r="K1070" s="1">
        <f>equip.xml!L1074</f>
        <v>10000</v>
      </c>
      <c r="L1070" s="1" t="str">
        <f>equip.xml!M1074</f>
        <v>108_103_103</v>
      </c>
      <c r="M1070" s="7" t="str">
        <f>equip.xml!Q1074</f>
        <v>equipment/2204.png</v>
      </c>
      <c r="N1070" t="str">
        <f>equip.xml!P1074</f>
        <v>10000_1002_15000,30000_30001_1,30000_30002_1,30000_30003_1</v>
      </c>
    </row>
    <row r="1071" spans="1:14">
      <c r="A1071" s="1" t="str">
        <f>equip.xml!A1075</f>
        <v>40152061</v>
      </c>
      <c r="B1071" s="1">
        <f>equip.xml!B1075</f>
        <v>0</v>
      </c>
      <c r="C1071" s="1" t="str">
        <f>equip.xml!C1075</f>
        <v>箭筒</v>
      </c>
      <c r="D1071" s="1" t="str">
        <f>equip.xml!D1075</f>
        <v>副手武器</v>
      </c>
      <c r="E1071" s="1">
        <f>equip.xml!E1075</f>
        <v>6</v>
      </c>
      <c r="F1071" s="1">
        <f>equip.xml!F1075</f>
        <v>4</v>
      </c>
      <c r="G1071" s="1">
        <f>equip.xml!G1075</f>
        <v>15</v>
      </c>
      <c r="H1071" s="1" t="str">
        <f>equip.xml!H1075</f>
        <v>2,1002</v>
      </c>
      <c r="I1071" s="1">
        <f>equip.xml!J1075</f>
        <v>50</v>
      </c>
      <c r="J1071" s="1">
        <f>equip.xml!K1075</f>
        <v>500</v>
      </c>
      <c r="K1071" s="1">
        <f>equip.xml!L1075</f>
        <v>12500</v>
      </c>
      <c r="L1071" s="1" t="str">
        <f>equip.xml!M1075</f>
        <v>108_130_130</v>
      </c>
      <c r="M1071" s="7" t="str">
        <f>equip.xml!Q1075</f>
        <v>equipment/2201.png</v>
      </c>
      <c r="N1071" t="str">
        <f>equip.xml!P1075</f>
        <v>10000_1002_15000,30000_30001_1,30000_30002_1,30000_30003_1</v>
      </c>
    </row>
    <row r="1072" spans="1:14">
      <c r="A1072" s="1" t="str">
        <f>equip.xml!A1076</f>
        <v>40153050</v>
      </c>
      <c r="B1072" s="1">
        <f>equip.xml!B1076</f>
        <v>1</v>
      </c>
      <c r="C1072" s="1" t="str">
        <f>equip.xml!C1076</f>
        <v>风灵法杖</v>
      </c>
      <c r="D1072" s="1" t="str">
        <f>equip.xml!D1076</f>
        <v>主手武器</v>
      </c>
      <c r="E1072" s="1">
        <f>equip.xml!E1076</f>
        <v>5</v>
      </c>
      <c r="F1072" s="1">
        <f>equip.xml!F1076</f>
        <v>4</v>
      </c>
      <c r="G1072" s="1">
        <f>equip.xml!G1076</f>
        <v>15</v>
      </c>
      <c r="H1072" s="1" t="str">
        <f>equip.xml!H1076</f>
        <v>3,1003</v>
      </c>
      <c r="I1072" s="1">
        <f>equip.xml!J1076</f>
        <v>50</v>
      </c>
      <c r="J1072" s="1">
        <f>equip.xml!K1076</f>
        <v>500</v>
      </c>
      <c r="K1072" s="1">
        <f>equip.xml!L1076</f>
        <v>10000</v>
      </c>
      <c r="L1072" s="1" t="str">
        <f>equip.xml!M1076</f>
        <v>103_52_52,104_104_104</v>
      </c>
      <c r="M1072" s="7" t="str">
        <f>equip.xml!Q1076</f>
        <v>equipment/1307.png</v>
      </c>
      <c r="N1072" t="str">
        <f>equip.xml!P1076</f>
        <v>10000_1002_15000,30000_30001_1,30000_30002_1,30000_30003_1</v>
      </c>
    </row>
    <row r="1073" spans="1:14">
      <c r="A1073" s="1">
        <f>equip.xml!A1077</f>
        <v>40153051</v>
      </c>
      <c r="B1073" s="1">
        <f>equip.xml!B1077</f>
        <v>1</v>
      </c>
      <c r="C1073" s="1" t="str">
        <f>equip.xml!C1077</f>
        <v>禁锢之杖</v>
      </c>
      <c r="D1073" s="1" t="str">
        <f>equip.xml!D1077</f>
        <v>主手武器</v>
      </c>
      <c r="E1073" s="1">
        <f>equip.xml!E1077</f>
        <v>5</v>
      </c>
      <c r="F1073" s="1">
        <f>equip.xml!F1077</f>
        <v>4</v>
      </c>
      <c r="G1073" s="1">
        <f>equip.xml!G1077</f>
        <v>15</v>
      </c>
      <c r="H1073" s="1" t="str">
        <f>equip.xml!H1077</f>
        <v>3,1003</v>
      </c>
      <c r="I1073" s="1">
        <f>equip.xml!J1077</f>
        <v>50</v>
      </c>
      <c r="J1073" s="1">
        <f>equip.xml!K1077</f>
        <v>500</v>
      </c>
      <c r="K1073" s="1">
        <f>equip.xml!L1077</f>
        <v>12500</v>
      </c>
      <c r="L1073" s="1" t="str">
        <f>equip.xml!M1077</f>
        <v>103_76_76,104_152_152</v>
      </c>
      <c r="M1073" s="7" t="str">
        <f>equip.xml!Q1077</f>
        <v>equipment/1308.png</v>
      </c>
      <c r="N1073" t="str">
        <f>equip.xml!P1077</f>
        <v>10000_1002_15000,30000_30001_1,30000_30002_1,30000_30003_1</v>
      </c>
    </row>
    <row r="1074" spans="1:14">
      <c r="A1074" s="1" t="str">
        <f>equip.xml!A1078</f>
        <v>40153060</v>
      </c>
      <c r="B1074" s="1">
        <f>equip.xml!B1078</f>
        <v>1</v>
      </c>
      <c r="C1074" s="1" t="str">
        <f>equip.xml!C1078</f>
        <v>秘法之书</v>
      </c>
      <c r="D1074" s="1" t="str">
        <f>equip.xml!D1078</f>
        <v>副手武器</v>
      </c>
      <c r="E1074" s="1">
        <f>equip.xml!E1078</f>
        <v>6</v>
      </c>
      <c r="F1074" s="1">
        <f>equip.xml!F1078</f>
        <v>4</v>
      </c>
      <c r="G1074" s="1">
        <f>equip.xml!G1078</f>
        <v>15</v>
      </c>
      <c r="H1074" s="1" t="str">
        <f>equip.xml!H1078</f>
        <v>3,1003</v>
      </c>
      <c r="I1074" s="1">
        <f>equip.xml!J1078</f>
        <v>50</v>
      </c>
      <c r="J1074" s="1">
        <f>equip.xml!K1078</f>
        <v>500</v>
      </c>
      <c r="K1074" s="1">
        <f>equip.xml!L1078</f>
        <v>10000</v>
      </c>
      <c r="L1074" s="1" t="str">
        <f>equip.xml!M1078</f>
        <v>102_420_420</v>
      </c>
      <c r="M1074" s="7" t="str">
        <f>equip.xml!Q1078</f>
        <v>equipment/2304.png</v>
      </c>
      <c r="N1074" t="str">
        <f>equip.xml!P1078</f>
        <v>10000_1002_15000,30000_30001_1,30000_30002_1,30000_30003_1</v>
      </c>
    </row>
    <row r="1075" spans="1:14">
      <c r="A1075" s="1" t="str">
        <f>equip.xml!A1079</f>
        <v>40153061</v>
      </c>
      <c r="B1075" s="1">
        <f>equip.xml!B1079</f>
        <v>0</v>
      </c>
      <c r="C1075" s="1" t="str">
        <f>equip.xml!C1079</f>
        <v>法术指南</v>
      </c>
      <c r="D1075" s="1" t="str">
        <f>equip.xml!D1079</f>
        <v>副手武器</v>
      </c>
      <c r="E1075" s="1">
        <f>equip.xml!E1079</f>
        <v>6</v>
      </c>
      <c r="F1075" s="1">
        <f>equip.xml!F1079</f>
        <v>4</v>
      </c>
      <c r="G1075" s="1">
        <f>equip.xml!G1079</f>
        <v>15</v>
      </c>
      <c r="H1075" s="1" t="str">
        <f>equip.xml!H1079</f>
        <v>3,1003</v>
      </c>
      <c r="I1075" s="1">
        <f>equip.xml!J1079</f>
        <v>50</v>
      </c>
      <c r="J1075" s="1">
        <f>equip.xml!K1079</f>
        <v>500</v>
      </c>
      <c r="K1075" s="1">
        <f>equip.xml!L1079</f>
        <v>12500</v>
      </c>
      <c r="L1075" s="1" t="str">
        <f>equip.xml!M1079</f>
        <v>102_472_472</v>
      </c>
      <c r="M1075" s="7" t="str">
        <f>equip.xml!Q1079</f>
        <v>equipment/2301.png</v>
      </c>
      <c r="N1075" t="str">
        <f>equip.xml!P1079</f>
        <v>10000_1002_15000,30000_30001_1,30000_30002_1,30000_30003_1</v>
      </c>
    </row>
    <row r="1076" spans="1:14">
      <c r="A1076" s="1" t="str">
        <f>equip.xml!A1080</f>
        <v>40150040</v>
      </c>
      <c r="B1076" s="1">
        <f>equip.xml!B1080</f>
        <v>1</v>
      </c>
      <c r="C1076" s="1" t="str">
        <f>equip.xml!C1080</f>
        <v>暗石胸甲</v>
      </c>
      <c r="D1076" s="1" t="str">
        <f>equip.xml!D1080</f>
        <v>胸甲</v>
      </c>
      <c r="E1076" s="1">
        <f>equip.xml!E1080</f>
        <v>4</v>
      </c>
      <c r="F1076" s="1">
        <f>equip.xml!F1080</f>
        <v>4</v>
      </c>
      <c r="G1076" s="1">
        <f>equip.xml!G1080</f>
        <v>15</v>
      </c>
      <c r="H1076" s="1">
        <f>equip.xml!H1080</f>
        <v>0</v>
      </c>
      <c r="I1076" s="1">
        <f>equip.xml!J1080</f>
        <v>50</v>
      </c>
      <c r="J1076" s="1">
        <f>equip.xml!K1080</f>
        <v>500</v>
      </c>
      <c r="K1076" s="1">
        <f>equip.xml!L1080</f>
        <v>10000</v>
      </c>
      <c r="L1076" s="1" t="str">
        <f>equip.xml!M1080</f>
        <v>105_39_39</v>
      </c>
      <c r="M1076" s="7" t="str">
        <f>equip.xml!Q1080</f>
        <v>equipment/5005.png</v>
      </c>
      <c r="N1076" t="str">
        <f>equip.xml!P1080</f>
        <v>10000_1002_15000,30000_30001_1,30000_30002_1,30000_30003_1</v>
      </c>
    </row>
    <row r="1077" spans="1:14">
      <c r="A1077" s="1" t="str">
        <f>equip.xml!A1081</f>
        <v>40150041</v>
      </c>
      <c r="B1077" s="1">
        <f>equip.xml!B1081</f>
        <v>0</v>
      </c>
      <c r="C1077" s="1" t="str">
        <f>equip.xml!C1081</f>
        <v>新兵外套</v>
      </c>
      <c r="D1077" s="1" t="str">
        <f>equip.xml!D1081</f>
        <v>胸甲</v>
      </c>
      <c r="E1077" s="1">
        <f>equip.xml!E1081</f>
        <v>4</v>
      </c>
      <c r="F1077" s="1">
        <f>equip.xml!F1081</f>
        <v>4</v>
      </c>
      <c r="G1077" s="1">
        <f>equip.xml!G1081</f>
        <v>15</v>
      </c>
      <c r="H1077" s="1">
        <f>equip.xml!H1081</f>
        <v>0</v>
      </c>
      <c r="I1077" s="1">
        <f>equip.xml!J1081</f>
        <v>50</v>
      </c>
      <c r="J1077" s="1">
        <f>equip.xml!K1081</f>
        <v>500</v>
      </c>
      <c r="K1077" s="1">
        <f>equip.xml!L1081</f>
        <v>12500</v>
      </c>
      <c r="L1077" s="1" t="str">
        <f>equip.xml!M1081</f>
        <v>105_64_64</v>
      </c>
      <c r="M1077" s="7" t="str">
        <f>equip.xml!Q1081</f>
        <v>equipment/5001.png</v>
      </c>
      <c r="N1077" t="str">
        <f>equip.xml!P1081</f>
        <v>10000_1002_15000,30000_30001_1,30000_30002_1,30000_30003_1</v>
      </c>
    </row>
    <row r="1078" spans="1:14">
      <c r="A1078" s="1" t="str">
        <f>equip.xml!A1082</f>
        <v>40150070</v>
      </c>
      <c r="B1078" s="1">
        <f>equip.xml!B1082</f>
        <v>1</v>
      </c>
      <c r="C1078" s="1" t="str">
        <f>equip.xml!C1082</f>
        <v>荒野马裤</v>
      </c>
      <c r="D1078" s="1" t="str">
        <f>equip.xml!D1082</f>
        <v>护腿</v>
      </c>
      <c r="E1078" s="1">
        <f>equip.xml!E1082</f>
        <v>7</v>
      </c>
      <c r="F1078" s="1">
        <f>equip.xml!F1082</f>
        <v>4</v>
      </c>
      <c r="G1078" s="1">
        <f>equip.xml!G1082</f>
        <v>15</v>
      </c>
      <c r="H1078" s="1">
        <f>equip.xml!H1082</f>
        <v>0</v>
      </c>
      <c r="I1078" s="1">
        <f>equip.xml!J1082</f>
        <v>50</v>
      </c>
      <c r="J1078" s="1">
        <f>equip.xml!K1082</f>
        <v>500</v>
      </c>
      <c r="K1078" s="1">
        <f>equip.xml!L1082</f>
        <v>10000</v>
      </c>
      <c r="L1078" s="1" t="str">
        <f>equip.xml!M1082</f>
        <v>105_39_39</v>
      </c>
      <c r="M1078" s="7" t="str">
        <f>equip.xml!Q1082</f>
        <v>equipment/7003.png</v>
      </c>
      <c r="N1078" t="str">
        <f>equip.xml!P1082</f>
        <v>10000_1002_15000,30000_30001_1,30000_30002_1,30000_30003_1</v>
      </c>
    </row>
    <row r="1079" spans="1:14">
      <c r="A1079" s="1" t="str">
        <f>equip.xml!A1083</f>
        <v>40150071</v>
      </c>
      <c r="B1079" s="1">
        <f>equip.xml!B1083</f>
        <v>0</v>
      </c>
      <c r="C1079" s="1" t="str">
        <f>equip.xml!C1083</f>
        <v>学徒短裤</v>
      </c>
      <c r="D1079" s="1" t="str">
        <f>equip.xml!D1083</f>
        <v>护腿</v>
      </c>
      <c r="E1079" s="1">
        <f>equip.xml!E1083</f>
        <v>7</v>
      </c>
      <c r="F1079" s="1">
        <f>equip.xml!F1083</f>
        <v>4</v>
      </c>
      <c r="G1079" s="1">
        <f>equip.xml!G1083</f>
        <v>15</v>
      </c>
      <c r="H1079" s="1">
        <f>equip.xml!H1083</f>
        <v>0</v>
      </c>
      <c r="I1079" s="1">
        <f>equip.xml!J1083</f>
        <v>50</v>
      </c>
      <c r="J1079" s="1">
        <f>equip.xml!K1083</f>
        <v>500</v>
      </c>
      <c r="K1079" s="1">
        <f>equip.xml!L1083</f>
        <v>12500</v>
      </c>
      <c r="L1079" s="1" t="str">
        <f>equip.xml!M1083</f>
        <v>105_50_50</v>
      </c>
      <c r="M1079" s="7" t="str">
        <f>equip.xml!Q1083</f>
        <v>equipment/7001.png</v>
      </c>
      <c r="N1079" t="str">
        <f>equip.xml!P1083</f>
        <v>10000_1002_15000,30000_30001_1,30000_30002_1,30000_30003_1</v>
      </c>
    </row>
    <row r="1080" spans="1:14">
      <c r="A1080" s="1" t="str">
        <f>equip.xml!A1084</f>
        <v>40200010</v>
      </c>
      <c r="B1080" s="1">
        <f>equip.xml!B1084</f>
        <v>1</v>
      </c>
      <c r="C1080" s="1" t="str">
        <f>equip.xml!C1084</f>
        <v>卫士头盔</v>
      </c>
      <c r="D1080" s="1" t="str">
        <f>equip.xml!D1084</f>
        <v>头盔</v>
      </c>
      <c r="E1080" s="1">
        <f>equip.xml!E1084</f>
        <v>1</v>
      </c>
      <c r="F1080" s="1">
        <f>equip.xml!F1084</f>
        <v>4</v>
      </c>
      <c r="G1080" s="1">
        <f>equip.xml!G1084</f>
        <v>20</v>
      </c>
      <c r="H1080" s="1">
        <f>equip.xml!H1084</f>
        <v>0</v>
      </c>
      <c r="I1080" s="1">
        <f>equip.xml!J1084</f>
        <v>50</v>
      </c>
      <c r="J1080" s="1">
        <f>equip.xml!K1084</f>
        <v>500</v>
      </c>
      <c r="K1080" s="1">
        <f>equip.xml!L1084</f>
        <v>12500</v>
      </c>
      <c r="L1080" s="1" t="str">
        <f>equip.xml!M1084</f>
        <v>106_136_136</v>
      </c>
      <c r="M1080" s="7" t="str">
        <f>equip.xml!Q1084</f>
        <v>equipment/3003.png</v>
      </c>
      <c r="N1080" t="str">
        <f>equip.xml!P1084</f>
        <v>10000_1002_20000,30000_30001_1,30000_30002_1,30000_30003_1</v>
      </c>
    </row>
    <row r="1081" spans="1:14">
      <c r="A1081" s="1" t="str">
        <f>equip.xml!A1085</f>
        <v>40200020</v>
      </c>
      <c r="B1081" s="1">
        <f>equip.xml!B1085</f>
        <v>1</v>
      </c>
      <c r="C1081" s="1" t="str">
        <f>equip.xml!C1085</f>
        <v>石岩指环</v>
      </c>
      <c r="D1081" s="1" t="str">
        <f>equip.xml!D1085</f>
        <v>戒指</v>
      </c>
      <c r="E1081" s="1">
        <f>equip.xml!E1085</f>
        <v>2</v>
      </c>
      <c r="F1081" s="1">
        <f>equip.xml!F1085</f>
        <v>4</v>
      </c>
      <c r="G1081" s="1">
        <f>equip.xml!G1085</f>
        <v>20</v>
      </c>
      <c r="H1081" s="1">
        <f>equip.xml!H1085</f>
        <v>0</v>
      </c>
      <c r="I1081" s="1">
        <f>equip.xml!J1085</f>
        <v>50</v>
      </c>
      <c r="J1081" s="1">
        <f>equip.xml!K1085</f>
        <v>500</v>
      </c>
      <c r="K1081" s="1">
        <f>equip.xml!L1085</f>
        <v>12500</v>
      </c>
      <c r="L1081" s="1" t="str">
        <f>equip.xml!M1085</f>
        <v>102_240_240</v>
      </c>
      <c r="M1081" s="7" t="str">
        <f>equip.xml!Q1085</f>
        <v>equipment/14003.png</v>
      </c>
      <c r="N1081" t="str">
        <f>equip.xml!P1085</f>
        <v>10000_1002_20000,30000_30001_1,30000_30002_1,30000_30003_1</v>
      </c>
    </row>
    <row r="1082" spans="1:14">
      <c r="A1082" s="1" t="str">
        <f>equip.xml!A1086</f>
        <v>40200030</v>
      </c>
      <c r="B1082" s="1">
        <f>equip.xml!B1086</f>
        <v>1</v>
      </c>
      <c r="C1082" s="1" t="str">
        <f>equip.xml!C1086</f>
        <v>战士束带</v>
      </c>
      <c r="D1082" s="1" t="str">
        <f>equip.xml!D1086</f>
        <v>腰带</v>
      </c>
      <c r="E1082" s="1">
        <f>equip.xml!E1086</f>
        <v>3</v>
      </c>
      <c r="F1082" s="1">
        <f>equip.xml!F1086</f>
        <v>4</v>
      </c>
      <c r="G1082" s="1">
        <f>equip.xml!G1086</f>
        <v>20</v>
      </c>
      <c r="H1082" s="1">
        <f>equip.xml!H1086</f>
        <v>0</v>
      </c>
      <c r="I1082" s="1">
        <f>equip.xml!J1086</f>
        <v>50</v>
      </c>
      <c r="J1082" s="1">
        <f>equip.xml!K1086</f>
        <v>500</v>
      </c>
      <c r="K1082" s="1">
        <f>equip.xml!L1086</f>
        <v>12500</v>
      </c>
      <c r="L1082" s="1" t="str">
        <f>equip.xml!M1086</f>
        <v>101_2120_2120</v>
      </c>
      <c r="M1082" s="7" t="str">
        <f>equip.xml!Q1086</f>
        <v>equipment/6004.png</v>
      </c>
      <c r="N1082" t="str">
        <f>equip.xml!P1086</f>
        <v>10000_1002_20000,30000_30001_1,30000_30002_1,30000_30003_1</v>
      </c>
    </row>
    <row r="1083" spans="1:14">
      <c r="A1083" s="1" t="str">
        <f>equip.xml!A1087</f>
        <v>40200080</v>
      </c>
      <c r="B1083" s="1">
        <f>equip.xml!B1087</f>
        <v>0</v>
      </c>
      <c r="C1083" s="1" t="str">
        <f>equip.xml!C1087</f>
        <v>皮靴</v>
      </c>
      <c r="D1083" s="1" t="str">
        <f>equip.xml!D1087</f>
        <v>鞋子</v>
      </c>
      <c r="E1083" s="1">
        <f>equip.xml!E1087</f>
        <v>8</v>
      </c>
      <c r="F1083" s="1">
        <f>equip.xml!F1087</f>
        <v>4</v>
      </c>
      <c r="G1083" s="1">
        <f>equip.xml!G1087</f>
        <v>20</v>
      </c>
      <c r="H1083" s="1">
        <f>equip.xml!H1087</f>
        <v>0</v>
      </c>
      <c r="I1083" s="1">
        <f>equip.xml!J1087</f>
        <v>50</v>
      </c>
      <c r="J1083" s="1">
        <f>equip.xml!K1087</f>
        <v>500</v>
      </c>
      <c r="K1083" s="1">
        <f>equip.xml!L1087</f>
        <v>12500</v>
      </c>
      <c r="L1083" s="1" t="str">
        <f>equip.xml!M1087</f>
        <v>110_40_40</v>
      </c>
      <c r="M1083" s="7" t="str">
        <f>equip.xml!Q1087</f>
        <v>equipment/8001.png</v>
      </c>
      <c r="N1083" t="str">
        <f>equip.xml!P1087</f>
        <v>10000_1002_20000,30000_30001_1,30000_30002_1,30000_30003_1</v>
      </c>
    </row>
    <row r="1084" spans="1:14">
      <c r="A1084" s="1" t="str">
        <f>equip.xml!A1088</f>
        <v>40200090</v>
      </c>
      <c r="B1084" s="1">
        <f>equip.xml!B1088</f>
        <v>1</v>
      </c>
      <c r="C1084" s="1" t="str">
        <f>equip.xml!C1088</f>
        <v>工程手套</v>
      </c>
      <c r="D1084" s="1" t="str">
        <f>equip.xml!D1088</f>
        <v>手套</v>
      </c>
      <c r="E1084" s="1">
        <f>equip.xml!E1088</f>
        <v>9</v>
      </c>
      <c r="F1084" s="1">
        <f>equip.xml!F1088</f>
        <v>4</v>
      </c>
      <c r="G1084" s="1">
        <f>equip.xml!G1088</f>
        <v>20</v>
      </c>
      <c r="H1084" s="1">
        <f>equip.xml!H1088</f>
        <v>0</v>
      </c>
      <c r="I1084" s="1">
        <f>equip.xml!J1088</f>
        <v>50</v>
      </c>
      <c r="J1084" s="1">
        <f>equip.xml!K1088</f>
        <v>500</v>
      </c>
      <c r="K1084" s="1">
        <f>equip.xml!L1088</f>
        <v>12500</v>
      </c>
      <c r="L1084" s="1" t="str">
        <f>equip.xml!M1088</f>
        <v>108_211_211</v>
      </c>
      <c r="M1084" s="7" t="str">
        <f>equip.xml!Q1088</f>
        <v>equipment/10004.png</v>
      </c>
      <c r="N1084" t="str">
        <f>equip.xml!P1088</f>
        <v>10000_1002_20000,30000_30001_1,30000_30002_1,30000_30003_1</v>
      </c>
    </row>
    <row r="1085" spans="1:14">
      <c r="A1085" s="1" t="str">
        <f>equip.xml!A1089</f>
        <v>40200100</v>
      </c>
      <c r="B1085" s="1">
        <f>equip.xml!B1089</f>
        <v>1</v>
      </c>
      <c r="C1085" s="1" t="str">
        <f>equip.xml!C1089</f>
        <v>翡翠项链</v>
      </c>
      <c r="D1085" s="1" t="str">
        <f>equip.xml!D1089</f>
        <v>项链</v>
      </c>
      <c r="E1085" s="1">
        <f>equip.xml!E1089</f>
        <v>10</v>
      </c>
      <c r="F1085" s="1">
        <f>equip.xml!F1089</f>
        <v>4</v>
      </c>
      <c r="G1085" s="1">
        <f>equip.xml!G1089</f>
        <v>20</v>
      </c>
      <c r="H1085" s="1">
        <f>equip.xml!H1089</f>
        <v>0</v>
      </c>
      <c r="I1085" s="1">
        <f>equip.xml!J1089</f>
        <v>50</v>
      </c>
      <c r="J1085" s="1">
        <f>equip.xml!K1089</f>
        <v>500</v>
      </c>
      <c r="K1085" s="1">
        <f>equip.xml!L1089</f>
        <v>12500</v>
      </c>
      <c r="L1085" s="1" t="str">
        <f>equip.xml!M1089</f>
        <v>107_136_136</v>
      </c>
      <c r="M1085" s="7" t="str">
        <f>equip.xml!Q1089</f>
        <v>equipment/12003.png</v>
      </c>
      <c r="N1085" t="str">
        <f>equip.xml!P1089</f>
        <v>10000_1002_20000,30000_30001_1,30000_30002_1,30000_30003_1</v>
      </c>
    </row>
    <row r="1086" spans="1:14">
      <c r="A1086" s="1" t="str">
        <f>equip.xml!A1090</f>
        <v>40201050</v>
      </c>
      <c r="B1086" s="1">
        <f>equip.xml!B1090</f>
        <v>1</v>
      </c>
      <c r="C1086" s="1" t="str">
        <f>equip.xml!C1090</f>
        <v>勇者长剑</v>
      </c>
      <c r="D1086" s="1" t="str">
        <f>equip.xml!D1090</f>
        <v>主手武器</v>
      </c>
      <c r="E1086" s="1">
        <f>equip.xml!E1090</f>
        <v>5</v>
      </c>
      <c r="F1086" s="1">
        <f>equip.xml!F1090</f>
        <v>4</v>
      </c>
      <c r="G1086" s="1">
        <f>equip.xml!G1090</f>
        <v>20</v>
      </c>
      <c r="H1086" s="1" t="str">
        <f>equip.xml!H1090</f>
        <v>1,1001</v>
      </c>
      <c r="I1086" s="1">
        <f>equip.xml!J1090</f>
        <v>50</v>
      </c>
      <c r="J1086" s="1">
        <f>equip.xml!K1090</f>
        <v>500</v>
      </c>
      <c r="K1086" s="1">
        <f>equip.xml!L1090</f>
        <v>12500</v>
      </c>
      <c r="L1086" s="1" t="str">
        <f>equip.xml!M1090</f>
        <v>103_113_113,104_226_226</v>
      </c>
      <c r="M1086" s="7" t="str">
        <f>equip.xml!Q1090</f>
        <v>equipment/1109.png</v>
      </c>
      <c r="N1086" t="str">
        <f>equip.xml!P1090</f>
        <v>10000_1002_20000,30000_30001_1,30000_30002_1,30000_30003_1</v>
      </c>
    </row>
    <row r="1087" spans="1:14">
      <c r="A1087" s="1" t="str">
        <f>equip.xml!A1091</f>
        <v>40201051</v>
      </c>
      <c r="B1087" s="1">
        <f>equip.xml!B1091</f>
        <v>0</v>
      </c>
      <c r="C1087" s="1" t="str">
        <f>equip.xml!C1091</f>
        <v>军刀</v>
      </c>
      <c r="D1087" s="1" t="str">
        <f>equip.xml!D1091</f>
        <v>主手武器</v>
      </c>
      <c r="E1087" s="1">
        <f>equip.xml!E1091</f>
        <v>5</v>
      </c>
      <c r="F1087" s="1">
        <f>equip.xml!F1091</f>
        <v>4</v>
      </c>
      <c r="G1087" s="1">
        <f>equip.xml!G1091</f>
        <v>20</v>
      </c>
      <c r="H1087" s="1" t="str">
        <f>equip.xml!H1091</f>
        <v>1,1001</v>
      </c>
      <c r="I1087" s="1">
        <f>equip.xml!J1091</f>
        <v>50</v>
      </c>
      <c r="J1087" s="1">
        <f>equip.xml!K1091</f>
        <v>500</v>
      </c>
      <c r="K1087" s="1">
        <f>equip.xml!L1091</f>
        <v>15000</v>
      </c>
      <c r="L1087" s="1" t="str">
        <f>equip.xml!M1091</f>
        <v>103_138_138,104_276_276</v>
      </c>
      <c r="M1087" s="7" t="str">
        <f>equip.xml!Q1091</f>
        <v>equipment/1101.png</v>
      </c>
      <c r="N1087" t="str">
        <f>equip.xml!P1091</f>
        <v>10000_1002_20000,30000_30001_1,30000_30002_1,30000_30003_1</v>
      </c>
    </row>
    <row r="1088" spans="1:14">
      <c r="A1088" s="1" t="str">
        <f>equip.xml!A1092</f>
        <v>40201060</v>
      </c>
      <c r="B1088" s="1">
        <f>equip.xml!B1092</f>
        <v>1</v>
      </c>
      <c r="C1088" s="1" t="str">
        <f>equip.xml!C1092</f>
        <v>护卫之盾</v>
      </c>
      <c r="D1088" s="1" t="str">
        <f>equip.xml!D1092</f>
        <v>副手武器</v>
      </c>
      <c r="E1088" s="1">
        <f>equip.xml!E1092</f>
        <v>6</v>
      </c>
      <c r="F1088" s="1">
        <f>equip.xml!F1092</f>
        <v>4</v>
      </c>
      <c r="G1088" s="1">
        <f>equip.xml!G1092</f>
        <v>20</v>
      </c>
      <c r="H1088" s="1" t="str">
        <f>equip.xml!H1092</f>
        <v>1,1001</v>
      </c>
      <c r="I1088" s="1">
        <f>equip.xml!J1092</f>
        <v>50</v>
      </c>
      <c r="J1088" s="1">
        <f>equip.xml!K1092</f>
        <v>500</v>
      </c>
      <c r="K1088" s="1">
        <f>equip.xml!L1092</f>
        <v>12500</v>
      </c>
      <c r="L1088" s="1" t="str">
        <f>equip.xml!M1092</f>
        <v>105_171_171</v>
      </c>
      <c r="M1088" s="7" t="str">
        <f>equip.xml!Q1092</f>
        <v>equipment/2104.png</v>
      </c>
      <c r="N1088" t="str">
        <f>equip.xml!P1092</f>
        <v>10000_1002_20000,30000_30001_1,30000_30002_1,30000_30003_1</v>
      </c>
    </row>
    <row r="1089" spans="1:14">
      <c r="A1089" s="1" t="str">
        <f>equip.xml!A1093</f>
        <v>40201061</v>
      </c>
      <c r="B1089" s="1">
        <f>equip.xml!B1093</f>
        <v>0</v>
      </c>
      <c r="C1089" s="1" t="str">
        <f>equip.xml!C1093</f>
        <v>尖头盾</v>
      </c>
      <c r="D1089" s="1" t="str">
        <f>equip.xml!D1093</f>
        <v>副手武器</v>
      </c>
      <c r="E1089" s="1">
        <f>equip.xml!E1093</f>
        <v>6</v>
      </c>
      <c r="F1089" s="1">
        <f>equip.xml!F1093</f>
        <v>4</v>
      </c>
      <c r="G1089" s="1">
        <f>equip.xml!G1093</f>
        <v>20</v>
      </c>
      <c r="H1089" s="1" t="str">
        <f>equip.xml!H1093</f>
        <v>1,1001</v>
      </c>
      <c r="I1089" s="1">
        <f>equip.xml!J1093</f>
        <v>50</v>
      </c>
      <c r="J1089" s="1">
        <f>equip.xml!K1093</f>
        <v>500</v>
      </c>
      <c r="K1089" s="1">
        <f>equip.xml!L1093</f>
        <v>15000</v>
      </c>
      <c r="L1089" s="1" t="str">
        <f>equip.xml!M1093</f>
        <v>105_205_205</v>
      </c>
      <c r="M1089" s="7" t="str">
        <f>equip.xml!Q1093</f>
        <v>equipment/2101.png</v>
      </c>
      <c r="N1089" t="str">
        <f>equip.xml!P1093</f>
        <v>10000_1002_20000,30000_30001_1,30000_30002_1,30000_30003_1</v>
      </c>
    </row>
    <row r="1090" spans="1:14">
      <c r="A1090" s="1" t="str">
        <f>equip.xml!A1094</f>
        <v>40202050</v>
      </c>
      <c r="B1090" s="1">
        <f>equip.xml!B1094</f>
        <v>1</v>
      </c>
      <c r="C1090" s="1" t="str">
        <f>equip.xml!C1094</f>
        <v>护卫之弓</v>
      </c>
      <c r="D1090" s="1" t="str">
        <f>equip.xml!D1094</f>
        <v>主手武器</v>
      </c>
      <c r="E1090" s="1">
        <f>equip.xml!E1094</f>
        <v>5</v>
      </c>
      <c r="F1090" s="1">
        <f>equip.xml!F1094</f>
        <v>4</v>
      </c>
      <c r="G1090" s="1">
        <f>equip.xml!G1094</f>
        <v>20</v>
      </c>
      <c r="H1090" s="1" t="str">
        <f>equip.xml!H1094</f>
        <v>2,1002</v>
      </c>
      <c r="I1090" s="1">
        <f>equip.xml!J1094</f>
        <v>50</v>
      </c>
      <c r="J1090" s="1">
        <f>equip.xml!K1094</f>
        <v>500</v>
      </c>
      <c r="K1090" s="1">
        <f>equip.xml!L1094</f>
        <v>12500</v>
      </c>
      <c r="L1090" s="1" t="str">
        <f>equip.xml!M1094</f>
        <v>103_113_113,104_226_226</v>
      </c>
      <c r="M1090" s="7" t="str">
        <f>equip.xml!Q1094</f>
        <v>equipment/1209.png</v>
      </c>
      <c r="N1090" t="str">
        <f>equip.xml!P1094</f>
        <v>10000_1002_20000,30000_30001_1,30000_30002_1,30000_30003_1</v>
      </c>
    </row>
    <row r="1091" spans="1:14">
      <c r="A1091" s="1" t="str">
        <f>equip.xml!A1095</f>
        <v>40202051</v>
      </c>
      <c r="B1091" s="1">
        <f>equip.xml!B1095</f>
        <v>0</v>
      </c>
      <c r="C1091" s="1" t="str">
        <f>equip.xml!C1095</f>
        <v>棘木弓</v>
      </c>
      <c r="D1091" s="1" t="str">
        <f>equip.xml!D1095</f>
        <v>主手武器</v>
      </c>
      <c r="E1091" s="1">
        <f>equip.xml!E1095</f>
        <v>5</v>
      </c>
      <c r="F1091" s="1">
        <f>equip.xml!F1095</f>
        <v>4</v>
      </c>
      <c r="G1091" s="1">
        <f>equip.xml!G1095</f>
        <v>20</v>
      </c>
      <c r="H1091" s="1" t="str">
        <f>equip.xml!H1095</f>
        <v>2,1002</v>
      </c>
      <c r="I1091" s="1">
        <f>equip.xml!J1095</f>
        <v>50</v>
      </c>
      <c r="J1091" s="1">
        <f>equip.xml!K1095</f>
        <v>500</v>
      </c>
      <c r="K1091" s="1">
        <f>equip.xml!L1095</f>
        <v>15000</v>
      </c>
      <c r="L1091" s="1" t="str">
        <f>equip.xml!M1095</f>
        <v>103_138_138,104_276_276</v>
      </c>
      <c r="M1091" s="7" t="str">
        <f>equip.xml!Q1095</f>
        <v>equipment/1201.png</v>
      </c>
      <c r="N1091" t="str">
        <f>equip.xml!P1095</f>
        <v>10000_1002_20000,30000_30001_1,30000_30002_1,30000_30003_1</v>
      </c>
    </row>
    <row r="1092" spans="1:14">
      <c r="A1092" s="1" t="str">
        <f>equip.xml!A1096</f>
        <v>40202060</v>
      </c>
      <c r="B1092" s="1">
        <f>equip.xml!B1096</f>
        <v>1</v>
      </c>
      <c r="C1092" s="1" t="str">
        <f>equip.xml!C1096</f>
        <v>狩猎箭筒</v>
      </c>
      <c r="D1092" s="1" t="str">
        <f>equip.xml!D1096</f>
        <v>副手武器</v>
      </c>
      <c r="E1092" s="1">
        <f>equip.xml!E1096</f>
        <v>6</v>
      </c>
      <c r="F1092" s="1">
        <f>equip.xml!F1096</f>
        <v>4</v>
      </c>
      <c r="G1092" s="1">
        <f>equip.xml!G1096</f>
        <v>20</v>
      </c>
      <c r="H1092" s="1" t="str">
        <f>equip.xml!H1096</f>
        <v>2,1002</v>
      </c>
      <c r="I1092" s="1">
        <f>equip.xml!J1096</f>
        <v>50</v>
      </c>
      <c r="J1092" s="1">
        <f>equip.xml!K1096</f>
        <v>500</v>
      </c>
      <c r="K1092" s="1">
        <f>equip.xml!L1096</f>
        <v>12500</v>
      </c>
      <c r="L1092" s="1" t="str">
        <f>equip.xml!M1096</f>
        <v>108_171_171</v>
      </c>
      <c r="M1092" s="7" t="str">
        <f>equip.xml!Q1096</f>
        <v>equipment/2205.png</v>
      </c>
      <c r="N1092" t="str">
        <f>equip.xml!P1096</f>
        <v>10000_1002_20000,30000_30001_1,30000_30002_1,30000_30003_1</v>
      </c>
    </row>
    <row r="1093" spans="1:14">
      <c r="A1093" s="1" t="str">
        <f>equip.xml!A1097</f>
        <v>40202061</v>
      </c>
      <c r="B1093" s="1">
        <f>equip.xml!B1097</f>
        <v>0</v>
      </c>
      <c r="C1093" s="1" t="str">
        <f>equip.xml!C1097</f>
        <v>箭筒</v>
      </c>
      <c r="D1093" s="1" t="str">
        <f>equip.xml!D1097</f>
        <v>副手武器</v>
      </c>
      <c r="E1093" s="1">
        <f>equip.xml!E1097</f>
        <v>6</v>
      </c>
      <c r="F1093" s="1">
        <f>equip.xml!F1097</f>
        <v>4</v>
      </c>
      <c r="G1093" s="1">
        <f>equip.xml!G1097</f>
        <v>20</v>
      </c>
      <c r="H1093" s="1" t="str">
        <f>equip.xml!H1097</f>
        <v>2,1002</v>
      </c>
      <c r="I1093" s="1">
        <f>equip.xml!J1097</f>
        <v>50</v>
      </c>
      <c r="J1093" s="1">
        <f>equip.xml!K1097</f>
        <v>500</v>
      </c>
      <c r="K1093" s="1">
        <f>equip.xml!L1097</f>
        <v>15000</v>
      </c>
      <c r="L1093" s="1" t="str">
        <f>equip.xml!M1097</f>
        <v>108_205_205</v>
      </c>
      <c r="M1093" s="7" t="str">
        <f>equip.xml!Q1097</f>
        <v>equipment/2201.png</v>
      </c>
      <c r="N1093" t="str">
        <f>equip.xml!P1097</f>
        <v>10000_1002_20000,30000_30001_1,30000_30002_1,30000_30003_1</v>
      </c>
    </row>
    <row r="1094" spans="1:14">
      <c r="A1094" s="1" t="str">
        <f>equip.xml!A1098</f>
        <v>40203050</v>
      </c>
      <c r="B1094" s="1">
        <f>equip.xml!B1098</f>
        <v>1</v>
      </c>
      <c r="C1094" s="1" t="str">
        <f>equip.xml!C1098</f>
        <v>保护法杖</v>
      </c>
      <c r="D1094" s="1" t="str">
        <f>equip.xml!D1098</f>
        <v>主手武器</v>
      </c>
      <c r="E1094" s="1">
        <f>equip.xml!E1098</f>
        <v>5</v>
      </c>
      <c r="F1094" s="1">
        <f>equip.xml!F1098</f>
        <v>4</v>
      </c>
      <c r="G1094" s="1">
        <f>equip.xml!G1098</f>
        <v>20</v>
      </c>
      <c r="H1094" s="1" t="str">
        <f>equip.xml!H1098</f>
        <v>3,1003</v>
      </c>
      <c r="I1094" s="1">
        <f>equip.xml!J1098</f>
        <v>50</v>
      </c>
      <c r="J1094" s="1">
        <f>equip.xml!K1098</f>
        <v>500</v>
      </c>
      <c r="K1094" s="1">
        <f>equip.xml!L1098</f>
        <v>12500</v>
      </c>
      <c r="L1094" s="1" t="str">
        <f>equip.xml!M1098</f>
        <v>103_113_113,104_226_226</v>
      </c>
      <c r="M1094" s="7" t="str">
        <f>equip.xml!Q1098</f>
        <v>equipment/1309.png</v>
      </c>
      <c r="N1094" t="str">
        <f>equip.xml!P1098</f>
        <v>10000_1002_20000,30000_30001_1,30000_30002_1,30000_30003_1</v>
      </c>
    </row>
    <row r="1095" spans="1:14">
      <c r="A1095" s="1" t="str">
        <f>equip.xml!A1099</f>
        <v>40203051</v>
      </c>
      <c r="B1095" s="1">
        <f>equip.xml!B1099</f>
        <v>1</v>
      </c>
      <c r="C1095" s="1" t="str">
        <f>equip.xml!C1099</f>
        <v>火石法杖</v>
      </c>
      <c r="D1095" s="1" t="str">
        <f>equip.xml!D1099</f>
        <v>主手武器</v>
      </c>
      <c r="E1095" s="1">
        <f>equip.xml!E1099</f>
        <v>5</v>
      </c>
      <c r="F1095" s="1">
        <f>equip.xml!F1099</f>
        <v>4</v>
      </c>
      <c r="G1095" s="1">
        <f>equip.xml!G1099</f>
        <v>20</v>
      </c>
      <c r="H1095" s="1" t="str">
        <f>equip.xml!H1099</f>
        <v>3,1003</v>
      </c>
      <c r="I1095" s="1">
        <f>equip.xml!J1099</f>
        <v>50</v>
      </c>
      <c r="J1095" s="1">
        <f>equip.xml!K1099</f>
        <v>500</v>
      </c>
      <c r="K1095" s="1">
        <f>equip.xml!L1099</f>
        <v>15000</v>
      </c>
      <c r="L1095" s="1" t="str">
        <f>equip.xml!M1099</f>
        <v>103_138_138,104_276_276</v>
      </c>
      <c r="M1095" s="7" t="str">
        <f>equip.xml!Q1099</f>
        <v>equipment/1310.png</v>
      </c>
      <c r="N1095" t="str">
        <f>equip.xml!P1099</f>
        <v>10000_1002_20000,30000_30001_1,30000_30002_1,30000_30003_1</v>
      </c>
    </row>
    <row r="1096" spans="1:14">
      <c r="A1096" s="1" t="str">
        <f>equip.xml!A1100</f>
        <v>40203060</v>
      </c>
      <c r="B1096" s="1">
        <f>equip.xml!B1100</f>
        <v>1</v>
      </c>
      <c r="C1096" s="1" t="str">
        <f>equip.xml!C1100</f>
        <v>奥义之书</v>
      </c>
      <c r="D1096" s="1" t="str">
        <f>equip.xml!D1100</f>
        <v>副手武器</v>
      </c>
      <c r="E1096" s="1">
        <f>equip.xml!E1100</f>
        <v>6</v>
      </c>
      <c r="F1096" s="1">
        <f>equip.xml!F1100</f>
        <v>4</v>
      </c>
      <c r="G1096" s="1">
        <f>equip.xml!G1100</f>
        <v>20</v>
      </c>
      <c r="H1096" s="1" t="str">
        <f>equip.xml!H1100</f>
        <v>3,1003</v>
      </c>
      <c r="I1096" s="1">
        <f>equip.xml!J1100</f>
        <v>50</v>
      </c>
      <c r="J1096" s="1">
        <f>equip.xml!K1100</f>
        <v>500</v>
      </c>
      <c r="K1096" s="1">
        <f>equip.xml!L1100</f>
        <v>12500</v>
      </c>
      <c r="L1096" s="1" t="str">
        <f>equip.xml!M1100</f>
        <v>102_550_550</v>
      </c>
      <c r="M1096" s="7" t="str">
        <f>equip.xml!Q1100</f>
        <v>equipment/2305.png</v>
      </c>
      <c r="N1096" t="str">
        <f>equip.xml!P1100</f>
        <v>10000_1002_20000,30000_30001_1,30000_30002_1,30000_30003_1</v>
      </c>
    </row>
    <row r="1097" spans="1:14">
      <c r="A1097" s="1" t="str">
        <f>equip.xml!A1101</f>
        <v>40203061</v>
      </c>
      <c r="B1097" s="1">
        <f>equip.xml!B1101</f>
        <v>0</v>
      </c>
      <c r="C1097" s="1" t="str">
        <f>equip.xml!C1101</f>
        <v>法术指南</v>
      </c>
      <c r="D1097" s="1" t="str">
        <f>equip.xml!D1101</f>
        <v>副手武器</v>
      </c>
      <c r="E1097" s="1">
        <f>equip.xml!E1101</f>
        <v>6</v>
      </c>
      <c r="F1097" s="1">
        <f>equip.xml!F1101</f>
        <v>4</v>
      </c>
      <c r="G1097" s="1">
        <f>equip.xml!G1101</f>
        <v>20</v>
      </c>
      <c r="H1097" s="1" t="str">
        <f>equip.xml!H1101</f>
        <v>3,1003</v>
      </c>
      <c r="I1097" s="1">
        <f>equip.xml!J1101</f>
        <v>50</v>
      </c>
      <c r="J1097" s="1">
        <f>equip.xml!K1101</f>
        <v>500</v>
      </c>
      <c r="K1097" s="1">
        <f>equip.xml!L1101</f>
        <v>15000</v>
      </c>
      <c r="L1097" s="1" t="str">
        <f>equip.xml!M1101</f>
        <v>102_606_606</v>
      </c>
      <c r="M1097" s="7" t="str">
        <f>equip.xml!Q1101</f>
        <v>equipment/2301.png</v>
      </c>
      <c r="N1097" t="str">
        <f>equip.xml!P1101</f>
        <v>10000_1002_20000,30000_30001_1,30000_30002_1,30000_30003_1</v>
      </c>
    </row>
    <row r="1098" spans="1:14">
      <c r="A1098" s="1" t="str">
        <f>equip.xml!A1102</f>
        <v>40200040</v>
      </c>
      <c r="B1098" s="1">
        <f>equip.xml!B1102</f>
        <v>1</v>
      </c>
      <c r="C1098" s="1" t="str">
        <f>equip.xml!C1102</f>
        <v>卫兵胸甲</v>
      </c>
      <c r="D1098" s="1" t="str">
        <f>equip.xml!D1102</f>
        <v>胸甲</v>
      </c>
      <c r="E1098" s="1">
        <f>equip.xml!E1102</f>
        <v>4</v>
      </c>
      <c r="F1098" s="1">
        <f>equip.xml!F1102</f>
        <v>4</v>
      </c>
      <c r="G1098" s="1">
        <f>equip.xml!G1102</f>
        <v>20</v>
      </c>
      <c r="H1098" s="1">
        <f>equip.xml!H1102</f>
        <v>0</v>
      </c>
      <c r="I1098" s="1">
        <f>equip.xml!J1102</f>
        <v>50</v>
      </c>
      <c r="J1098" s="1">
        <f>equip.xml!K1102</f>
        <v>500</v>
      </c>
      <c r="K1098" s="1">
        <f>equip.xml!L1102</f>
        <v>12500</v>
      </c>
      <c r="L1098" s="1" t="str">
        <f>equip.xml!M1102</f>
        <v>105_102_102</v>
      </c>
      <c r="M1098" s="7" t="str">
        <f>equip.xml!Q1102</f>
        <v>equipment/5004.png</v>
      </c>
      <c r="N1098" t="str">
        <f>equip.xml!P1102</f>
        <v>10000_1002_20000,30000_30001_1,30000_30002_1,30000_30003_1</v>
      </c>
    </row>
    <row r="1099" spans="1:14">
      <c r="A1099" s="1" t="str">
        <f>equip.xml!A1103</f>
        <v>40200041</v>
      </c>
      <c r="B1099" s="1">
        <f>equip.xml!B1103</f>
        <v>1</v>
      </c>
      <c r="C1099" s="1" t="str">
        <f>equip.xml!C1103</f>
        <v>银月护甲</v>
      </c>
      <c r="D1099" s="1" t="str">
        <f>equip.xml!D1103</f>
        <v>胸甲</v>
      </c>
      <c r="E1099" s="1">
        <f>equip.xml!E1103</f>
        <v>4</v>
      </c>
      <c r="F1099" s="1">
        <f>equip.xml!F1103</f>
        <v>4</v>
      </c>
      <c r="G1099" s="1">
        <f>equip.xml!G1103</f>
        <v>20</v>
      </c>
      <c r="H1099" s="1">
        <f>equip.xml!H1103</f>
        <v>0</v>
      </c>
      <c r="I1099" s="1">
        <f>equip.xml!J1103</f>
        <v>50</v>
      </c>
      <c r="J1099" s="1">
        <f>equip.xml!K1103</f>
        <v>500</v>
      </c>
      <c r="K1099" s="1">
        <f>equip.xml!L1103</f>
        <v>15000</v>
      </c>
      <c r="L1099" s="1" t="str">
        <f>equip.xml!M1103</f>
        <v>105_122_122</v>
      </c>
      <c r="M1099" s="7" t="str">
        <f>equip.xml!Q1103</f>
        <v>equipment/5006.png</v>
      </c>
      <c r="N1099" t="str">
        <f>equip.xml!P1103</f>
        <v>10000_1002_20000,30000_30001_1,30000_30002_1,30000_30003_1</v>
      </c>
    </row>
    <row r="1100" spans="1:14">
      <c r="A1100" s="1" t="str">
        <f>equip.xml!A1104</f>
        <v>40200070</v>
      </c>
      <c r="B1100" s="1">
        <f>equip.xml!B1104</f>
        <v>1</v>
      </c>
      <c r="C1100" s="1" t="str">
        <f>equip.xml!C1104</f>
        <v>手工长裤</v>
      </c>
      <c r="D1100" s="1" t="str">
        <f>equip.xml!D1104</f>
        <v>护腿</v>
      </c>
      <c r="E1100" s="1">
        <f>equip.xml!E1104</f>
        <v>7</v>
      </c>
      <c r="F1100" s="1">
        <f>equip.xml!F1104</f>
        <v>4</v>
      </c>
      <c r="G1100" s="1">
        <f>equip.xml!G1104</f>
        <v>20</v>
      </c>
      <c r="H1100" s="1">
        <f>equip.xml!H1104</f>
        <v>0</v>
      </c>
      <c r="I1100" s="1">
        <f>equip.xml!J1104</f>
        <v>50</v>
      </c>
      <c r="J1100" s="1">
        <f>equip.xml!K1104</f>
        <v>500</v>
      </c>
      <c r="K1100" s="1">
        <f>equip.xml!L1104</f>
        <v>12500</v>
      </c>
      <c r="L1100" s="1" t="str">
        <f>equip.xml!M1104</f>
        <v>105_66_66</v>
      </c>
      <c r="M1100" s="7" t="str">
        <f>equip.xml!Q1104</f>
        <v>equipment/7005.png</v>
      </c>
      <c r="N1100" t="str">
        <f>equip.xml!P1104</f>
        <v>10000_1002_20000,30000_30001_1,30000_30002_1,30000_30003_1</v>
      </c>
    </row>
    <row r="1101" spans="1:14">
      <c r="A1101" s="1" t="str">
        <f>equip.xml!A1105</f>
        <v>40200071</v>
      </c>
      <c r="B1101" s="1">
        <f>equip.xml!B1105</f>
        <v>1</v>
      </c>
      <c r="C1101" s="1" t="str">
        <f>equip.xml!C1105</f>
        <v>链甲护腿</v>
      </c>
      <c r="D1101" s="1" t="str">
        <f>equip.xml!D1105</f>
        <v>护腿</v>
      </c>
      <c r="E1101" s="1">
        <f>equip.xml!E1105</f>
        <v>7</v>
      </c>
      <c r="F1101" s="1">
        <f>equip.xml!F1105</f>
        <v>4</v>
      </c>
      <c r="G1101" s="1">
        <f>equip.xml!G1105</f>
        <v>20</v>
      </c>
      <c r="H1101" s="1">
        <f>equip.xml!H1105</f>
        <v>0</v>
      </c>
      <c r="I1101" s="1">
        <f>equip.xml!J1105</f>
        <v>50</v>
      </c>
      <c r="J1101" s="1">
        <f>equip.xml!K1105</f>
        <v>500</v>
      </c>
      <c r="K1101" s="1">
        <f>equip.xml!L1105</f>
        <v>15000</v>
      </c>
      <c r="L1101" s="1" t="str">
        <f>equip.xml!M1105</f>
        <v>105_81_81</v>
      </c>
      <c r="M1101" s="7" t="str">
        <f>equip.xml!Q1105</f>
        <v>equipment/7004.png</v>
      </c>
      <c r="N1101" t="str">
        <f>equip.xml!P1105</f>
        <v>10000_1002_20000,30000_30001_1,30000_30002_1,30000_30003_1</v>
      </c>
    </row>
    <row r="1102" spans="1:14">
      <c r="A1102" s="1" t="str">
        <f>equip.xml!A1106</f>
        <v>40250010</v>
      </c>
      <c r="B1102" s="1">
        <f>equip.xml!B1106</f>
        <v>1</v>
      </c>
      <c r="C1102" s="1" t="str">
        <f>equip.xml!C1106</f>
        <v>盔帽</v>
      </c>
      <c r="D1102" s="1" t="str">
        <f>equip.xml!D1106</f>
        <v>头盔</v>
      </c>
      <c r="E1102" s="1">
        <f>equip.xml!E1106</f>
        <v>1</v>
      </c>
      <c r="F1102" s="1">
        <f>equip.xml!F1106</f>
        <v>4</v>
      </c>
      <c r="G1102" s="1">
        <f>equip.xml!G1106</f>
        <v>25</v>
      </c>
      <c r="H1102" s="1">
        <f>equip.xml!H1106</f>
        <v>0</v>
      </c>
      <c r="I1102" s="1">
        <f>equip.xml!J1106</f>
        <v>50</v>
      </c>
      <c r="J1102" s="1">
        <f>equip.xml!K1106</f>
        <v>500</v>
      </c>
      <c r="K1102" s="1">
        <f>equip.xml!L1106</f>
        <v>15000</v>
      </c>
      <c r="L1102" s="1" t="str">
        <f>equip.xml!M1106</f>
        <v>106_237_237</v>
      </c>
      <c r="M1102" s="7" t="str">
        <f>equip.xml!Q1106</f>
        <v>equipment/3005.png</v>
      </c>
      <c r="N1102" t="str">
        <f>equip.xml!P1106</f>
        <v>10000_1002_25000,30000_30001_1,30000_30002_1,30000_30003_1</v>
      </c>
    </row>
    <row r="1103" spans="1:14">
      <c r="A1103" s="1" t="str">
        <f>equip.xml!A1107</f>
        <v>40250020</v>
      </c>
      <c r="B1103" s="1">
        <f>equip.xml!B1107</f>
        <v>1</v>
      </c>
      <c r="C1103" s="1" t="str">
        <f>equip.xml!C1107</f>
        <v>血岩戒指</v>
      </c>
      <c r="D1103" s="1" t="str">
        <f>equip.xml!D1107</f>
        <v>戒指</v>
      </c>
      <c r="E1103" s="1">
        <f>equip.xml!E1107</f>
        <v>2</v>
      </c>
      <c r="F1103" s="1">
        <f>equip.xml!F1107</f>
        <v>4</v>
      </c>
      <c r="G1103" s="1">
        <f>equip.xml!G1107</f>
        <v>25</v>
      </c>
      <c r="H1103" s="1">
        <f>equip.xml!H1107</f>
        <v>0</v>
      </c>
      <c r="I1103" s="1">
        <f>equip.xml!J1107</f>
        <v>50</v>
      </c>
      <c r="J1103" s="1">
        <f>equip.xml!K1107</f>
        <v>500</v>
      </c>
      <c r="K1103" s="1">
        <f>equip.xml!L1107</f>
        <v>15000</v>
      </c>
      <c r="L1103" s="1" t="str">
        <f>equip.xml!M1107</f>
        <v>102_330_330</v>
      </c>
      <c r="M1103" s="7" t="str">
        <f>equip.xml!Q1107</f>
        <v>equipment/14004.png</v>
      </c>
      <c r="N1103" t="str">
        <f>equip.xml!P1107</f>
        <v>10000_1002_25000,30000_30001_1,30000_30002_1,30000_30003_1</v>
      </c>
    </row>
    <row r="1104" spans="1:14">
      <c r="A1104" s="1" t="str">
        <f>equip.xml!A1108</f>
        <v>40250030</v>
      </c>
      <c r="B1104" s="1">
        <f>equip.xml!B1108</f>
        <v>1</v>
      </c>
      <c r="C1104" s="1" t="str">
        <f>equip.xml!C1108</f>
        <v>前锋腰带</v>
      </c>
      <c r="D1104" s="1" t="str">
        <f>equip.xml!D1108</f>
        <v>腰带</v>
      </c>
      <c r="E1104" s="1">
        <f>equip.xml!E1108</f>
        <v>3</v>
      </c>
      <c r="F1104" s="1">
        <f>equip.xml!F1108</f>
        <v>4</v>
      </c>
      <c r="G1104" s="1">
        <f>equip.xml!G1108</f>
        <v>25</v>
      </c>
      <c r="H1104" s="1">
        <f>equip.xml!H1108</f>
        <v>0</v>
      </c>
      <c r="I1104" s="1">
        <f>equip.xml!J1108</f>
        <v>50</v>
      </c>
      <c r="J1104" s="1">
        <f>equip.xml!K1108</f>
        <v>500</v>
      </c>
      <c r="K1104" s="1">
        <f>equip.xml!L1108</f>
        <v>15000</v>
      </c>
      <c r="L1104" s="1" t="str">
        <f>equip.xml!M1108</f>
        <v>101_3360_3360</v>
      </c>
      <c r="M1104" s="7" t="str">
        <f>equip.xml!Q1108</f>
        <v>equipment/6005.png</v>
      </c>
      <c r="N1104" t="str">
        <f>equip.xml!P1108</f>
        <v>10000_1002_25000,30000_30001_1,30000_30002_1,30000_30003_1</v>
      </c>
    </row>
    <row r="1105" spans="1:14">
      <c r="A1105" s="1" t="str">
        <f>equip.xml!A1109</f>
        <v>40250080</v>
      </c>
      <c r="B1105" s="1">
        <f>equip.xml!B1109</f>
        <v>1</v>
      </c>
      <c r="C1105" s="1" t="str">
        <f>equip.xml!C1109</f>
        <v>探寻者之靴</v>
      </c>
      <c r="D1105" s="1" t="str">
        <f>equip.xml!D1109</f>
        <v>鞋子</v>
      </c>
      <c r="E1105" s="1">
        <f>equip.xml!E1109</f>
        <v>8</v>
      </c>
      <c r="F1105" s="1">
        <f>equip.xml!F1109</f>
        <v>4</v>
      </c>
      <c r="G1105" s="1">
        <f>equip.xml!G1109</f>
        <v>25</v>
      </c>
      <c r="H1105" s="1">
        <f>equip.xml!H1109</f>
        <v>0</v>
      </c>
      <c r="I1105" s="1">
        <f>equip.xml!J1109</f>
        <v>50</v>
      </c>
      <c r="J1105" s="1">
        <f>equip.xml!K1109</f>
        <v>500</v>
      </c>
      <c r="K1105" s="1">
        <f>equip.xml!L1109</f>
        <v>15000</v>
      </c>
      <c r="L1105" s="1" t="str">
        <f>equip.xml!M1109</f>
        <v>110_40_40</v>
      </c>
      <c r="M1105" s="7" t="str">
        <f>equip.xml!Q1109</f>
        <v>equipment/8004.png</v>
      </c>
      <c r="N1105" t="str">
        <f>equip.xml!P1109</f>
        <v>10000_1002_25000,30000_30001_1,30000_30002_1,30000_30003_1</v>
      </c>
    </row>
    <row r="1106" spans="1:14">
      <c r="A1106" s="1" t="str">
        <f>equip.xml!A1110</f>
        <v>40250090</v>
      </c>
      <c r="B1106" s="1">
        <f>equip.xml!B1110</f>
        <v>0</v>
      </c>
      <c r="C1106" s="1" t="str">
        <f>equip.xml!C1110</f>
        <v>轻布手套</v>
      </c>
      <c r="D1106" s="1" t="str">
        <f>equip.xml!D1110</f>
        <v>手套</v>
      </c>
      <c r="E1106" s="1">
        <f>equip.xml!E1110</f>
        <v>9</v>
      </c>
      <c r="F1106" s="1">
        <f>equip.xml!F1110</f>
        <v>4</v>
      </c>
      <c r="G1106" s="1">
        <f>equip.xml!G1110</f>
        <v>25</v>
      </c>
      <c r="H1106" s="1">
        <f>equip.xml!H1110</f>
        <v>0</v>
      </c>
      <c r="I1106" s="1">
        <f>equip.xml!J1110</f>
        <v>50</v>
      </c>
      <c r="J1106" s="1">
        <f>equip.xml!K1110</f>
        <v>500</v>
      </c>
      <c r="K1106" s="1">
        <f>equip.xml!L1110</f>
        <v>15000</v>
      </c>
      <c r="L1106" s="1" t="str">
        <f>equip.xml!M1110</f>
        <v>108_286_286</v>
      </c>
      <c r="M1106" s="7" t="str">
        <f>equip.xml!Q1110</f>
        <v>equipment/10001.png</v>
      </c>
      <c r="N1106" t="str">
        <f>equip.xml!P1110</f>
        <v>10000_1002_25000,30000_30001_1,30000_30002_1,30000_30003_1</v>
      </c>
    </row>
    <row r="1107" spans="1:14">
      <c r="A1107" s="1" t="str">
        <f>equip.xml!A1111</f>
        <v>40250100</v>
      </c>
      <c r="B1107" s="1">
        <f>equip.xml!B1111</f>
        <v>1</v>
      </c>
      <c r="C1107" s="1" t="str">
        <f>equip.xml!C1111</f>
        <v>魔光项链</v>
      </c>
      <c r="D1107" s="1" t="str">
        <f>equip.xml!D1111</f>
        <v>项链</v>
      </c>
      <c r="E1107" s="1">
        <f>equip.xml!E1111</f>
        <v>10</v>
      </c>
      <c r="F1107" s="1">
        <f>equip.xml!F1111</f>
        <v>4</v>
      </c>
      <c r="G1107" s="1">
        <f>equip.xml!G1111</f>
        <v>25</v>
      </c>
      <c r="H1107" s="1">
        <f>equip.xml!H1111</f>
        <v>0</v>
      </c>
      <c r="I1107" s="1">
        <f>equip.xml!J1111</f>
        <v>50</v>
      </c>
      <c r="J1107" s="1">
        <f>equip.xml!K1111</f>
        <v>500</v>
      </c>
      <c r="K1107" s="1">
        <f>equip.xml!L1111</f>
        <v>15000</v>
      </c>
      <c r="L1107" s="1" t="str">
        <f>equip.xml!M1111</f>
        <v>107_237_237</v>
      </c>
      <c r="M1107" s="7" t="str">
        <f>equip.xml!Q1111</f>
        <v>equipment/12004.png</v>
      </c>
      <c r="N1107" t="str">
        <f>equip.xml!P1111</f>
        <v>10000_1002_25000,30000_30001_1,30000_30002_1,30000_30003_1</v>
      </c>
    </row>
    <row r="1108" spans="1:14">
      <c r="A1108" s="1" t="str">
        <f>equip.xml!A1112</f>
        <v>40251050</v>
      </c>
      <c r="B1108" s="1">
        <f>equip.xml!B1112</f>
        <v>1</v>
      </c>
      <c r="C1108" s="1" t="str">
        <f>equip.xml!C1112</f>
        <v>血刃</v>
      </c>
      <c r="D1108" s="1" t="str">
        <f>equip.xml!D1112</f>
        <v>主手武器</v>
      </c>
      <c r="E1108" s="1">
        <f>equip.xml!E1112</f>
        <v>5</v>
      </c>
      <c r="F1108" s="1">
        <f>equip.xml!F1112</f>
        <v>4</v>
      </c>
      <c r="G1108" s="1">
        <f>equip.xml!G1112</f>
        <v>25</v>
      </c>
      <c r="H1108" s="1" t="str">
        <f>equip.xml!H1112</f>
        <v>1,1001</v>
      </c>
      <c r="I1108" s="1">
        <f>equip.xml!J1112</f>
        <v>50</v>
      </c>
      <c r="J1108" s="1">
        <f>equip.xml!K1112</f>
        <v>500</v>
      </c>
      <c r="K1108" s="1">
        <f>equip.xml!L1112</f>
        <v>15000</v>
      </c>
      <c r="L1108" s="1" t="str">
        <f>equip.xml!M1112</f>
        <v>103_177_177,104_354_354</v>
      </c>
      <c r="M1108" s="7" t="str">
        <f>equip.xml!Q1112</f>
        <v>equipment/1110.png</v>
      </c>
      <c r="N1108" t="str">
        <f>equip.xml!P1112</f>
        <v>10000_1002_25000,30000_30001_1,30000_30002_1,30000_30003_1</v>
      </c>
    </row>
    <row r="1109" spans="1:14">
      <c r="A1109" s="1" t="str">
        <f>equip.xml!A1113</f>
        <v>40251051</v>
      </c>
      <c r="B1109" s="1">
        <f>equip.xml!B1113</f>
        <v>1</v>
      </c>
      <c r="C1109" s="1" t="str">
        <f>equip.xml!C1113</f>
        <v>游侠利刃</v>
      </c>
      <c r="D1109" s="1" t="str">
        <f>equip.xml!D1113</f>
        <v>主手武器</v>
      </c>
      <c r="E1109" s="1">
        <f>equip.xml!E1113</f>
        <v>5</v>
      </c>
      <c r="F1109" s="1">
        <f>equip.xml!F1113</f>
        <v>4</v>
      </c>
      <c r="G1109" s="1">
        <f>equip.xml!G1113</f>
        <v>25</v>
      </c>
      <c r="H1109" s="1" t="str">
        <f>equip.xml!H1113</f>
        <v>1,1001</v>
      </c>
      <c r="I1109" s="1">
        <f>equip.xml!J1113</f>
        <v>50</v>
      </c>
      <c r="J1109" s="1">
        <f>equip.xml!K1113</f>
        <v>500</v>
      </c>
      <c r="K1109" s="1">
        <f>equip.xml!L1113</f>
        <v>17500</v>
      </c>
      <c r="L1109" s="1" t="str">
        <f>equip.xml!M1113</f>
        <v>103_216_216,104_432_432</v>
      </c>
      <c r="M1109" s="7" t="str">
        <f>equip.xml!Q1113</f>
        <v>equipment/1111.png</v>
      </c>
      <c r="N1109" t="str">
        <f>equip.xml!P1113</f>
        <v>10000_1002_25000,30000_30001_1,30000_30002_1,30000_30003_1</v>
      </c>
    </row>
    <row r="1110" spans="1:14">
      <c r="A1110" s="1" t="str">
        <f>equip.xml!A1114</f>
        <v>40251060</v>
      </c>
      <c r="B1110" s="1">
        <f>equip.xml!B1114</f>
        <v>1</v>
      </c>
      <c r="C1110" s="1" t="str">
        <f>equip.xml!C1114</f>
        <v>坚固重盾</v>
      </c>
      <c r="D1110" s="1" t="str">
        <f>equip.xml!D1114</f>
        <v>副手武器</v>
      </c>
      <c r="E1110" s="1">
        <f>equip.xml!E1114</f>
        <v>6</v>
      </c>
      <c r="F1110" s="1">
        <f>equip.xml!F1114</f>
        <v>4</v>
      </c>
      <c r="G1110" s="1">
        <f>equip.xml!G1114</f>
        <v>25</v>
      </c>
      <c r="H1110" s="1" t="str">
        <f>equip.xml!H1114</f>
        <v>1,1001</v>
      </c>
      <c r="I1110" s="1">
        <f>equip.xml!J1114</f>
        <v>50</v>
      </c>
      <c r="J1110" s="1">
        <f>equip.xml!K1114</f>
        <v>500</v>
      </c>
      <c r="K1110" s="1">
        <f>equip.xml!L1114</f>
        <v>15000</v>
      </c>
      <c r="L1110" s="1" t="str">
        <f>equip.xml!M1114</f>
        <v>105_256_256</v>
      </c>
      <c r="M1110" s="7" t="str">
        <f>equip.xml!Q1114</f>
        <v>equipment/2106.png</v>
      </c>
      <c r="N1110" t="str">
        <f>equip.xml!P1114</f>
        <v>10000_1002_25000,30000_30001_1,30000_30002_1,30000_30003_1</v>
      </c>
    </row>
    <row r="1111" spans="1:14">
      <c r="A1111" s="1" t="str">
        <f>equip.xml!A1115</f>
        <v>40251061</v>
      </c>
      <c r="B1111" s="1">
        <f>equip.xml!B1115</f>
        <v>0</v>
      </c>
      <c r="C1111" s="1" t="str">
        <f>equip.xml!C1115</f>
        <v>尖头盾</v>
      </c>
      <c r="D1111" s="1" t="str">
        <f>equip.xml!D1115</f>
        <v>副手武器</v>
      </c>
      <c r="E1111" s="1">
        <f>equip.xml!E1115</f>
        <v>6</v>
      </c>
      <c r="F1111" s="1">
        <f>equip.xml!F1115</f>
        <v>4</v>
      </c>
      <c r="G1111" s="1">
        <f>equip.xml!G1115</f>
        <v>25</v>
      </c>
      <c r="H1111" s="1" t="str">
        <f>equip.xml!H1115</f>
        <v>1,1001</v>
      </c>
      <c r="I1111" s="1">
        <f>equip.xml!J1115</f>
        <v>50</v>
      </c>
      <c r="J1111" s="1">
        <f>equip.xml!K1115</f>
        <v>500</v>
      </c>
      <c r="K1111" s="1">
        <f>equip.xml!L1115</f>
        <v>17500</v>
      </c>
      <c r="L1111" s="1" t="str">
        <f>equip.xml!M1115</f>
        <v>105_301_301</v>
      </c>
      <c r="M1111" s="7" t="str">
        <f>equip.xml!Q1115</f>
        <v>equipment/2101.png</v>
      </c>
      <c r="N1111" t="str">
        <f>equip.xml!P1115</f>
        <v>10000_1002_25000,30000_30001_1,30000_30002_1,30000_30003_1</v>
      </c>
    </row>
    <row r="1112" spans="1:14">
      <c r="A1112" s="1" t="str">
        <f>equip.xml!A1116</f>
        <v>40252050</v>
      </c>
      <c r="B1112" s="1">
        <f>equip.xml!B1116</f>
        <v>1</v>
      </c>
      <c r="C1112" s="1" t="str">
        <f>equip.xml!C1116</f>
        <v>精准之弓</v>
      </c>
      <c r="D1112" s="1" t="str">
        <f>equip.xml!D1116</f>
        <v>主手武器</v>
      </c>
      <c r="E1112" s="1">
        <f>equip.xml!E1116</f>
        <v>5</v>
      </c>
      <c r="F1112" s="1">
        <f>equip.xml!F1116</f>
        <v>4</v>
      </c>
      <c r="G1112" s="1">
        <f>equip.xml!G1116</f>
        <v>25</v>
      </c>
      <c r="H1112" s="1" t="str">
        <f>equip.xml!H1116</f>
        <v>2,1002</v>
      </c>
      <c r="I1112" s="1">
        <f>equip.xml!J1116</f>
        <v>50</v>
      </c>
      <c r="J1112" s="1">
        <f>equip.xml!K1116</f>
        <v>500</v>
      </c>
      <c r="K1112" s="1">
        <f>equip.xml!L1116</f>
        <v>15000</v>
      </c>
      <c r="L1112" s="1" t="str">
        <f>equip.xml!M1116</f>
        <v>103_177_177,104_354_354</v>
      </c>
      <c r="M1112" s="7" t="str">
        <f>equip.xml!Q1116</f>
        <v>equipment/1210.png</v>
      </c>
      <c r="N1112" t="str">
        <f>equip.xml!P1116</f>
        <v>10000_1002_25000,30000_30001_1,30000_30002_1,30000_30003_1</v>
      </c>
    </row>
    <row r="1113" spans="1:14">
      <c r="A1113" s="1" t="str">
        <f>equip.xml!A1117</f>
        <v>40252051</v>
      </c>
      <c r="B1113" s="1">
        <f>equip.xml!B1117</f>
        <v>1</v>
      </c>
      <c r="C1113" s="1" t="str">
        <f>equip.xml!C1117</f>
        <v>行者弯弓</v>
      </c>
      <c r="D1113" s="1" t="str">
        <f>equip.xml!D1117</f>
        <v>主手武器</v>
      </c>
      <c r="E1113" s="1">
        <f>equip.xml!E1117</f>
        <v>5</v>
      </c>
      <c r="F1113" s="1">
        <f>equip.xml!F1117</f>
        <v>4</v>
      </c>
      <c r="G1113" s="1">
        <f>equip.xml!G1117</f>
        <v>25</v>
      </c>
      <c r="H1113" s="1" t="str">
        <f>equip.xml!H1117</f>
        <v>2,1002</v>
      </c>
      <c r="I1113" s="1">
        <f>equip.xml!J1117</f>
        <v>50</v>
      </c>
      <c r="J1113" s="1">
        <f>equip.xml!K1117</f>
        <v>500</v>
      </c>
      <c r="K1113" s="1">
        <f>equip.xml!L1117</f>
        <v>17500</v>
      </c>
      <c r="L1113" s="1" t="str">
        <f>equip.xml!M1117</f>
        <v>103_216_216,104_432_432</v>
      </c>
      <c r="M1113" s="7" t="str">
        <f>equip.xml!Q1117</f>
        <v>equipment/1215.png</v>
      </c>
      <c r="N1113" t="str">
        <f>equip.xml!P1117</f>
        <v>10000_1002_25000,30000_30001_1,30000_30002_1,30000_30003_1</v>
      </c>
    </row>
    <row r="1114" spans="1:14">
      <c r="A1114" s="1" t="str">
        <f>equip.xml!A1118</f>
        <v>40252060</v>
      </c>
      <c r="B1114" s="1">
        <f>equip.xml!B1118</f>
        <v>1</v>
      </c>
      <c r="C1114" s="1" t="str">
        <f>equip.xml!C1118</f>
        <v>刺客箭筒</v>
      </c>
      <c r="D1114" s="1" t="str">
        <f>equip.xml!D1118</f>
        <v>副手武器</v>
      </c>
      <c r="E1114" s="1">
        <f>equip.xml!E1118</f>
        <v>6</v>
      </c>
      <c r="F1114" s="1">
        <f>equip.xml!F1118</f>
        <v>4</v>
      </c>
      <c r="G1114" s="1">
        <f>equip.xml!G1118</f>
        <v>25</v>
      </c>
      <c r="H1114" s="1" t="str">
        <f>equip.xml!H1118</f>
        <v>2,1002</v>
      </c>
      <c r="I1114" s="1">
        <f>equip.xml!J1118</f>
        <v>50</v>
      </c>
      <c r="J1114" s="1">
        <f>equip.xml!K1118</f>
        <v>500</v>
      </c>
      <c r="K1114" s="1">
        <f>equip.xml!L1118</f>
        <v>15000</v>
      </c>
      <c r="L1114" s="1" t="str">
        <f>equip.xml!M1118</f>
        <v>108_256_256</v>
      </c>
      <c r="M1114" s="7" t="str">
        <f>equip.xml!Q1118</f>
        <v>equipment/2206.png</v>
      </c>
      <c r="N1114" t="str">
        <f>equip.xml!P1118</f>
        <v>10000_1002_25000,30000_30001_1,30000_30002_1,30000_30003_1</v>
      </c>
    </row>
    <row r="1115" spans="1:14">
      <c r="A1115" s="1" t="str">
        <f>equip.xml!A1119</f>
        <v>40252061</v>
      </c>
      <c r="B1115" s="1">
        <f>equip.xml!B1119</f>
        <v>0</v>
      </c>
      <c r="C1115" s="1" t="str">
        <f>equip.xml!C1119</f>
        <v>箭筒</v>
      </c>
      <c r="D1115" s="1" t="str">
        <f>equip.xml!D1119</f>
        <v>副手武器</v>
      </c>
      <c r="E1115" s="1">
        <f>equip.xml!E1119</f>
        <v>6</v>
      </c>
      <c r="F1115" s="1">
        <f>equip.xml!F1119</f>
        <v>4</v>
      </c>
      <c r="G1115" s="1">
        <f>equip.xml!G1119</f>
        <v>25</v>
      </c>
      <c r="H1115" s="1" t="str">
        <f>equip.xml!H1119</f>
        <v>2,1002</v>
      </c>
      <c r="I1115" s="1">
        <f>equip.xml!J1119</f>
        <v>50</v>
      </c>
      <c r="J1115" s="1">
        <f>equip.xml!K1119</f>
        <v>500</v>
      </c>
      <c r="K1115" s="1">
        <f>equip.xml!L1119</f>
        <v>17500</v>
      </c>
      <c r="L1115" s="1" t="str">
        <f>equip.xml!M1119</f>
        <v>108_301_301</v>
      </c>
      <c r="M1115" s="7" t="str">
        <f>equip.xml!Q1119</f>
        <v>equipment/2201.png</v>
      </c>
      <c r="N1115" t="str">
        <f>equip.xml!P1119</f>
        <v>10000_1002_25000,30000_30001_1,30000_30002_1,30000_30003_1</v>
      </c>
    </row>
    <row r="1116" spans="1:14">
      <c r="A1116" s="1" t="str">
        <f>equip.xml!A1120</f>
        <v>40253050</v>
      </c>
      <c r="B1116" s="1">
        <f>equip.xml!B1120</f>
        <v>1</v>
      </c>
      <c r="C1116" s="1" t="str">
        <f>equip.xml!C1120</f>
        <v>预言法杖</v>
      </c>
      <c r="D1116" s="1" t="str">
        <f>equip.xml!D1120</f>
        <v>主手武器</v>
      </c>
      <c r="E1116" s="1">
        <f>equip.xml!E1120</f>
        <v>5</v>
      </c>
      <c r="F1116" s="1">
        <f>equip.xml!F1120</f>
        <v>4</v>
      </c>
      <c r="G1116" s="1">
        <f>equip.xml!G1120</f>
        <v>25</v>
      </c>
      <c r="H1116" s="1" t="str">
        <f>equip.xml!H1120</f>
        <v>3,1003</v>
      </c>
      <c r="I1116" s="1">
        <f>equip.xml!J1120</f>
        <v>50</v>
      </c>
      <c r="J1116" s="1">
        <f>equip.xml!K1120</f>
        <v>500</v>
      </c>
      <c r="K1116" s="1">
        <f>equip.xml!L1120</f>
        <v>15000</v>
      </c>
      <c r="L1116" s="1" t="str">
        <f>equip.xml!M1120</f>
        <v>103_177_177,104_354_354</v>
      </c>
      <c r="M1116" s="7" t="str">
        <f>equip.xml!Q1120</f>
        <v>equipment/1311.png</v>
      </c>
      <c r="N1116" t="str">
        <f>equip.xml!P1120</f>
        <v>10000_1002_25000,30000_30001_1,30000_30002_1,30000_30003_1</v>
      </c>
    </row>
    <row r="1117" spans="1:14">
      <c r="A1117" s="1" t="str">
        <f>equip.xml!A1121</f>
        <v>40253051</v>
      </c>
      <c r="B1117" s="1">
        <f>equip.xml!B1121</f>
        <v>0</v>
      </c>
      <c r="C1117" s="1" t="str">
        <f>equip.xml!C1121</f>
        <v>荒骨法杖</v>
      </c>
      <c r="D1117" s="1" t="str">
        <f>equip.xml!D1121</f>
        <v>主手武器</v>
      </c>
      <c r="E1117" s="1">
        <f>equip.xml!E1121</f>
        <v>5</v>
      </c>
      <c r="F1117" s="1">
        <f>equip.xml!F1121</f>
        <v>4</v>
      </c>
      <c r="G1117" s="1">
        <f>equip.xml!G1121</f>
        <v>25</v>
      </c>
      <c r="H1117" s="1" t="str">
        <f>equip.xml!H1121</f>
        <v>3,1003</v>
      </c>
      <c r="I1117" s="1">
        <f>equip.xml!J1121</f>
        <v>50</v>
      </c>
      <c r="J1117" s="1">
        <f>equip.xml!K1121</f>
        <v>500</v>
      </c>
      <c r="K1117" s="1">
        <f>equip.xml!L1121</f>
        <v>17500</v>
      </c>
      <c r="L1117" s="1" t="str">
        <f>equip.xml!M1121</f>
        <v>103_216_216,104_432_432</v>
      </c>
      <c r="M1117" s="7" t="str">
        <f>equip.xml!Q1121</f>
        <v>equipment/1312.png</v>
      </c>
      <c r="N1117" t="str">
        <f>equip.xml!P1121</f>
        <v>10000_1002_25000,30000_30001_1,30000_30002_1,30000_30003_1</v>
      </c>
    </row>
    <row r="1118" spans="1:14">
      <c r="A1118" s="1" t="str">
        <f>equip.xml!A1122</f>
        <v>40253060</v>
      </c>
      <c r="B1118" s="1">
        <f>equip.xml!B1122</f>
        <v>1</v>
      </c>
      <c r="C1118" s="1" t="str">
        <f>equip.xml!C1122</f>
        <v>魔法秘典</v>
      </c>
      <c r="D1118" s="1" t="str">
        <f>equip.xml!D1122</f>
        <v>副手武器</v>
      </c>
      <c r="E1118" s="1">
        <f>equip.xml!E1122</f>
        <v>6</v>
      </c>
      <c r="F1118" s="1">
        <f>equip.xml!F1122</f>
        <v>4</v>
      </c>
      <c r="G1118" s="1">
        <f>equip.xml!G1122</f>
        <v>25</v>
      </c>
      <c r="H1118" s="1" t="str">
        <f>equip.xml!H1122</f>
        <v>3,1003</v>
      </c>
      <c r="I1118" s="1">
        <f>equip.xml!J1122</f>
        <v>50</v>
      </c>
      <c r="J1118" s="1">
        <f>equip.xml!K1122</f>
        <v>500</v>
      </c>
      <c r="K1118" s="1">
        <f>equip.xml!L1122</f>
        <v>15000</v>
      </c>
      <c r="L1118" s="1" t="str">
        <f>equip.xml!M1122</f>
        <v>102_690_690</v>
      </c>
      <c r="M1118" s="7" t="str">
        <f>equip.xml!Q1122</f>
        <v>equipment/2306.png</v>
      </c>
      <c r="N1118" t="str">
        <f>equip.xml!P1122</f>
        <v>10000_1002_25000,30000_30001_1,30000_30002_1,30000_30003_1</v>
      </c>
    </row>
    <row r="1119" spans="1:14">
      <c r="A1119" s="1" t="str">
        <f>equip.xml!A1123</f>
        <v>40253061</v>
      </c>
      <c r="B1119" s="1">
        <f>equip.xml!B1123</f>
        <v>0</v>
      </c>
      <c r="C1119" s="1" t="str">
        <f>equip.xml!C1123</f>
        <v>法术指南</v>
      </c>
      <c r="D1119" s="1" t="str">
        <f>equip.xml!D1123</f>
        <v>副手武器</v>
      </c>
      <c r="E1119" s="1">
        <f>equip.xml!E1123</f>
        <v>6</v>
      </c>
      <c r="F1119" s="1">
        <f>equip.xml!F1123</f>
        <v>4</v>
      </c>
      <c r="G1119" s="1">
        <f>equip.xml!G1123</f>
        <v>25</v>
      </c>
      <c r="H1119" s="1" t="str">
        <f>equip.xml!H1123</f>
        <v>3,1003</v>
      </c>
      <c r="I1119" s="1">
        <f>equip.xml!J1123</f>
        <v>50</v>
      </c>
      <c r="J1119" s="1">
        <f>equip.xml!K1123</f>
        <v>500</v>
      </c>
      <c r="K1119" s="1">
        <f>equip.xml!L1123</f>
        <v>17500</v>
      </c>
      <c r="L1119" s="1" t="str">
        <f>equip.xml!M1123</f>
        <v>102_301_301</v>
      </c>
      <c r="M1119" s="7" t="str">
        <f>equip.xml!Q1123</f>
        <v>equipment/2301.png</v>
      </c>
      <c r="N1119" t="str">
        <f>equip.xml!P1123</f>
        <v>10000_1002_25000,30000_30001_1,30000_30002_1,30000_30003_1</v>
      </c>
    </row>
    <row r="1120" spans="1:14">
      <c r="A1120" s="1" t="str">
        <f>equip.xml!A1124</f>
        <v>40250040</v>
      </c>
      <c r="B1120" s="1">
        <f>equip.xml!B1124</f>
        <v>1</v>
      </c>
      <c r="C1120" s="1" t="str">
        <f>equip.xml!C1124</f>
        <v>烙铁胸甲</v>
      </c>
      <c r="D1120" s="1" t="str">
        <f>equip.xml!D1124</f>
        <v>胸甲</v>
      </c>
      <c r="E1120" s="1">
        <f>equip.xml!E1124</f>
        <v>4</v>
      </c>
      <c r="F1120" s="1">
        <f>equip.xml!F1124</f>
        <v>4</v>
      </c>
      <c r="G1120" s="1">
        <f>equip.xml!G1124</f>
        <v>25</v>
      </c>
      <c r="H1120" s="1">
        <f>equip.xml!H1124</f>
        <v>0</v>
      </c>
      <c r="I1120" s="1">
        <f>equip.xml!J1124</f>
        <v>50</v>
      </c>
      <c r="J1120" s="1">
        <f>equip.xml!K1124</f>
        <v>500</v>
      </c>
      <c r="K1120" s="1">
        <f>equip.xml!L1124</f>
        <v>15000</v>
      </c>
      <c r="L1120" s="1" t="str">
        <f>equip.xml!M1124</f>
        <v>105_153_153</v>
      </c>
      <c r="M1120" s="7" t="str">
        <f>equip.xml!Q1124</f>
        <v>equipment/5007.png</v>
      </c>
      <c r="N1120" t="str">
        <f>equip.xml!P1124</f>
        <v>10000_1002_25000,30000_30001_1,30000_30002_1,30000_30003_1</v>
      </c>
    </row>
    <row r="1121" spans="1:14">
      <c r="A1121" s="1" t="str">
        <f>equip.xml!A1125</f>
        <v>40250041</v>
      </c>
      <c r="B1121" s="1">
        <f>equip.xml!B1125</f>
        <v>0</v>
      </c>
      <c r="C1121" s="1" t="str">
        <f>equip.xml!C1125</f>
        <v>新兵外套</v>
      </c>
      <c r="D1121" s="1" t="str">
        <f>equip.xml!D1125</f>
        <v>胸甲</v>
      </c>
      <c r="E1121" s="1">
        <f>equip.xml!E1125</f>
        <v>4</v>
      </c>
      <c r="F1121" s="1">
        <f>equip.xml!F1125</f>
        <v>4</v>
      </c>
      <c r="G1121" s="1">
        <f>equip.xml!G1125</f>
        <v>25</v>
      </c>
      <c r="H1121" s="1">
        <f>equip.xml!H1125</f>
        <v>0</v>
      </c>
      <c r="I1121" s="1">
        <f>equip.xml!J1125</f>
        <v>50</v>
      </c>
      <c r="J1121" s="1">
        <f>equip.xml!K1125</f>
        <v>500</v>
      </c>
      <c r="K1121" s="1">
        <f>equip.xml!L1125</f>
        <v>17500</v>
      </c>
      <c r="L1121" s="1" t="str">
        <f>equip.xml!M1125</f>
        <v>105_178_178</v>
      </c>
      <c r="M1121" s="7" t="str">
        <f>equip.xml!Q1125</f>
        <v>equipment/5001.png</v>
      </c>
      <c r="N1121" t="str">
        <f>equip.xml!P1125</f>
        <v>10000_1002_25000,30000_30001_1,30000_30002_1,30000_30003_1</v>
      </c>
    </row>
    <row r="1122" spans="1:14">
      <c r="A1122" s="1" t="str">
        <f>equip.xml!A1126</f>
        <v>40250070</v>
      </c>
      <c r="B1122" s="1">
        <f>equip.xml!B1126</f>
        <v>1</v>
      </c>
      <c r="C1122" s="1" t="str">
        <f>equip.xml!C1126</f>
        <v>勇气腿甲</v>
      </c>
      <c r="D1122" s="1" t="str">
        <f>equip.xml!D1126</f>
        <v>护腿</v>
      </c>
      <c r="E1122" s="1">
        <f>equip.xml!E1126</f>
        <v>7</v>
      </c>
      <c r="F1122" s="1">
        <f>equip.xml!F1126</f>
        <v>4</v>
      </c>
      <c r="G1122" s="1">
        <f>equip.xml!G1126</f>
        <v>25</v>
      </c>
      <c r="H1122" s="1">
        <f>equip.xml!H1126</f>
        <v>0</v>
      </c>
      <c r="I1122" s="1">
        <f>equip.xml!J1126</f>
        <v>50</v>
      </c>
      <c r="J1122" s="1">
        <f>equip.xml!K1126</f>
        <v>500</v>
      </c>
      <c r="K1122" s="1">
        <f>equip.xml!L1126</f>
        <v>15000</v>
      </c>
      <c r="L1122" s="1" t="str">
        <f>equip.xml!M1126</f>
        <v>105_104_104</v>
      </c>
      <c r="M1122" s="7" t="str">
        <f>equip.xml!Q1126</f>
        <v>equipment/7006.png</v>
      </c>
      <c r="N1122" t="str">
        <f>equip.xml!P1126</f>
        <v>10000_1002_25000,30000_30001_1,30000_30002_1,30000_30003_1</v>
      </c>
    </row>
    <row r="1123" spans="1:14">
      <c r="A1123" s="1" t="str">
        <f>equip.xml!A1127</f>
        <v>40250071</v>
      </c>
      <c r="B1123" s="1">
        <f>equip.xml!B1127</f>
        <v>0</v>
      </c>
      <c r="C1123" s="1" t="str">
        <f>equip.xml!C1127</f>
        <v>学徒短裤</v>
      </c>
      <c r="D1123" s="1" t="str">
        <f>equip.xml!D1127</f>
        <v>护腿</v>
      </c>
      <c r="E1123" s="1">
        <f>equip.xml!E1127</f>
        <v>7</v>
      </c>
      <c r="F1123" s="1">
        <f>equip.xml!F1127</f>
        <v>4</v>
      </c>
      <c r="G1123" s="1">
        <f>equip.xml!G1127</f>
        <v>25</v>
      </c>
      <c r="H1123" s="1">
        <f>equip.xml!H1127</f>
        <v>0</v>
      </c>
      <c r="I1123" s="1">
        <f>equip.xml!J1127</f>
        <v>50</v>
      </c>
      <c r="J1123" s="1">
        <f>equip.xml!K1127</f>
        <v>500</v>
      </c>
      <c r="K1123" s="1">
        <f>equip.xml!L1127</f>
        <v>17500</v>
      </c>
      <c r="L1123" s="1" t="str">
        <f>equip.xml!M1127</f>
        <v>105_149_149</v>
      </c>
      <c r="M1123" s="7" t="str">
        <f>equip.xml!Q1127</f>
        <v>equipment/7001.png</v>
      </c>
      <c r="N1123" t="str">
        <f>equip.xml!P1127</f>
        <v>10000_1002_25000,30000_30001_1,30000_30002_1,30000_30003_1</v>
      </c>
    </row>
    <row r="1124" spans="1:14">
      <c r="A1124" s="1" t="str">
        <f>equip.xml!A1128</f>
        <v>40300010</v>
      </c>
      <c r="B1124" s="1">
        <f>equip.xml!B1128</f>
        <v>1</v>
      </c>
      <c r="C1124" s="1" t="str">
        <f>equip.xml!C1128</f>
        <v>双链罩帽</v>
      </c>
      <c r="D1124" s="1" t="str">
        <f>equip.xml!D1128</f>
        <v>头盔</v>
      </c>
      <c r="E1124" s="1">
        <f>equip.xml!E1128</f>
        <v>1</v>
      </c>
      <c r="F1124" s="1">
        <f>equip.xml!F1128</f>
        <v>4</v>
      </c>
      <c r="G1124" s="1">
        <f>equip.xml!G1128</f>
        <v>30</v>
      </c>
      <c r="H1124" s="1">
        <f>equip.xml!H1128</f>
        <v>0</v>
      </c>
      <c r="I1124" s="1">
        <f>equip.xml!J1128</f>
        <v>50</v>
      </c>
      <c r="J1124" s="1">
        <f>equip.xml!K1128</f>
        <v>500</v>
      </c>
      <c r="K1124" s="1">
        <f>equip.xml!L1128</f>
        <v>17500</v>
      </c>
      <c r="L1124" s="1" t="str">
        <f>equip.xml!M1128</f>
        <v>106_372_372</v>
      </c>
      <c r="M1124" s="7" t="str">
        <f>equip.xml!Q1128</f>
        <v>equipment/3004.png</v>
      </c>
      <c r="N1124" t="str">
        <f>equip.xml!P1128</f>
        <v>10000_1002_30000,30000_30001_1,30000_30002_1,30000_30003_1</v>
      </c>
    </row>
    <row r="1125" spans="1:14">
      <c r="A1125" s="1" t="str">
        <f>equip.xml!A1129</f>
        <v>40300020</v>
      </c>
      <c r="B1125" s="1">
        <f>equip.xml!B1129</f>
        <v>1</v>
      </c>
      <c r="C1125" s="1" t="str">
        <f>equip.xml!C1129</f>
        <v>繁星之戒</v>
      </c>
      <c r="D1125" s="1" t="str">
        <f>equip.xml!D1129</f>
        <v>戒指</v>
      </c>
      <c r="E1125" s="1">
        <f>equip.xml!E1129</f>
        <v>2</v>
      </c>
      <c r="F1125" s="1">
        <f>equip.xml!F1129</f>
        <v>4</v>
      </c>
      <c r="G1125" s="1">
        <f>equip.xml!G1129</f>
        <v>30</v>
      </c>
      <c r="H1125" s="1">
        <f>equip.xml!H1129</f>
        <v>0</v>
      </c>
      <c r="I1125" s="1">
        <f>equip.xml!J1129</f>
        <v>50</v>
      </c>
      <c r="J1125" s="1">
        <f>equip.xml!K1129</f>
        <v>500</v>
      </c>
      <c r="K1125" s="1">
        <f>equip.xml!L1129</f>
        <v>17500</v>
      </c>
      <c r="L1125" s="1" t="str">
        <f>equip.xml!M1129</f>
        <v>102_460_460</v>
      </c>
      <c r="M1125" s="7" t="str">
        <f>equip.xml!Q1129</f>
        <v>equipment/14005.png</v>
      </c>
      <c r="N1125" t="str">
        <f>equip.xml!P1129</f>
        <v>10000_1002_30000,30000_30001_1,30000_30002_1,30000_30003_1</v>
      </c>
    </row>
    <row r="1126" spans="1:14">
      <c r="A1126" s="1" t="str">
        <f>equip.xml!A1130</f>
        <v>40300030</v>
      </c>
      <c r="B1126" s="1">
        <f>equip.xml!B1130</f>
        <v>0</v>
      </c>
      <c r="C1126" s="1" t="str">
        <f>equip.xml!C1130</f>
        <v>秘银腰带</v>
      </c>
      <c r="D1126" s="1" t="str">
        <f>equip.xml!D1130</f>
        <v>腰带</v>
      </c>
      <c r="E1126" s="1">
        <f>equip.xml!E1130</f>
        <v>3</v>
      </c>
      <c r="F1126" s="1">
        <f>equip.xml!F1130</f>
        <v>4</v>
      </c>
      <c r="G1126" s="1">
        <f>equip.xml!G1130</f>
        <v>30</v>
      </c>
      <c r="H1126" s="1">
        <f>equip.xml!H1130</f>
        <v>0</v>
      </c>
      <c r="I1126" s="1">
        <f>equip.xml!J1130</f>
        <v>50</v>
      </c>
      <c r="J1126" s="1">
        <f>equip.xml!K1130</f>
        <v>500</v>
      </c>
      <c r="K1126" s="1">
        <f>equip.xml!L1130</f>
        <v>17500</v>
      </c>
      <c r="L1126" s="1" t="str">
        <f>equip.xml!M1130</f>
        <v>101_3360_3360</v>
      </c>
      <c r="M1126" s="7" t="str">
        <f>equip.xml!Q1130</f>
        <v>equipment/6001.png</v>
      </c>
      <c r="N1126" t="str">
        <f>equip.xml!P1130</f>
        <v>10000_1002_30000,30000_30001_1,30000_30002_1,30000_30003_1</v>
      </c>
    </row>
    <row r="1127" spans="1:14">
      <c r="A1127" s="1" t="str">
        <f>equip.xml!A1131</f>
        <v>40300080</v>
      </c>
      <c r="B1127" s="1">
        <f>equip.xml!B1131</f>
        <v>1</v>
      </c>
      <c r="C1127" s="1" t="str">
        <f>equip.xml!C1131</f>
        <v>镶饰胫甲</v>
      </c>
      <c r="D1127" s="1" t="str">
        <f>equip.xml!D1131</f>
        <v>鞋子</v>
      </c>
      <c r="E1127" s="1">
        <f>equip.xml!E1131</f>
        <v>8</v>
      </c>
      <c r="F1127" s="1">
        <f>equip.xml!F1131</f>
        <v>4</v>
      </c>
      <c r="G1127" s="1">
        <f>equip.xml!G1131</f>
        <v>30</v>
      </c>
      <c r="H1127" s="1">
        <f>equip.xml!H1131</f>
        <v>0</v>
      </c>
      <c r="I1127" s="1">
        <f>equip.xml!J1131</f>
        <v>50</v>
      </c>
      <c r="J1127" s="1">
        <f>equip.xml!K1131</f>
        <v>500</v>
      </c>
      <c r="K1127" s="1">
        <f>equip.xml!L1131</f>
        <v>17500</v>
      </c>
      <c r="L1127" s="1" t="str">
        <f>equip.xml!M1131</f>
        <v>110_65_65</v>
      </c>
      <c r="M1127" s="7" t="str">
        <f>equip.xml!Q1131</f>
        <v>equipment/8005.png</v>
      </c>
      <c r="N1127" t="str">
        <f>equip.xml!P1131</f>
        <v>10000_1002_30000,30000_30001_1,30000_30002_1,30000_30003_1</v>
      </c>
    </row>
    <row r="1128" spans="1:14">
      <c r="A1128" s="1" t="str">
        <f>equip.xml!A1132</f>
        <v>40300090</v>
      </c>
      <c r="B1128" s="1">
        <f>equip.xml!B1132</f>
        <v>1</v>
      </c>
      <c r="C1128" s="1" t="str">
        <f>equip.xml!C1132</f>
        <v>链甲手套</v>
      </c>
      <c r="D1128" s="1" t="str">
        <f>equip.xml!D1132</f>
        <v>手套</v>
      </c>
      <c r="E1128" s="1">
        <f>equip.xml!E1132</f>
        <v>9</v>
      </c>
      <c r="F1128" s="1">
        <f>equip.xml!F1132</f>
        <v>4</v>
      </c>
      <c r="G1128" s="1">
        <f>equip.xml!G1132</f>
        <v>30</v>
      </c>
      <c r="H1128" s="1">
        <f>equip.xml!H1132</f>
        <v>0</v>
      </c>
      <c r="I1128" s="1">
        <f>equip.xml!J1132</f>
        <v>50</v>
      </c>
      <c r="J1128" s="1">
        <f>equip.xml!K1132</f>
        <v>500</v>
      </c>
      <c r="K1128" s="1">
        <f>equip.xml!L1132</f>
        <v>17500</v>
      </c>
      <c r="L1128" s="1" t="str">
        <f>equip.xml!M1132</f>
        <v>108_367_367</v>
      </c>
      <c r="M1128" s="7" t="str">
        <f>equip.xml!Q1132</f>
        <v>equipment/10005.png</v>
      </c>
      <c r="N1128" t="str">
        <f>equip.xml!P1132</f>
        <v>10000_1002_30000,30000_30001_1,30000_30002_1,30000_30003_1</v>
      </c>
    </row>
    <row r="1129" spans="1:14">
      <c r="A1129" s="1" t="str">
        <f>equip.xml!A1133</f>
        <v>40300100</v>
      </c>
      <c r="B1129" s="1">
        <f>equip.xml!B1133</f>
        <v>1</v>
      </c>
      <c r="C1129" s="1" t="str">
        <f>equip.xml!C1133</f>
        <v>虎眼石项链</v>
      </c>
      <c r="D1129" s="1" t="str">
        <f>equip.xml!D1133</f>
        <v>项链</v>
      </c>
      <c r="E1129" s="1">
        <f>equip.xml!E1133</f>
        <v>10</v>
      </c>
      <c r="F1129" s="1">
        <f>equip.xml!F1133</f>
        <v>4</v>
      </c>
      <c r="G1129" s="1">
        <f>equip.xml!G1133</f>
        <v>30</v>
      </c>
      <c r="H1129" s="1">
        <f>equip.xml!H1133</f>
        <v>0</v>
      </c>
      <c r="I1129" s="1">
        <f>equip.xml!J1133</f>
        <v>50</v>
      </c>
      <c r="J1129" s="1">
        <f>equip.xml!K1133</f>
        <v>500</v>
      </c>
      <c r="K1129" s="1">
        <f>equip.xml!L1133</f>
        <v>17500</v>
      </c>
      <c r="L1129" s="1" t="str">
        <f>equip.xml!M1133</f>
        <v>107_372_372</v>
      </c>
      <c r="M1129" s="7" t="str">
        <f>equip.xml!Q1133</f>
        <v>equipment/12005.png</v>
      </c>
      <c r="N1129" t="str">
        <f>equip.xml!P1133</f>
        <v>10000_1002_30000,30000_30001_1,30000_30002_1,30000_30003_1</v>
      </c>
    </row>
    <row r="1130" spans="1:14">
      <c r="A1130" s="1" t="str">
        <f>equip.xml!A1134</f>
        <v>40301050</v>
      </c>
      <c r="B1130" s="1">
        <f>equip.xml!B1134</f>
        <v>1</v>
      </c>
      <c r="C1130" s="1" t="str">
        <f>equip.xml!C1134</f>
        <v>炽热长剑</v>
      </c>
      <c r="D1130" s="1" t="str">
        <f>equip.xml!D1134</f>
        <v>主手武器</v>
      </c>
      <c r="E1130" s="1">
        <f>equip.xml!E1134</f>
        <v>5</v>
      </c>
      <c r="F1130" s="1">
        <f>equip.xml!F1134</f>
        <v>4</v>
      </c>
      <c r="G1130" s="1">
        <f>equip.xml!G1134</f>
        <v>30</v>
      </c>
      <c r="H1130" s="1" t="str">
        <f>equip.xml!H1134</f>
        <v>1,1001</v>
      </c>
      <c r="I1130" s="1">
        <f>equip.xml!J1134</f>
        <v>50</v>
      </c>
      <c r="J1130" s="1">
        <f>equip.xml!K1134</f>
        <v>500</v>
      </c>
      <c r="K1130" s="1">
        <f>equip.xml!L1134</f>
        <v>17500</v>
      </c>
      <c r="L1130" s="1" t="str">
        <f>equip.xml!M1134</f>
        <v>103_275_275,104_550_550</v>
      </c>
      <c r="M1130" s="7" t="str">
        <f>equip.xml!Q1134</f>
        <v>equipment/1112.png</v>
      </c>
      <c r="N1130" t="str">
        <f>equip.xml!P1134</f>
        <v>10000_1002_30000,30000_30001_1,30000_30002_1,30000_30003_1</v>
      </c>
    </row>
    <row r="1131" spans="1:14">
      <c r="A1131" s="1" t="str">
        <f>equip.xml!A1135</f>
        <v>40301051</v>
      </c>
      <c r="B1131" s="1">
        <f>equip.xml!B1135</f>
        <v>1</v>
      </c>
      <c r="C1131" s="1" t="str">
        <f>equip.xml!C1135</f>
        <v>贵族阔剑</v>
      </c>
      <c r="D1131" s="1" t="str">
        <f>equip.xml!D1135</f>
        <v>主手武器</v>
      </c>
      <c r="E1131" s="1">
        <f>equip.xml!E1135</f>
        <v>5</v>
      </c>
      <c r="F1131" s="1">
        <f>equip.xml!F1135</f>
        <v>4</v>
      </c>
      <c r="G1131" s="1">
        <f>equip.xml!G1135</f>
        <v>30</v>
      </c>
      <c r="H1131" s="1" t="str">
        <f>equip.xml!H1135</f>
        <v>1,1001</v>
      </c>
      <c r="I1131" s="1">
        <f>equip.xml!J1135</f>
        <v>50</v>
      </c>
      <c r="J1131" s="1">
        <f>equip.xml!K1135</f>
        <v>500</v>
      </c>
      <c r="K1131" s="1">
        <f>equip.xml!L1135</f>
        <v>20000</v>
      </c>
      <c r="L1131" s="1" t="str">
        <f>equip.xml!M1135</f>
        <v>103_342_342,104_684_684</v>
      </c>
      <c r="M1131" s="7" t="str">
        <f>equip.xml!Q1135</f>
        <v>equipment/1113.png</v>
      </c>
      <c r="N1131" t="str">
        <f>equip.xml!P1135</f>
        <v>10000_1002_30000,30000_30001_1,30000_30002_1,30000_30003_1</v>
      </c>
    </row>
    <row r="1132" spans="1:14">
      <c r="A1132" s="1" t="str">
        <f>equip.xml!A1136</f>
        <v>40301060</v>
      </c>
      <c r="B1132" s="1">
        <f>equip.xml!B1136</f>
        <v>1</v>
      </c>
      <c r="C1132" s="1" t="str">
        <f>equip.xml!C1136</f>
        <v>耐久盾牌</v>
      </c>
      <c r="D1132" s="1" t="str">
        <f>equip.xml!D1136</f>
        <v>副手武器</v>
      </c>
      <c r="E1132" s="1">
        <f>equip.xml!E1136</f>
        <v>6</v>
      </c>
      <c r="F1132" s="1">
        <f>equip.xml!F1136</f>
        <v>4</v>
      </c>
      <c r="G1132" s="1">
        <f>equip.xml!G1136</f>
        <v>30</v>
      </c>
      <c r="H1132" s="1" t="str">
        <f>equip.xml!H1136</f>
        <v>1,1001</v>
      </c>
      <c r="I1132" s="1">
        <f>equip.xml!J1136</f>
        <v>50</v>
      </c>
      <c r="J1132" s="1">
        <f>equip.xml!K1136</f>
        <v>500</v>
      </c>
      <c r="K1132" s="1">
        <f>equip.xml!L1136</f>
        <v>17500</v>
      </c>
      <c r="L1132" s="1" t="str">
        <f>equip.xml!M1136</f>
        <v>105_368_368</v>
      </c>
      <c r="M1132" s="7" t="str">
        <f>equip.xml!Q1136</f>
        <v>equipment/2107.png</v>
      </c>
      <c r="N1132" t="str">
        <f>equip.xml!P1136</f>
        <v>10000_1002_30000,30000_30001_1,30000_30002_1,30000_30003_1</v>
      </c>
    </row>
    <row r="1133" spans="1:14">
      <c r="A1133" s="1" t="str">
        <f>equip.xml!A1137</f>
        <v>40301061</v>
      </c>
      <c r="B1133" s="1">
        <f>equip.xml!B1137</f>
        <v>0</v>
      </c>
      <c r="C1133" s="1" t="str">
        <f>equip.xml!C1137</f>
        <v>盐石盾牌</v>
      </c>
      <c r="D1133" s="1" t="str">
        <f>equip.xml!D1137</f>
        <v>副手武器</v>
      </c>
      <c r="E1133" s="1">
        <f>equip.xml!E1137</f>
        <v>6</v>
      </c>
      <c r="F1133" s="1">
        <f>equip.xml!F1137</f>
        <v>4</v>
      </c>
      <c r="G1133" s="1">
        <f>equip.xml!G1137</f>
        <v>30</v>
      </c>
      <c r="H1133" s="1" t="str">
        <f>equip.xml!H1137</f>
        <v>1,1001</v>
      </c>
      <c r="I1133" s="1">
        <f>equip.xml!J1137</f>
        <v>50</v>
      </c>
      <c r="J1133" s="1">
        <f>equip.xml!K1137</f>
        <v>500</v>
      </c>
      <c r="K1133" s="1">
        <f>equip.xml!L1137</f>
        <v>20000</v>
      </c>
      <c r="L1133" s="1" t="str">
        <f>equip.xml!M1137</f>
        <v>105_491_491</v>
      </c>
      <c r="M1133" s="7" t="str">
        <f>equip.xml!Q1137</f>
        <v>equipment/2108.png</v>
      </c>
      <c r="N1133" t="str">
        <f>equip.xml!P1137</f>
        <v>10000_1002_30000,30000_30001_1,30000_30002_1,30000_30003_1</v>
      </c>
    </row>
    <row r="1134" spans="1:14">
      <c r="A1134" s="1" t="str">
        <f>equip.xml!A1138</f>
        <v>40302050</v>
      </c>
      <c r="B1134" s="1">
        <f>equip.xml!B1138</f>
        <v>1</v>
      </c>
      <c r="C1134" s="1" t="str">
        <f>equip.xml!C1138</f>
        <v>红木长弓</v>
      </c>
      <c r="D1134" s="1" t="str">
        <f>equip.xml!D1138</f>
        <v>主手武器</v>
      </c>
      <c r="E1134" s="1">
        <f>equip.xml!E1138</f>
        <v>5</v>
      </c>
      <c r="F1134" s="1">
        <f>equip.xml!F1138</f>
        <v>4</v>
      </c>
      <c r="G1134" s="1">
        <f>equip.xml!G1138</f>
        <v>30</v>
      </c>
      <c r="H1134" s="1" t="str">
        <f>equip.xml!H1138</f>
        <v>2,1002</v>
      </c>
      <c r="I1134" s="1">
        <f>equip.xml!J1138</f>
        <v>50</v>
      </c>
      <c r="J1134" s="1">
        <f>equip.xml!K1138</f>
        <v>500</v>
      </c>
      <c r="K1134" s="1">
        <f>equip.xml!L1138</f>
        <v>17500</v>
      </c>
      <c r="L1134" s="1" t="str">
        <f>equip.xml!M1138</f>
        <v>103_275_275,104_550_550</v>
      </c>
      <c r="M1134" s="7" t="str">
        <f>equip.xml!Q1138</f>
        <v>equipment/1211.png</v>
      </c>
      <c r="N1134" t="str">
        <f>equip.xml!P1138</f>
        <v>10000_1002_30000,30000_30001_1,30000_30002_1,30000_30003_1</v>
      </c>
    </row>
    <row r="1135" spans="1:14">
      <c r="A1135" s="1" t="str">
        <f>equip.xml!A1139</f>
        <v>40302051</v>
      </c>
      <c r="B1135" s="1">
        <f>equip.xml!B1139</f>
        <v>1</v>
      </c>
      <c r="C1135" s="1" t="str">
        <f>equip.xml!C1139</f>
        <v>灼热弓</v>
      </c>
      <c r="D1135" s="1" t="str">
        <f>equip.xml!D1139</f>
        <v>主手武器</v>
      </c>
      <c r="E1135" s="1">
        <f>equip.xml!E1139</f>
        <v>5</v>
      </c>
      <c r="F1135" s="1">
        <f>equip.xml!F1139</f>
        <v>4</v>
      </c>
      <c r="G1135" s="1">
        <f>equip.xml!G1139</f>
        <v>30</v>
      </c>
      <c r="H1135" s="1" t="str">
        <f>equip.xml!H1139</f>
        <v>2,1002</v>
      </c>
      <c r="I1135" s="1">
        <f>equip.xml!J1139</f>
        <v>50</v>
      </c>
      <c r="J1135" s="1">
        <f>equip.xml!K1139</f>
        <v>500</v>
      </c>
      <c r="K1135" s="1">
        <f>equip.xml!L1139</f>
        <v>20000</v>
      </c>
      <c r="L1135" s="1" t="str">
        <f>equip.xml!M1139</f>
        <v>103_342_342,104_684_684</v>
      </c>
      <c r="M1135" s="7" t="str">
        <f>equip.xml!Q1139</f>
        <v>equipment/1212.png</v>
      </c>
      <c r="N1135" t="str">
        <f>equip.xml!P1139</f>
        <v>10000_1002_30000,30000_30001_1,30000_30002_1,30000_30003_1</v>
      </c>
    </row>
    <row r="1136" spans="1:14">
      <c r="A1136" s="1" t="str">
        <f>equip.xml!A1140</f>
        <v>40302060</v>
      </c>
      <c r="B1136" s="1">
        <f>equip.xml!B1140</f>
        <v>1</v>
      </c>
      <c r="C1136" s="1" t="str">
        <f>equip.xml!C1140</f>
        <v>倒刺箭筒</v>
      </c>
      <c r="D1136" s="1" t="str">
        <f>equip.xml!D1140</f>
        <v>副手武器</v>
      </c>
      <c r="E1136" s="1">
        <f>equip.xml!E1140</f>
        <v>6</v>
      </c>
      <c r="F1136" s="1">
        <f>equip.xml!F1140</f>
        <v>4</v>
      </c>
      <c r="G1136" s="1">
        <f>equip.xml!G1140</f>
        <v>30</v>
      </c>
      <c r="H1136" s="1" t="str">
        <f>equip.xml!H1140</f>
        <v>2,1002</v>
      </c>
      <c r="I1136" s="1">
        <f>equip.xml!J1140</f>
        <v>50</v>
      </c>
      <c r="J1136" s="1">
        <f>equip.xml!K1140</f>
        <v>500</v>
      </c>
      <c r="K1136" s="1">
        <f>equip.xml!L1140</f>
        <v>17500</v>
      </c>
      <c r="L1136" s="1" t="str">
        <f>equip.xml!M1140</f>
        <v>108_368_368</v>
      </c>
      <c r="M1136" s="7" t="str">
        <f>equip.xml!Q1140</f>
        <v>equipment/2207.png</v>
      </c>
      <c r="N1136" t="str">
        <f>equip.xml!P1140</f>
        <v>10000_1002_30000,30000_30001_1,30000_30002_1,30000_30003_1</v>
      </c>
    </row>
    <row r="1137" spans="1:14">
      <c r="A1137" s="1" t="str">
        <f>equip.xml!A1141</f>
        <v>40302061</v>
      </c>
      <c r="B1137" s="1">
        <f>equip.xml!B1141</f>
        <v>0</v>
      </c>
      <c r="C1137" s="1" t="str">
        <f>equip.xml!C1141</f>
        <v>崇圣箭筒</v>
      </c>
      <c r="D1137" s="1" t="str">
        <f>equip.xml!D1141</f>
        <v>副手武器</v>
      </c>
      <c r="E1137" s="1">
        <f>equip.xml!E1141</f>
        <v>6</v>
      </c>
      <c r="F1137" s="1">
        <f>equip.xml!F1141</f>
        <v>4</v>
      </c>
      <c r="G1137" s="1">
        <f>equip.xml!G1141</f>
        <v>30</v>
      </c>
      <c r="H1137" s="1" t="str">
        <f>equip.xml!H1141</f>
        <v>2,1002</v>
      </c>
      <c r="I1137" s="1">
        <f>equip.xml!J1141</f>
        <v>50</v>
      </c>
      <c r="J1137" s="1">
        <f>equip.xml!K1141</f>
        <v>500</v>
      </c>
      <c r="K1137" s="1">
        <f>equip.xml!L1141</f>
        <v>20000</v>
      </c>
      <c r="L1137" s="1" t="str">
        <f>equip.xml!M1141</f>
        <v>108_491_491</v>
      </c>
      <c r="M1137" s="7" t="str">
        <f>equip.xml!Q1141</f>
        <v>equipment/2208.png</v>
      </c>
      <c r="N1137" t="str">
        <f>equip.xml!P1141</f>
        <v>10000_1002_30000,30000_30001_1,30000_30002_1,30000_30003_1</v>
      </c>
    </row>
    <row r="1138" spans="1:14">
      <c r="A1138" s="1" t="str">
        <f>equip.xml!A1142</f>
        <v>40303050</v>
      </c>
      <c r="B1138" s="1">
        <f>equip.xml!B1142</f>
        <v>1</v>
      </c>
      <c r="C1138" s="1" t="str">
        <f>equip.xml!C1142</f>
        <v>荒骨法杖</v>
      </c>
      <c r="D1138" s="1" t="str">
        <f>equip.xml!D1142</f>
        <v>主手武器</v>
      </c>
      <c r="E1138" s="1">
        <f>equip.xml!E1142</f>
        <v>5</v>
      </c>
      <c r="F1138" s="1">
        <f>equip.xml!F1142</f>
        <v>4</v>
      </c>
      <c r="G1138" s="1">
        <f>equip.xml!G1142</f>
        <v>30</v>
      </c>
      <c r="H1138" s="1" t="str">
        <f>equip.xml!H1142</f>
        <v>3,1003</v>
      </c>
      <c r="I1138" s="1">
        <f>equip.xml!J1142</f>
        <v>50</v>
      </c>
      <c r="J1138" s="1">
        <f>equip.xml!K1142</f>
        <v>500</v>
      </c>
      <c r="K1138" s="1">
        <f>equip.xml!L1142</f>
        <v>17500</v>
      </c>
      <c r="L1138" s="1" t="str">
        <f>equip.xml!M1142</f>
        <v>103_275_275,104_550_550</v>
      </c>
      <c r="M1138" s="7" t="str">
        <f>equip.xml!Q1142</f>
        <v>equipment/1312.png</v>
      </c>
      <c r="N1138" t="str">
        <f>equip.xml!P1142</f>
        <v>10000_1002_30000,30000_30001_1,30000_30002_1,30000_30003_1</v>
      </c>
    </row>
    <row r="1139" spans="1:14">
      <c r="A1139" s="1" t="str">
        <f>equip.xml!A1143</f>
        <v>40303051</v>
      </c>
      <c r="B1139" s="1">
        <f>equip.xml!B1143</f>
        <v>1</v>
      </c>
      <c r="C1139" s="1" t="str">
        <f>equip.xml!C1143</f>
        <v>新月法杖</v>
      </c>
      <c r="D1139" s="1" t="str">
        <f>equip.xml!D1143</f>
        <v>主手武器</v>
      </c>
      <c r="E1139" s="1">
        <f>equip.xml!E1143</f>
        <v>5</v>
      </c>
      <c r="F1139" s="1">
        <f>equip.xml!F1143</f>
        <v>4</v>
      </c>
      <c r="G1139" s="1">
        <f>equip.xml!G1143</f>
        <v>30</v>
      </c>
      <c r="H1139" s="1" t="str">
        <f>equip.xml!H1143</f>
        <v>3,1003</v>
      </c>
      <c r="I1139" s="1">
        <f>equip.xml!J1143</f>
        <v>50</v>
      </c>
      <c r="J1139" s="1">
        <f>equip.xml!K1143</f>
        <v>500</v>
      </c>
      <c r="K1139" s="1">
        <f>equip.xml!L1143</f>
        <v>20000</v>
      </c>
      <c r="L1139" s="1" t="str">
        <f>equip.xml!M1143</f>
        <v>103_342_342,104_684_684</v>
      </c>
      <c r="M1139" s="7" t="str">
        <f>equip.xml!Q1143</f>
        <v>equipment/1313.png</v>
      </c>
      <c r="N1139" t="str">
        <f>equip.xml!P1143</f>
        <v>10000_1002_30000,30000_30001_1,30000_30002_1,30000_30003_1</v>
      </c>
    </row>
    <row r="1140" spans="1:14">
      <c r="A1140" s="1" t="str">
        <f>equip.xml!A1144</f>
        <v>40303060</v>
      </c>
      <c r="B1140" s="1">
        <f>equip.xml!B1144</f>
        <v>1</v>
      </c>
      <c r="C1140" s="1" t="str">
        <f>equip.xml!C1144</f>
        <v>神圣典籍</v>
      </c>
      <c r="D1140" s="1" t="str">
        <f>equip.xml!D1144</f>
        <v>副手武器</v>
      </c>
      <c r="E1140" s="1">
        <f>equip.xml!E1144</f>
        <v>6</v>
      </c>
      <c r="F1140" s="1">
        <f>equip.xml!F1144</f>
        <v>4</v>
      </c>
      <c r="G1140" s="1">
        <f>equip.xml!G1144</f>
        <v>30</v>
      </c>
      <c r="H1140" s="1" t="str">
        <f>equip.xml!H1144</f>
        <v>3,1003</v>
      </c>
      <c r="I1140" s="1">
        <f>equip.xml!J1144</f>
        <v>50</v>
      </c>
      <c r="J1140" s="1">
        <f>equip.xml!K1144</f>
        <v>500</v>
      </c>
      <c r="K1140" s="1">
        <f>equip.xml!L1144</f>
        <v>17500</v>
      </c>
      <c r="L1140" s="1" t="str">
        <f>equip.xml!M1144</f>
        <v>102_880_880</v>
      </c>
      <c r="M1140" s="7" t="str">
        <f>equip.xml!Q1144</f>
        <v>equipment/2307.png</v>
      </c>
      <c r="N1140" t="str">
        <f>equip.xml!P1144</f>
        <v>10000_1002_30000,30000_30001_1,30000_30002_1,30000_30003_1</v>
      </c>
    </row>
    <row r="1141" spans="1:14">
      <c r="A1141" s="1" t="str">
        <f>equip.xml!A1145</f>
        <v>40303061</v>
      </c>
      <c r="B1141" s="1">
        <f>equip.xml!B1145</f>
        <v>0</v>
      </c>
      <c r="C1141" s="1" t="str">
        <f>equip.xml!C1145</f>
        <v>召唤之书</v>
      </c>
      <c r="D1141" s="1" t="str">
        <f>equip.xml!D1145</f>
        <v>副手武器</v>
      </c>
      <c r="E1141" s="1">
        <f>equip.xml!E1145</f>
        <v>6</v>
      </c>
      <c r="F1141" s="1">
        <f>equip.xml!F1145</f>
        <v>4</v>
      </c>
      <c r="G1141" s="1">
        <f>equip.xml!G1145</f>
        <v>30</v>
      </c>
      <c r="H1141" s="1" t="str">
        <f>equip.xml!H1145</f>
        <v>3,1003</v>
      </c>
      <c r="I1141" s="1">
        <f>equip.xml!J1145</f>
        <v>50</v>
      </c>
      <c r="J1141" s="1">
        <f>equip.xml!K1145</f>
        <v>500</v>
      </c>
      <c r="K1141" s="1">
        <f>equip.xml!L1145</f>
        <v>20000</v>
      </c>
      <c r="L1141" s="1" t="str">
        <f>equip.xml!M1145</f>
        <v>102_944_944</v>
      </c>
      <c r="M1141" s="7" t="str">
        <f>equip.xml!Q1145</f>
        <v>equipment/2308.png</v>
      </c>
      <c r="N1141" t="str">
        <f>equip.xml!P1145</f>
        <v>10000_1002_30000,30000_30001_1,30000_30002_1,30000_30003_1</v>
      </c>
    </row>
    <row r="1142" spans="1:14">
      <c r="A1142" s="1" t="str">
        <f>equip.xml!A1146</f>
        <v>40300040</v>
      </c>
      <c r="B1142" s="1">
        <f>equip.xml!B1146</f>
        <v>1</v>
      </c>
      <c r="C1142" s="1" t="str">
        <f>equip.xml!C1146</f>
        <v>水滴胸铠</v>
      </c>
      <c r="D1142" s="1" t="str">
        <f>equip.xml!D1146</f>
        <v>胸甲</v>
      </c>
      <c r="E1142" s="1">
        <f>equip.xml!E1146</f>
        <v>4</v>
      </c>
      <c r="F1142" s="1">
        <f>equip.xml!F1146</f>
        <v>4</v>
      </c>
      <c r="G1142" s="1">
        <f>equip.xml!G1146</f>
        <v>30</v>
      </c>
      <c r="H1142" s="1">
        <f>equip.xml!H1146</f>
        <v>0</v>
      </c>
      <c r="I1142" s="1">
        <f>equip.xml!J1146</f>
        <v>50</v>
      </c>
      <c r="J1142" s="1">
        <f>equip.xml!K1146</f>
        <v>500</v>
      </c>
      <c r="K1142" s="1">
        <f>equip.xml!L1146</f>
        <v>17500</v>
      </c>
      <c r="L1142" s="1" t="str">
        <f>equip.xml!M1146</f>
        <v>105_216_216</v>
      </c>
      <c r="M1142" s="7" t="str">
        <f>equip.xml!Q1146</f>
        <v>equipment/5008.png</v>
      </c>
      <c r="N1142" t="str">
        <f>equip.xml!P1146</f>
        <v>10000_1002_30000,30000_30001_1,30000_30002_1,30000_30003_1</v>
      </c>
    </row>
    <row r="1143" spans="1:14">
      <c r="A1143" s="1" t="str">
        <f>equip.xml!A1147</f>
        <v>40300041</v>
      </c>
      <c r="B1143" s="1">
        <f>equip.xml!B1147</f>
        <v>1</v>
      </c>
      <c r="C1143" s="1" t="str">
        <f>equip.xml!C1147</f>
        <v>防卫者外套</v>
      </c>
      <c r="D1143" s="1" t="str">
        <f>equip.xml!D1147</f>
        <v>胸甲</v>
      </c>
      <c r="E1143" s="1">
        <f>equip.xml!E1147</f>
        <v>4</v>
      </c>
      <c r="F1143" s="1">
        <f>equip.xml!F1147</f>
        <v>4</v>
      </c>
      <c r="G1143" s="1">
        <f>equip.xml!G1147</f>
        <v>30</v>
      </c>
      <c r="H1143" s="1">
        <f>equip.xml!H1147</f>
        <v>0</v>
      </c>
      <c r="I1143" s="1">
        <f>equip.xml!J1147</f>
        <v>50</v>
      </c>
      <c r="J1143" s="1">
        <f>equip.xml!K1147</f>
        <v>500</v>
      </c>
      <c r="K1143" s="1">
        <f>equip.xml!L1147</f>
        <v>20000</v>
      </c>
      <c r="L1143" s="1" t="str">
        <f>equip.xml!M1147</f>
        <v>105_247_247</v>
      </c>
      <c r="M1143" s="7" t="str">
        <f>equip.xml!Q1147</f>
        <v>equipment/5009.png</v>
      </c>
      <c r="N1143" t="str">
        <f>equip.xml!P1147</f>
        <v>10000_1002_30000,30000_30001_1,30000_30002_1,30000_30003_1</v>
      </c>
    </row>
    <row r="1144" spans="1:14">
      <c r="A1144" s="1" t="str">
        <f>equip.xml!A1148</f>
        <v>40300070</v>
      </c>
      <c r="B1144" s="1">
        <f>equip.xml!B1148</f>
        <v>1</v>
      </c>
      <c r="C1144" s="1" t="str">
        <f>equip.xml!C1148</f>
        <v>游侠护腿</v>
      </c>
      <c r="D1144" s="1" t="str">
        <f>equip.xml!D1148</f>
        <v>护腿</v>
      </c>
      <c r="E1144" s="1">
        <f>equip.xml!E1148</f>
        <v>7</v>
      </c>
      <c r="F1144" s="1">
        <f>equip.xml!F1148</f>
        <v>4</v>
      </c>
      <c r="G1144" s="1">
        <f>equip.xml!G1148</f>
        <v>30</v>
      </c>
      <c r="H1144" s="1">
        <f>equip.xml!H1148</f>
        <v>0</v>
      </c>
      <c r="I1144" s="1">
        <f>equip.xml!J1148</f>
        <v>50</v>
      </c>
      <c r="J1144" s="1">
        <f>equip.xml!K1148</f>
        <v>500</v>
      </c>
      <c r="K1144" s="1">
        <f>equip.xml!L1148</f>
        <v>17500</v>
      </c>
      <c r="L1144" s="1" t="str">
        <f>equip.xml!M1148</f>
        <v>105_216_216</v>
      </c>
      <c r="M1144" s="7" t="str">
        <f>equip.xml!Q1148</f>
        <v>equipment/7007.png</v>
      </c>
      <c r="N1144" t="str">
        <f>equip.xml!P1148</f>
        <v>10000_1002_30000,30000_30001_1,30000_30002_1,30000_30003_1</v>
      </c>
    </row>
    <row r="1145" spans="1:14">
      <c r="A1145" s="1" t="str">
        <f>equip.xml!A1149</f>
        <v>40300071</v>
      </c>
      <c r="B1145" s="1">
        <f>equip.xml!B1149</f>
        <v>1</v>
      </c>
      <c r="C1145" s="1" t="str">
        <f>equip.xml!C1149</f>
        <v>逐风护腿</v>
      </c>
      <c r="D1145" s="1" t="str">
        <f>equip.xml!D1149</f>
        <v>护腿</v>
      </c>
      <c r="E1145" s="1">
        <f>equip.xml!E1149</f>
        <v>7</v>
      </c>
      <c r="F1145" s="1">
        <f>equip.xml!F1149</f>
        <v>4</v>
      </c>
      <c r="G1145" s="1">
        <f>equip.xml!G1149</f>
        <v>30</v>
      </c>
      <c r="H1145" s="1">
        <f>equip.xml!H1149</f>
        <v>0</v>
      </c>
      <c r="I1145" s="1">
        <f>equip.xml!J1149</f>
        <v>50</v>
      </c>
      <c r="J1145" s="1">
        <f>equip.xml!K1149</f>
        <v>500</v>
      </c>
      <c r="K1145" s="1">
        <f>equip.xml!L1149</f>
        <v>20000</v>
      </c>
      <c r="L1145" s="1" t="str">
        <f>equip.xml!M1149</f>
        <v>105_247_247</v>
      </c>
      <c r="M1145" s="7" t="str">
        <f>equip.xml!Q1149</f>
        <v>equipment/7008.png</v>
      </c>
      <c r="N1145" t="str">
        <f>equip.xml!P1149</f>
        <v>10000_1002_30000,30000_30001_1,30000_30002_1,30000_30003_1</v>
      </c>
    </row>
    <row r="1146" spans="1:14">
      <c r="A1146" s="1" t="str">
        <f>equip.xml!A1150</f>
        <v>40350010</v>
      </c>
      <c r="B1146" s="1">
        <f>equip.xml!B1150</f>
        <v>1</v>
      </c>
      <c r="C1146" s="1" t="str">
        <f>equip.xml!C1150</f>
        <v>镶带头盔</v>
      </c>
      <c r="D1146" s="1" t="str">
        <f>equip.xml!D1150</f>
        <v>头盔</v>
      </c>
      <c r="E1146" s="1">
        <f>equip.xml!E1150</f>
        <v>1</v>
      </c>
      <c r="F1146" s="1">
        <f>equip.xml!F1150</f>
        <v>4</v>
      </c>
      <c r="G1146" s="1">
        <f>equip.xml!G1150</f>
        <v>35</v>
      </c>
      <c r="H1146" s="1">
        <f>equip.xml!H1150</f>
        <v>0</v>
      </c>
      <c r="I1146" s="1">
        <f>equip.xml!J1150</f>
        <v>50</v>
      </c>
      <c r="J1146" s="1">
        <f>equip.xml!K1150</f>
        <v>500</v>
      </c>
      <c r="K1146" s="1">
        <f>equip.xml!L1150</f>
        <v>20000</v>
      </c>
      <c r="L1146" s="1" t="str">
        <f>equip.xml!M1150</f>
        <v>106_596_596</v>
      </c>
      <c r="M1146" s="7" t="str">
        <f>equip.xml!Q1150</f>
        <v>equipment/3006.png</v>
      </c>
      <c r="N1146" t="str">
        <f>equip.xml!P1150</f>
        <v>10000_1002_35000,30000_30001_1,30000_30002_1,30000_30003_1</v>
      </c>
    </row>
    <row r="1147" spans="1:14">
      <c r="A1147" s="1" t="str">
        <f>equip.xml!A1151</f>
        <v>40350020</v>
      </c>
      <c r="B1147" s="1">
        <f>equip.xml!B1151</f>
        <v>1</v>
      </c>
      <c r="C1147" s="1" t="str">
        <f>equip.xml!C1151</f>
        <v>烈焰指环</v>
      </c>
      <c r="D1147" s="1" t="str">
        <f>equip.xml!D1151</f>
        <v>戒指</v>
      </c>
      <c r="E1147" s="1">
        <f>equip.xml!E1151</f>
        <v>2</v>
      </c>
      <c r="F1147" s="1">
        <f>equip.xml!F1151</f>
        <v>4</v>
      </c>
      <c r="G1147" s="1">
        <f>equip.xml!G1151</f>
        <v>35</v>
      </c>
      <c r="H1147" s="1">
        <f>equip.xml!H1151</f>
        <v>0</v>
      </c>
      <c r="I1147" s="1">
        <f>equip.xml!J1151</f>
        <v>50</v>
      </c>
      <c r="J1147" s="1">
        <f>equip.xml!K1151</f>
        <v>500</v>
      </c>
      <c r="K1147" s="1">
        <f>equip.xml!L1151</f>
        <v>20000</v>
      </c>
      <c r="L1147" s="1" t="str">
        <f>equip.xml!M1151</f>
        <v>102_590_590</v>
      </c>
      <c r="M1147" s="7" t="str">
        <f>equip.xml!Q1151</f>
        <v>equipment/14006.png</v>
      </c>
      <c r="N1147" t="str">
        <f>equip.xml!P1151</f>
        <v>10000_1002_35000,30000_30001_1,30000_30002_1,30000_30003_1</v>
      </c>
    </row>
    <row r="1148" spans="1:14">
      <c r="A1148" s="1" t="str">
        <f>equip.xml!A1152</f>
        <v>40350030</v>
      </c>
      <c r="B1148" s="1">
        <f>equip.xml!B1152</f>
        <v>1</v>
      </c>
      <c r="C1148" s="1" t="str">
        <f>equip.xml!C1152</f>
        <v>斗士腰带</v>
      </c>
      <c r="D1148" s="1" t="str">
        <f>equip.xml!D1152</f>
        <v>腰带</v>
      </c>
      <c r="E1148" s="1">
        <f>equip.xml!E1152</f>
        <v>3</v>
      </c>
      <c r="F1148" s="1">
        <f>equip.xml!F1152</f>
        <v>4</v>
      </c>
      <c r="G1148" s="1">
        <f>equip.xml!G1152</f>
        <v>35</v>
      </c>
      <c r="H1148" s="1">
        <f>equip.xml!H1152</f>
        <v>0</v>
      </c>
      <c r="I1148" s="1">
        <f>equip.xml!J1152</f>
        <v>50</v>
      </c>
      <c r="J1148" s="1">
        <f>equip.xml!K1152</f>
        <v>500</v>
      </c>
      <c r="K1148" s="1">
        <f>equip.xml!L1152</f>
        <v>20000</v>
      </c>
      <c r="L1148" s="1" t="str">
        <f>equip.xml!M1152</f>
        <v>101_4900_4900</v>
      </c>
      <c r="M1148" s="7" t="str">
        <f>equip.xml!Q1152</f>
        <v>equipment/6006.png</v>
      </c>
      <c r="N1148" t="str">
        <f>equip.xml!P1152</f>
        <v>10000_1002_35000,30000_30001_1,30000_30002_1,30000_30003_1</v>
      </c>
    </row>
    <row r="1149" spans="1:14">
      <c r="A1149" s="1" t="str">
        <f>equip.xml!A1153</f>
        <v>40350080</v>
      </c>
      <c r="B1149" s="1">
        <f>equip.xml!B1153</f>
        <v>1</v>
      </c>
      <c r="C1149" s="1" t="str">
        <f>equip.xml!C1153</f>
        <v>混乱之靴</v>
      </c>
      <c r="D1149" s="1" t="str">
        <f>equip.xml!D1153</f>
        <v>鞋子</v>
      </c>
      <c r="E1149" s="1">
        <f>equip.xml!E1153</f>
        <v>8</v>
      </c>
      <c r="F1149" s="1">
        <f>equip.xml!F1153</f>
        <v>4</v>
      </c>
      <c r="G1149" s="1">
        <f>equip.xml!G1153</f>
        <v>35</v>
      </c>
      <c r="H1149" s="1">
        <f>equip.xml!H1153</f>
        <v>0</v>
      </c>
      <c r="I1149" s="1">
        <f>equip.xml!J1153</f>
        <v>50</v>
      </c>
      <c r="J1149" s="1">
        <f>equip.xml!K1153</f>
        <v>500</v>
      </c>
      <c r="K1149" s="1">
        <f>equip.xml!L1153</f>
        <v>20000</v>
      </c>
      <c r="L1149" s="1" t="str">
        <f>equip.xml!M1153</f>
        <v>110_82_82</v>
      </c>
      <c r="M1149" s="7" t="str">
        <f>equip.xml!Q1153</f>
        <v>equipment/8006.png</v>
      </c>
      <c r="N1149" t="str">
        <f>equip.xml!P1153</f>
        <v>10000_1002_35000,30000_30001_1,30000_30002_1,30000_30003_1</v>
      </c>
    </row>
    <row r="1150" spans="1:14">
      <c r="A1150" s="1" t="str">
        <f>equip.xml!A1154</f>
        <v>40350090</v>
      </c>
      <c r="B1150" s="1">
        <f>equip.xml!B1154</f>
        <v>1</v>
      </c>
      <c r="C1150" s="1" t="str">
        <f>equip.xml!C1154</f>
        <v>激励手甲</v>
      </c>
      <c r="D1150" s="1" t="str">
        <f>equip.xml!D1154</f>
        <v>手套</v>
      </c>
      <c r="E1150" s="1">
        <f>equip.xml!E1154</f>
        <v>9</v>
      </c>
      <c r="F1150" s="1">
        <f>equip.xml!F1154</f>
        <v>4</v>
      </c>
      <c r="G1150" s="1">
        <f>equip.xml!G1154</f>
        <v>35</v>
      </c>
      <c r="H1150" s="1">
        <f>equip.xml!H1154</f>
        <v>0</v>
      </c>
      <c r="I1150" s="1">
        <f>equip.xml!J1154</f>
        <v>50</v>
      </c>
      <c r="J1150" s="1">
        <f>equip.xml!K1154</f>
        <v>500</v>
      </c>
      <c r="K1150" s="1">
        <f>equip.xml!L1154</f>
        <v>20000</v>
      </c>
      <c r="L1150" s="1" t="str">
        <f>equip.xml!M1154</f>
        <v>108_588_588</v>
      </c>
      <c r="M1150" s="7" t="str">
        <f>equip.xml!Q1154</f>
        <v>equipment/10006.png</v>
      </c>
      <c r="N1150" t="str">
        <f>equip.xml!P1154</f>
        <v>10000_1002_35000,30000_30001_1,30000_30002_1,30000_30003_1</v>
      </c>
    </row>
    <row r="1151" spans="1:14">
      <c r="A1151" s="1" t="str">
        <f>equip.xml!A1155</f>
        <v>40350100</v>
      </c>
      <c r="B1151" s="1">
        <f>equip.xml!B1155</f>
        <v>1</v>
      </c>
      <c r="C1151" s="1" t="str">
        <f>equip.xml!C1155</f>
        <v>苍蓝挂坠</v>
      </c>
      <c r="D1151" s="1" t="str">
        <f>equip.xml!D1155</f>
        <v>项链</v>
      </c>
      <c r="E1151" s="1">
        <f>equip.xml!E1155</f>
        <v>10</v>
      </c>
      <c r="F1151" s="1">
        <f>equip.xml!F1155</f>
        <v>4</v>
      </c>
      <c r="G1151" s="1">
        <f>equip.xml!G1155</f>
        <v>35</v>
      </c>
      <c r="H1151" s="1">
        <f>equip.xml!H1155</f>
        <v>0</v>
      </c>
      <c r="I1151" s="1">
        <f>equip.xml!J1155</f>
        <v>50</v>
      </c>
      <c r="J1151" s="1">
        <f>equip.xml!K1155</f>
        <v>500</v>
      </c>
      <c r="K1151" s="1">
        <f>equip.xml!L1155</f>
        <v>20000</v>
      </c>
      <c r="L1151" s="1" t="str">
        <f>equip.xml!M1155</f>
        <v>107_542_542</v>
      </c>
      <c r="M1151" s="7" t="str">
        <f>equip.xml!Q1155</f>
        <v>equipment/12006.png</v>
      </c>
      <c r="N1151" t="str">
        <f>equip.xml!P1155</f>
        <v>10000_1002_35000,30000_30001_1,30000_30002_1,30000_30003_1</v>
      </c>
    </row>
    <row r="1152" spans="1:14">
      <c r="A1152" s="1" t="str">
        <f>equip.xml!A1156</f>
        <v>40351050</v>
      </c>
      <c r="B1152" s="1">
        <f>equip.xml!B1156</f>
        <v>1</v>
      </c>
      <c r="C1152" s="1" t="str">
        <f>equip.xml!C1156</f>
        <v>水晶剑</v>
      </c>
      <c r="D1152" s="1" t="str">
        <f>equip.xml!D1156</f>
        <v>主手武器</v>
      </c>
      <c r="E1152" s="1">
        <f>equip.xml!E1156</f>
        <v>5</v>
      </c>
      <c r="F1152" s="1">
        <f>equip.xml!F1156</f>
        <v>4</v>
      </c>
      <c r="G1152" s="1">
        <f>equip.xml!G1156</f>
        <v>35</v>
      </c>
      <c r="H1152" s="1" t="str">
        <f>equip.xml!H1156</f>
        <v>1,1001</v>
      </c>
      <c r="I1152" s="1">
        <f>equip.xml!J1156</f>
        <v>50</v>
      </c>
      <c r="J1152" s="1">
        <f>equip.xml!K1156</f>
        <v>500</v>
      </c>
      <c r="K1152" s="1">
        <f>equip.xml!L1156</f>
        <v>20000</v>
      </c>
      <c r="L1152" s="1" t="str">
        <f>equip.xml!M1156</f>
        <v>103_443_443,104_886_886</v>
      </c>
      <c r="M1152" s="7" t="str">
        <f>equip.xml!Q1156</f>
        <v>equipment/1114.png</v>
      </c>
      <c r="N1152" t="str">
        <f>equip.xml!P1156</f>
        <v>10000_1002_35000,30000_30001_1,30000_30002_1,30000_30003_1</v>
      </c>
    </row>
    <row r="1153" spans="1:14">
      <c r="A1153" s="1" t="str">
        <f>equip.xml!A1157</f>
        <v>40351051</v>
      </c>
      <c r="B1153" s="1">
        <f>equip.xml!B1157</f>
        <v>0</v>
      </c>
      <c r="C1153" s="1" t="str">
        <f>equip.xml!C1157</f>
        <v>军刀</v>
      </c>
      <c r="D1153" s="1" t="str">
        <f>equip.xml!D1157</f>
        <v>主手武器</v>
      </c>
      <c r="E1153" s="1">
        <f>equip.xml!E1157</f>
        <v>5</v>
      </c>
      <c r="F1153" s="1">
        <f>equip.xml!F1157</f>
        <v>4</v>
      </c>
      <c r="G1153" s="1">
        <f>equip.xml!G1157</f>
        <v>35</v>
      </c>
      <c r="H1153" s="1" t="str">
        <f>equip.xml!H1157</f>
        <v>1,1001</v>
      </c>
      <c r="I1153" s="1">
        <f>equip.xml!J1157</f>
        <v>50</v>
      </c>
      <c r="J1153" s="1">
        <f>equip.xml!K1157</f>
        <v>500</v>
      </c>
      <c r="K1153" s="1">
        <f>equip.xml!L1157</f>
        <v>22500</v>
      </c>
      <c r="L1153" s="1" t="str">
        <f>equip.xml!M1157</f>
        <v>103_533_533,104_1066_1066</v>
      </c>
      <c r="M1153" s="7" t="str">
        <f>equip.xml!Q1157</f>
        <v>equipment/1101.png</v>
      </c>
      <c r="N1153" t="str">
        <f>equip.xml!P1157</f>
        <v>10000_1002_35000,30000_30001_1,30000_30002_1,30000_30003_1</v>
      </c>
    </row>
    <row r="1154" spans="1:14">
      <c r="A1154" s="1" t="str">
        <f>equip.xml!A1158</f>
        <v>40351060</v>
      </c>
      <c r="B1154" s="1">
        <f>equip.xml!B1158</f>
        <v>1</v>
      </c>
      <c r="C1154" s="1" t="str">
        <f>equip.xml!C1158</f>
        <v>符记盾牌</v>
      </c>
      <c r="D1154" s="1" t="str">
        <f>equip.xml!D1158</f>
        <v>副手武器</v>
      </c>
      <c r="E1154" s="1">
        <f>equip.xml!E1158</f>
        <v>6</v>
      </c>
      <c r="F1154" s="1">
        <f>equip.xml!F1158</f>
        <v>4</v>
      </c>
      <c r="G1154" s="1">
        <f>equip.xml!G1158</f>
        <v>35</v>
      </c>
      <c r="H1154" s="1" t="str">
        <f>equip.xml!H1158</f>
        <v>1,1001</v>
      </c>
      <c r="I1154" s="1">
        <f>equip.xml!J1158</f>
        <v>50</v>
      </c>
      <c r="J1154" s="1">
        <f>equip.xml!K1158</f>
        <v>500</v>
      </c>
      <c r="K1154" s="1">
        <f>equip.xml!L1158</f>
        <v>20000</v>
      </c>
      <c r="L1154" s="1" t="str">
        <f>equip.xml!M1158</f>
        <v>105_676_676</v>
      </c>
      <c r="M1154" s="7" t="str">
        <f>equip.xml!Q1158</f>
        <v>equipment/2108.png</v>
      </c>
      <c r="N1154" t="str">
        <f>equip.xml!P1158</f>
        <v>10000_1002_35000,30000_30001_1,30000_30002_1,30000_30003_1</v>
      </c>
    </row>
    <row r="1155" spans="1:14">
      <c r="A1155" s="1" t="str">
        <f>equip.xml!A1159</f>
        <v>40351061</v>
      </c>
      <c r="B1155" s="1">
        <f>equip.xml!B1159</f>
        <v>1</v>
      </c>
      <c r="C1155" s="1" t="str">
        <f>equip.xml!C1159</f>
        <v>秩序盾牌</v>
      </c>
      <c r="D1155" s="1" t="str">
        <f>equip.xml!D1159</f>
        <v>副手武器</v>
      </c>
      <c r="E1155" s="1">
        <f>equip.xml!E1159</f>
        <v>6</v>
      </c>
      <c r="F1155" s="1">
        <f>equip.xml!F1159</f>
        <v>4</v>
      </c>
      <c r="G1155" s="1">
        <f>equip.xml!G1159</f>
        <v>35</v>
      </c>
      <c r="H1155" s="1" t="str">
        <f>equip.xml!H1159</f>
        <v>1,1001</v>
      </c>
      <c r="I1155" s="1">
        <f>equip.xml!J1159</f>
        <v>50</v>
      </c>
      <c r="J1155" s="1">
        <f>equip.xml!K1159</f>
        <v>500</v>
      </c>
      <c r="K1155" s="1">
        <f>equip.xml!L1159</f>
        <v>22500</v>
      </c>
      <c r="L1155" s="1" t="str">
        <f>equip.xml!M1159</f>
        <v>105_758_758</v>
      </c>
      <c r="M1155" s="7" t="str">
        <f>equip.xml!Q1159</f>
        <v>equipment/2117.png</v>
      </c>
      <c r="N1155" t="str">
        <f>equip.xml!P1159</f>
        <v>10000_1002_35000,30000_30001_1,30000_30002_1,30000_30003_1</v>
      </c>
    </row>
    <row r="1156" spans="1:14">
      <c r="A1156" s="1" t="str">
        <f>equip.xml!A1160</f>
        <v>40352050</v>
      </c>
      <c r="B1156" s="1">
        <f>equip.xml!B1160</f>
        <v>1</v>
      </c>
      <c r="C1156" s="1" t="str">
        <f>equip.xml!C1160</f>
        <v>风语者弯弓</v>
      </c>
      <c r="D1156" s="1" t="str">
        <f>equip.xml!D1160</f>
        <v>主手武器</v>
      </c>
      <c r="E1156" s="1">
        <f>equip.xml!E1160</f>
        <v>5</v>
      </c>
      <c r="F1156" s="1">
        <f>equip.xml!F1160</f>
        <v>4</v>
      </c>
      <c r="G1156" s="1">
        <f>equip.xml!G1160</f>
        <v>35</v>
      </c>
      <c r="H1156" s="1" t="str">
        <f>equip.xml!H1160</f>
        <v>2,1002</v>
      </c>
      <c r="I1156" s="1">
        <f>equip.xml!J1160</f>
        <v>50</v>
      </c>
      <c r="J1156" s="1">
        <f>equip.xml!K1160</f>
        <v>500</v>
      </c>
      <c r="K1156" s="1">
        <f>equip.xml!L1160</f>
        <v>20000</v>
      </c>
      <c r="L1156" s="1" t="str">
        <f>equip.xml!M1160</f>
        <v>103_443_443,104_886_886</v>
      </c>
      <c r="M1156" s="7" t="str">
        <f>equip.xml!Q1160</f>
        <v>equipment/1213.png</v>
      </c>
      <c r="N1156" t="str">
        <f>equip.xml!P1160</f>
        <v>10000_1002_35000,30000_30001_1,30000_30002_1,30000_30003_1</v>
      </c>
    </row>
    <row r="1157" spans="1:14">
      <c r="A1157" s="1" t="str">
        <f>equip.xml!A1161</f>
        <v>40352051</v>
      </c>
      <c r="B1157" s="1">
        <f>equip.xml!B1161</f>
        <v>0</v>
      </c>
      <c r="C1157" s="1" t="str">
        <f>equip.xml!C1161</f>
        <v>棘木弓</v>
      </c>
      <c r="D1157" s="1" t="str">
        <f>equip.xml!D1161</f>
        <v>主手武器</v>
      </c>
      <c r="E1157" s="1">
        <f>equip.xml!E1161</f>
        <v>5</v>
      </c>
      <c r="F1157" s="1">
        <f>equip.xml!F1161</f>
        <v>4</v>
      </c>
      <c r="G1157" s="1">
        <f>equip.xml!G1161</f>
        <v>35</v>
      </c>
      <c r="H1157" s="1" t="str">
        <f>equip.xml!H1161</f>
        <v>2,1002</v>
      </c>
      <c r="I1157" s="1">
        <f>equip.xml!J1161</f>
        <v>50</v>
      </c>
      <c r="J1157" s="1">
        <f>equip.xml!K1161</f>
        <v>500</v>
      </c>
      <c r="K1157" s="1">
        <f>equip.xml!L1161</f>
        <v>22500</v>
      </c>
      <c r="L1157" s="1" t="str">
        <f>equip.xml!M1161</f>
        <v>103_533_533,104_1066_1066</v>
      </c>
      <c r="M1157" s="7" t="str">
        <f>equip.xml!Q1161</f>
        <v>equipment/1201.png</v>
      </c>
      <c r="N1157" t="str">
        <f>equip.xml!P1161</f>
        <v>10000_1002_35000,30000_30001_1,30000_30002_1,30000_30003_1</v>
      </c>
    </row>
    <row r="1158" spans="1:14">
      <c r="A1158" s="1" t="str">
        <f>equip.xml!A1162</f>
        <v>40352060</v>
      </c>
      <c r="B1158" s="1">
        <f>equip.xml!B1162</f>
        <v>1</v>
      </c>
      <c r="C1158" s="1" t="str">
        <f>equip.xml!C1162</f>
        <v>游侠箭筒</v>
      </c>
      <c r="D1158" s="1" t="str">
        <f>equip.xml!D1162</f>
        <v>副手武器</v>
      </c>
      <c r="E1158" s="1">
        <f>equip.xml!E1162</f>
        <v>6</v>
      </c>
      <c r="F1158" s="1">
        <f>equip.xml!F1162</f>
        <v>4</v>
      </c>
      <c r="G1158" s="1">
        <f>equip.xml!G1162</f>
        <v>35</v>
      </c>
      <c r="H1158" s="1" t="str">
        <f>equip.xml!H1162</f>
        <v>2,1002</v>
      </c>
      <c r="I1158" s="1">
        <f>equip.xml!J1162</f>
        <v>50</v>
      </c>
      <c r="J1158" s="1">
        <f>equip.xml!K1162</f>
        <v>500</v>
      </c>
      <c r="K1158" s="1">
        <f>equip.xml!L1162</f>
        <v>20000</v>
      </c>
      <c r="L1158" s="1" t="str">
        <f>equip.xml!M1162</f>
        <v>108_676_676</v>
      </c>
      <c r="M1158" s="7" t="str">
        <f>equip.xml!Q1162</f>
        <v>equipment/2208.png</v>
      </c>
      <c r="N1158" t="str">
        <f>equip.xml!P1162</f>
        <v>10000_1002_35000,30000_30001_1,30000_30002_1,30000_30003_1</v>
      </c>
    </row>
    <row r="1159" spans="1:14">
      <c r="A1159" s="1" t="str">
        <f>equip.xml!A1163</f>
        <v>40352061</v>
      </c>
      <c r="B1159" s="1">
        <f>equip.xml!B1163</f>
        <v>1</v>
      </c>
      <c r="C1159" s="1" t="str">
        <f>equip.xml!C1163</f>
        <v>风行者箭筒</v>
      </c>
      <c r="D1159" s="1" t="str">
        <f>equip.xml!D1163</f>
        <v>副手武器</v>
      </c>
      <c r="E1159" s="1">
        <f>equip.xml!E1163</f>
        <v>6</v>
      </c>
      <c r="F1159" s="1">
        <f>equip.xml!F1163</f>
        <v>4</v>
      </c>
      <c r="G1159" s="1">
        <f>equip.xml!G1163</f>
        <v>35</v>
      </c>
      <c r="H1159" s="1" t="str">
        <f>equip.xml!H1163</f>
        <v>2,1002</v>
      </c>
      <c r="I1159" s="1">
        <f>equip.xml!J1163</f>
        <v>50</v>
      </c>
      <c r="J1159" s="1">
        <f>equip.xml!K1163</f>
        <v>500</v>
      </c>
      <c r="K1159" s="1">
        <f>equip.xml!L1163</f>
        <v>22500</v>
      </c>
      <c r="L1159" s="1" t="str">
        <f>equip.xml!M1163</f>
        <v>108_758_758</v>
      </c>
      <c r="M1159" s="7" t="str">
        <f>equip.xml!Q1163</f>
        <v>equipment/2201.png</v>
      </c>
      <c r="N1159" t="str">
        <f>equip.xml!P1163</f>
        <v>10000_1002_35000,30000_30001_1,30000_30002_1,30000_30003_1</v>
      </c>
    </row>
    <row r="1160" spans="1:14">
      <c r="A1160" s="1" t="str">
        <f>equip.xml!A1164</f>
        <v>40353050</v>
      </c>
      <c r="B1160" s="1">
        <f>equip.xml!B1164</f>
        <v>1</v>
      </c>
      <c r="C1160" s="1" t="str">
        <f>equip.xml!C1164</f>
        <v>聚能之杖</v>
      </c>
      <c r="D1160" s="1" t="str">
        <f>equip.xml!D1164</f>
        <v>主手武器</v>
      </c>
      <c r="E1160" s="1">
        <f>equip.xml!E1164</f>
        <v>5</v>
      </c>
      <c r="F1160" s="1">
        <f>equip.xml!F1164</f>
        <v>4</v>
      </c>
      <c r="G1160" s="1">
        <f>equip.xml!G1164</f>
        <v>35</v>
      </c>
      <c r="H1160" s="1" t="str">
        <f>equip.xml!H1164</f>
        <v>3,1003</v>
      </c>
      <c r="I1160" s="1">
        <f>equip.xml!J1164</f>
        <v>50</v>
      </c>
      <c r="J1160" s="1">
        <f>equip.xml!K1164</f>
        <v>500</v>
      </c>
      <c r="K1160" s="1">
        <f>equip.xml!L1164</f>
        <v>20000</v>
      </c>
      <c r="L1160" s="1" t="str">
        <f>equip.xml!M1164</f>
        <v>103_443_443,104_886_886</v>
      </c>
      <c r="M1160" s="7" t="str">
        <f>equip.xml!Q1164</f>
        <v>equipment/1314.png</v>
      </c>
      <c r="N1160" t="str">
        <f>equip.xml!P1164</f>
        <v>10000_1002_35000,30000_30001_1,30000_30002_1,30000_30003_1</v>
      </c>
    </row>
    <row r="1161" spans="1:14">
      <c r="A1161" s="1" t="str">
        <f>equip.xml!A1165</f>
        <v>40353051</v>
      </c>
      <c r="B1161" s="1">
        <f>equip.xml!B1165</f>
        <v>0</v>
      </c>
      <c r="C1161" s="1" t="str">
        <f>equip.xml!C1165</f>
        <v>学徒法杖</v>
      </c>
      <c r="D1161" s="1" t="str">
        <f>equip.xml!D1165</f>
        <v>主手武器</v>
      </c>
      <c r="E1161" s="1">
        <f>equip.xml!E1165</f>
        <v>5</v>
      </c>
      <c r="F1161" s="1">
        <f>equip.xml!F1165</f>
        <v>4</v>
      </c>
      <c r="G1161" s="1">
        <f>equip.xml!G1165</f>
        <v>35</v>
      </c>
      <c r="H1161" s="1" t="str">
        <f>equip.xml!H1165</f>
        <v>3,1003</v>
      </c>
      <c r="I1161" s="1">
        <f>equip.xml!J1165</f>
        <v>50</v>
      </c>
      <c r="J1161" s="1">
        <f>equip.xml!K1165</f>
        <v>500</v>
      </c>
      <c r="K1161" s="1">
        <f>equip.xml!L1165</f>
        <v>22500</v>
      </c>
      <c r="L1161" s="1" t="str">
        <f>equip.xml!M1165</f>
        <v>103_533_533,104_1066_1066</v>
      </c>
      <c r="M1161" s="7" t="str">
        <f>equip.xml!Q1165</f>
        <v>equipment/1301.png</v>
      </c>
      <c r="N1161" t="str">
        <f>equip.xml!P1165</f>
        <v>10000_1002_35000,30000_30001_1,30000_30002_1,30000_30003_1</v>
      </c>
    </row>
    <row r="1162" spans="1:14">
      <c r="A1162" s="1" t="str">
        <f>equip.xml!A1166</f>
        <v>40353060</v>
      </c>
      <c r="B1162" s="1">
        <f>equip.xml!B1166</f>
        <v>1</v>
      </c>
      <c r="C1162" s="1" t="str">
        <f>equip.xml!C1166</f>
        <v>召唤魔典</v>
      </c>
      <c r="D1162" s="1" t="str">
        <f>equip.xml!D1166</f>
        <v>副手武器</v>
      </c>
      <c r="E1162" s="1">
        <f>equip.xml!E1166</f>
        <v>6</v>
      </c>
      <c r="F1162" s="1">
        <f>equip.xml!F1166</f>
        <v>4</v>
      </c>
      <c r="G1162" s="1">
        <f>equip.xml!G1166</f>
        <v>35</v>
      </c>
      <c r="H1162" s="1" t="str">
        <f>equip.xml!H1166</f>
        <v>3,1003</v>
      </c>
      <c r="I1162" s="1">
        <f>equip.xml!J1166</f>
        <v>50</v>
      </c>
      <c r="J1162" s="1">
        <f>equip.xml!K1166</f>
        <v>500</v>
      </c>
      <c r="K1162" s="1">
        <f>equip.xml!L1166</f>
        <v>20000</v>
      </c>
      <c r="L1162" s="1" t="str">
        <f>equip.xml!M1166</f>
        <v>102_1040_1040</v>
      </c>
      <c r="M1162" s="7" t="str">
        <f>equip.xml!Q1166</f>
        <v>equipment/2308.png</v>
      </c>
      <c r="N1162" t="str">
        <f>equip.xml!P1166</f>
        <v>10000_1002_35000,30000_30001_1,30000_30002_1,30000_30003_1</v>
      </c>
    </row>
    <row r="1163" spans="1:14">
      <c r="A1163" s="1" t="str">
        <f>equip.xml!A1167</f>
        <v>40353061</v>
      </c>
      <c r="B1163" s="1">
        <f>equip.xml!B1167</f>
        <v>1</v>
      </c>
      <c r="C1163" s="1" t="str">
        <f>equip.xml!C1167</f>
        <v>大法师之书</v>
      </c>
      <c r="D1163" s="1" t="str">
        <f>equip.xml!D1167</f>
        <v>副手武器</v>
      </c>
      <c r="E1163" s="1">
        <f>equip.xml!E1167</f>
        <v>6</v>
      </c>
      <c r="F1163" s="1">
        <f>equip.xml!F1167</f>
        <v>4</v>
      </c>
      <c r="G1163" s="1">
        <f>equip.xml!G1167</f>
        <v>35</v>
      </c>
      <c r="H1163" s="1" t="str">
        <f>equip.xml!H1167</f>
        <v>3,1003</v>
      </c>
      <c r="I1163" s="1">
        <f>equip.xml!J1167</f>
        <v>50</v>
      </c>
      <c r="J1163" s="1">
        <f>equip.xml!K1167</f>
        <v>500</v>
      </c>
      <c r="K1163" s="1">
        <f>equip.xml!L1167</f>
        <v>22500</v>
      </c>
      <c r="L1163" s="1" t="str">
        <f>equip.xml!M1167</f>
        <v>102_1120_1120</v>
      </c>
      <c r="M1163" s="7" t="str">
        <f>equip.xml!Q1167</f>
        <v>equipment/2314.png</v>
      </c>
      <c r="N1163" t="str">
        <f>equip.xml!P1167</f>
        <v>10000_1002_35000,30000_30001_1,30000_30002_1,30000_30003_1</v>
      </c>
    </row>
    <row r="1164" spans="1:14">
      <c r="A1164" s="1" t="str">
        <f>equip.xml!A1168</f>
        <v>40350040</v>
      </c>
      <c r="B1164" s="1">
        <f>equip.xml!B1168</f>
        <v>1</v>
      </c>
      <c r="C1164" s="1" t="str">
        <f>equip.xml!C1168</f>
        <v>蛮兽胸甲</v>
      </c>
      <c r="D1164" s="1" t="str">
        <f>equip.xml!D1168</f>
        <v>胸甲</v>
      </c>
      <c r="E1164" s="1">
        <f>equip.xml!E1168</f>
        <v>4</v>
      </c>
      <c r="F1164" s="1">
        <f>equip.xml!F1168</f>
        <v>4</v>
      </c>
      <c r="G1164" s="1">
        <f>equip.xml!G1168</f>
        <v>35</v>
      </c>
      <c r="H1164" s="1">
        <f>equip.xml!H1168</f>
        <v>0</v>
      </c>
      <c r="I1164" s="1">
        <f>equip.xml!J1168</f>
        <v>50</v>
      </c>
      <c r="J1164" s="1">
        <f>equip.xml!K1168</f>
        <v>500</v>
      </c>
      <c r="K1164" s="1">
        <f>equip.xml!L1168</f>
        <v>20000</v>
      </c>
      <c r="L1164" s="1" t="str">
        <f>equip.xml!M1168</f>
        <v>105_293_293</v>
      </c>
      <c r="M1164" s="7" t="str">
        <f>equip.xml!Q1168</f>
        <v>equipment/5011.png</v>
      </c>
      <c r="N1164" t="str">
        <f>equip.xml!P1168</f>
        <v>10000_1002_35000,30000_30001_1,30000_30002_1,30000_30003_1</v>
      </c>
    </row>
    <row r="1165" spans="1:14">
      <c r="A1165" s="1" t="str">
        <f>equip.xml!A1169</f>
        <v>40350041</v>
      </c>
      <c r="B1165" s="1">
        <f>equip.xml!B1169</f>
        <v>1</v>
      </c>
      <c r="C1165" s="1" t="str">
        <f>equip.xml!C1169</f>
        <v>魔鳞外衣</v>
      </c>
      <c r="D1165" s="1" t="str">
        <f>equip.xml!D1169</f>
        <v>胸甲</v>
      </c>
      <c r="E1165" s="1">
        <f>equip.xml!E1169</f>
        <v>4</v>
      </c>
      <c r="F1165" s="1">
        <f>equip.xml!F1169</f>
        <v>4</v>
      </c>
      <c r="G1165" s="1">
        <f>equip.xml!G1169</f>
        <v>35</v>
      </c>
      <c r="H1165" s="1">
        <f>equip.xml!H1169</f>
        <v>0</v>
      </c>
      <c r="I1165" s="1">
        <f>equip.xml!J1169</f>
        <v>50</v>
      </c>
      <c r="J1165" s="1">
        <f>equip.xml!K1169</f>
        <v>500</v>
      </c>
      <c r="K1165" s="1">
        <f>equip.xml!L1169</f>
        <v>22500</v>
      </c>
      <c r="L1165" s="1" t="str">
        <f>equip.xml!M1169</f>
        <v>105_375_375</v>
      </c>
      <c r="M1165" s="7" t="str">
        <f>equip.xml!Q1169</f>
        <v>equipment/5001.png</v>
      </c>
      <c r="N1165" t="str">
        <f>equip.xml!P1169</f>
        <v>10000_1002_35000,30000_30001_1,30000_30002_1,30000_30003_1</v>
      </c>
    </row>
    <row r="1166" spans="1:14">
      <c r="A1166" s="1" t="str">
        <f>equip.xml!A1170</f>
        <v>40350070</v>
      </c>
      <c r="B1166" s="1">
        <f>equip.xml!B1170</f>
        <v>1</v>
      </c>
      <c r="C1166" s="1" t="str">
        <f>equip.xml!C1170</f>
        <v>残忍腿甲</v>
      </c>
      <c r="D1166" s="1" t="str">
        <f>equip.xml!D1170</f>
        <v>护腿</v>
      </c>
      <c r="E1166" s="1">
        <f>equip.xml!E1170</f>
        <v>7</v>
      </c>
      <c r="F1166" s="1">
        <f>equip.xml!F1170</f>
        <v>4</v>
      </c>
      <c r="G1166" s="1">
        <f>equip.xml!G1170</f>
        <v>35</v>
      </c>
      <c r="H1166" s="1">
        <f>equip.xml!H1170</f>
        <v>0</v>
      </c>
      <c r="I1166" s="1">
        <f>equip.xml!J1170</f>
        <v>50</v>
      </c>
      <c r="J1166" s="1">
        <f>equip.xml!K1170</f>
        <v>500</v>
      </c>
      <c r="K1166" s="1">
        <f>equip.xml!L1170</f>
        <v>20000</v>
      </c>
      <c r="L1166" s="1" t="str">
        <f>equip.xml!M1170</f>
        <v>105_293_293</v>
      </c>
      <c r="M1166" s="7" t="str">
        <f>equip.xml!Q1170</f>
        <v>equipment/7008.png</v>
      </c>
      <c r="N1166" t="str">
        <f>equip.xml!P1170</f>
        <v>10000_1002_35000,30000_30001_1,30000_30002_1,30000_30003_1</v>
      </c>
    </row>
    <row r="1167" spans="1:14">
      <c r="A1167" s="1" t="str">
        <f>equip.xml!A1171</f>
        <v>40350071</v>
      </c>
      <c r="B1167" s="1">
        <f>equip.xml!B1171</f>
        <v>0</v>
      </c>
      <c r="C1167" s="1" t="str">
        <f>equip.xml!C1171</f>
        <v>学徒短裤</v>
      </c>
      <c r="D1167" s="1" t="str">
        <f>equip.xml!D1171</f>
        <v>护腿</v>
      </c>
      <c r="E1167" s="1">
        <f>equip.xml!E1171</f>
        <v>7</v>
      </c>
      <c r="F1167" s="1">
        <f>equip.xml!F1171</f>
        <v>4</v>
      </c>
      <c r="G1167" s="1">
        <f>equip.xml!G1171</f>
        <v>35</v>
      </c>
      <c r="H1167" s="1">
        <f>equip.xml!H1171</f>
        <v>0</v>
      </c>
      <c r="I1167" s="1">
        <f>equip.xml!J1171</f>
        <v>50</v>
      </c>
      <c r="J1167" s="1">
        <f>equip.xml!K1171</f>
        <v>500</v>
      </c>
      <c r="K1167" s="1">
        <f>equip.xml!L1171</f>
        <v>22500</v>
      </c>
      <c r="L1167" s="1" t="str">
        <f>equip.xml!M1171</f>
        <v>105_331_331</v>
      </c>
      <c r="M1167" s="7" t="str">
        <f>equip.xml!Q1171</f>
        <v>equipment/7001.png</v>
      </c>
      <c r="N1167" t="str">
        <f>equip.xml!P1171</f>
        <v>10000_1002_35000,30000_30001_1,30000_30002_1,30000_30003_1</v>
      </c>
    </row>
    <row r="1168" spans="1:14">
      <c r="A1168" s="1" t="str">
        <f>equip.xml!A1172</f>
        <v>40400010</v>
      </c>
      <c r="B1168" s="1">
        <f>equip.xml!B1172</f>
        <v>1</v>
      </c>
      <c r="C1168" s="1" t="str">
        <f>equip.xml!C1172</f>
        <v>烈焰头罩</v>
      </c>
      <c r="D1168" s="1" t="str">
        <f>equip.xml!D1172</f>
        <v>头盔</v>
      </c>
      <c r="E1168" s="1">
        <f>equip.xml!E1172</f>
        <v>1</v>
      </c>
      <c r="F1168" s="1">
        <f>equip.xml!F1172</f>
        <v>4</v>
      </c>
      <c r="G1168" s="1">
        <f>equip.xml!G1172</f>
        <v>40</v>
      </c>
      <c r="H1168" s="1">
        <f>equip.xml!H1172</f>
        <v>0</v>
      </c>
      <c r="I1168" s="1">
        <f>equip.xml!J1172</f>
        <v>50</v>
      </c>
      <c r="J1168" s="1">
        <f>equip.xml!K1172</f>
        <v>500</v>
      </c>
      <c r="K1168" s="1">
        <f>equip.xml!L1172</f>
        <v>22500</v>
      </c>
      <c r="L1168" s="1" t="str">
        <f>equip.xml!M1172</f>
        <v>106_751_751</v>
      </c>
      <c r="M1168" s="7" t="str">
        <f>equip.xml!Q1172</f>
        <v>equipment/3007.png</v>
      </c>
      <c r="N1168" t="str">
        <f>equip.xml!P1172</f>
        <v>10000_1002_40000,30000_30001_1,30000_30002_1,30000_30003_1</v>
      </c>
    </row>
    <row r="1169" spans="1:14">
      <c r="A1169" s="1" t="str">
        <f>equip.xml!A1173</f>
        <v>40400020</v>
      </c>
      <c r="B1169" s="1">
        <f>equip.xml!B1173</f>
        <v>1</v>
      </c>
      <c r="C1169" s="1" t="str">
        <f>equip.xml!C1173</f>
        <v>龙纹戒指</v>
      </c>
      <c r="D1169" s="1" t="str">
        <f>equip.xml!D1173</f>
        <v>戒指</v>
      </c>
      <c r="E1169" s="1">
        <f>equip.xml!E1173</f>
        <v>2</v>
      </c>
      <c r="F1169" s="1">
        <f>equip.xml!F1173</f>
        <v>4</v>
      </c>
      <c r="G1169" s="1">
        <f>equip.xml!G1173</f>
        <v>40</v>
      </c>
      <c r="H1169" s="1">
        <f>equip.xml!H1173</f>
        <v>0</v>
      </c>
      <c r="I1169" s="1">
        <f>equip.xml!J1173</f>
        <v>50</v>
      </c>
      <c r="J1169" s="1">
        <f>equip.xml!K1173</f>
        <v>500</v>
      </c>
      <c r="K1169" s="1">
        <f>equip.xml!L1173</f>
        <v>22500</v>
      </c>
      <c r="L1169" s="1" t="str">
        <f>equip.xml!M1173</f>
        <v>102_740_740</v>
      </c>
      <c r="M1169" s="7" t="str">
        <f>equip.xml!Q1173</f>
        <v>equipment/14007.png</v>
      </c>
      <c r="N1169" t="str">
        <f>equip.xml!P1173</f>
        <v>10000_1002_40000,30000_30001_1,30000_30002_1,30000_30003_1</v>
      </c>
    </row>
    <row r="1170" spans="1:14">
      <c r="A1170" s="1" t="str">
        <f>equip.xml!A1174</f>
        <v>40400030</v>
      </c>
      <c r="B1170" s="1">
        <f>equip.xml!B1174</f>
        <v>1</v>
      </c>
      <c r="C1170" s="1" t="str">
        <f>equip.xml!C1174</f>
        <v>力量腰带</v>
      </c>
      <c r="D1170" s="1" t="str">
        <f>equip.xml!D1174</f>
        <v>腰带</v>
      </c>
      <c r="E1170" s="1">
        <f>equip.xml!E1174</f>
        <v>3</v>
      </c>
      <c r="F1170" s="1">
        <f>equip.xml!F1174</f>
        <v>4</v>
      </c>
      <c r="G1170" s="1">
        <f>equip.xml!G1174</f>
        <v>40</v>
      </c>
      <c r="H1170" s="1">
        <f>equip.xml!H1174</f>
        <v>0</v>
      </c>
      <c r="I1170" s="1">
        <f>equip.xml!J1174</f>
        <v>50</v>
      </c>
      <c r="J1170" s="1">
        <f>equip.xml!K1174</f>
        <v>500</v>
      </c>
      <c r="K1170" s="1">
        <f>equip.xml!L1174</f>
        <v>22500</v>
      </c>
      <c r="L1170" s="1" t="str">
        <f>equip.xml!M1174</f>
        <v>101_6720_6720</v>
      </c>
      <c r="M1170" s="7" t="str">
        <f>equip.xml!Q1174</f>
        <v>equipment/6007.png</v>
      </c>
      <c r="N1170" t="str">
        <f>equip.xml!P1174</f>
        <v>10000_1002_40000,30000_30001_1,30000_30002_1,30000_30003_1</v>
      </c>
    </row>
    <row r="1171" spans="1:14">
      <c r="A1171" s="1" t="str">
        <f>equip.xml!A1175</f>
        <v>40400080</v>
      </c>
      <c r="B1171" s="1">
        <f>equip.xml!B1175</f>
        <v>1</v>
      </c>
      <c r="C1171" s="1" t="str">
        <f>equip.xml!C1175</f>
        <v>征战之靴</v>
      </c>
      <c r="D1171" s="1" t="str">
        <f>equip.xml!D1175</f>
        <v>鞋子</v>
      </c>
      <c r="E1171" s="1">
        <f>equip.xml!E1175</f>
        <v>8</v>
      </c>
      <c r="F1171" s="1">
        <f>equip.xml!F1175</f>
        <v>4</v>
      </c>
      <c r="G1171" s="1">
        <f>equip.xml!G1175</f>
        <v>40</v>
      </c>
      <c r="H1171" s="1">
        <f>equip.xml!H1175</f>
        <v>0</v>
      </c>
      <c r="I1171" s="1">
        <f>equip.xml!J1175</f>
        <v>50</v>
      </c>
      <c r="J1171" s="1">
        <f>equip.xml!K1175</f>
        <v>500</v>
      </c>
      <c r="K1171" s="1">
        <f>equip.xml!L1175</f>
        <v>22500</v>
      </c>
      <c r="L1171" s="1" t="str">
        <f>equip.xml!M1175</f>
        <v>110_108_108</v>
      </c>
      <c r="M1171" s="7" t="str">
        <f>equip.xml!Q1175</f>
        <v>equipment/8007.png</v>
      </c>
      <c r="N1171" t="str">
        <f>equip.xml!P1175</f>
        <v>10000_1002_40000,30000_30001_1,30000_30002_1,30000_30003_1</v>
      </c>
    </row>
    <row r="1172" spans="1:14">
      <c r="A1172" s="1" t="str">
        <f>equip.xml!A1176</f>
        <v>40400090</v>
      </c>
      <c r="B1172" s="1">
        <f>equip.xml!B1176</f>
        <v>1</v>
      </c>
      <c r="C1172" s="1" t="str">
        <f>equip.xml!C1176</f>
        <v>重拳手套</v>
      </c>
      <c r="D1172" s="1" t="str">
        <f>equip.xml!D1176</f>
        <v>手套</v>
      </c>
      <c r="E1172" s="1">
        <f>equip.xml!E1176</f>
        <v>9</v>
      </c>
      <c r="F1172" s="1">
        <f>equip.xml!F1176</f>
        <v>4</v>
      </c>
      <c r="G1172" s="1">
        <f>equip.xml!G1176</f>
        <v>40</v>
      </c>
      <c r="H1172" s="1">
        <f>equip.xml!H1176</f>
        <v>0</v>
      </c>
      <c r="I1172" s="1">
        <f>equip.xml!J1176</f>
        <v>50</v>
      </c>
      <c r="J1172" s="1">
        <f>equip.xml!K1176</f>
        <v>500</v>
      </c>
      <c r="K1172" s="1">
        <f>equip.xml!L1176</f>
        <v>22500</v>
      </c>
      <c r="L1172" s="1" t="str">
        <f>equip.xml!M1176</f>
        <v>108_880_880</v>
      </c>
      <c r="M1172" s="7" t="str">
        <f>equip.xml!Q1176</f>
        <v>equipment/10007.png</v>
      </c>
      <c r="N1172" t="str">
        <f>equip.xml!P1176</f>
        <v>10000_1002_40000,30000_30001_1,30000_30002_1,30000_30003_1</v>
      </c>
    </row>
    <row r="1173" spans="1:14">
      <c r="A1173" s="1" t="str">
        <f>equip.xml!A1177</f>
        <v>40400100</v>
      </c>
      <c r="B1173" s="1">
        <f>equip.xml!B1177</f>
        <v>0</v>
      </c>
      <c r="C1173" s="1" t="str">
        <f>equip.xml!C1177</f>
        <v>贝壳项链</v>
      </c>
      <c r="D1173" s="1" t="str">
        <f>equip.xml!D1177</f>
        <v>项链</v>
      </c>
      <c r="E1173" s="1">
        <f>equip.xml!E1177</f>
        <v>10</v>
      </c>
      <c r="F1173" s="1">
        <f>equip.xml!F1177</f>
        <v>4</v>
      </c>
      <c r="G1173" s="1">
        <f>equip.xml!G1177</f>
        <v>40</v>
      </c>
      <c r="H1173" s="1">
        <f>equip.xml!H1177</f>
        <v>0</v>
      </c>
      <c r="I1173" s="1">
        <f>equip.xml!J1177</f>
        <v>50</v>
      </c>
      <c r="J1173" s="1">
        <f>equip.xml!K1177</f>
        <v>500</v>
      </c>
      <c r="K1173" s="1">
        <f>equip.xml!L1177</f>
        <v>22500</v>
      </c>
      <c r="L1173" s="1" t="str">
        <f>equip.xml!M1177</f>
        <v>107_542_542</v>
      </c>
      <c r="M1173" s="7" t="str">
        <f>equip.xml!Q1177</f>
        <v>equipment/12001.png</v>
      </c>
      <c r="N1173" t="str">
        <f>equip.xml!P1177</f>
        <v>10000_1002_40000,30000_30001_1,30000_30002_1,30000_30003_1</v>
      </c>
    </row>
    <row r="1174" spans="1:14">
      <c r="A1174" s="1" t="str">
        <f>equip.xml!A1178</f>
        <v>40401050</v>
      </c>
      <c r="B1174" s="1">
        <f>equip.xml!B1178</f>
        <v>1</v>
      </c>
      <c r="C1174" s="1" t="str">
        <f>equip.xml!C1178</f>
        <v>魔铁巨剑</v>
      </c>
      <c r="D1174" s="1" t="str">
        <f>equip.xml!D1178</f>
        <v>主手武器</v>
      </c>
      <c r="E1174" s="1">
        <f>equip.xml!E1178</f>
        <v>5</v>
      </c>
      <c r="F1174" s="1">
        <f>equip.xml!F1178</f>
        <v>4</v>
      </c>
      <c r="G1174" s="1">
        <f>equip.xml!G1178</f>
        <v>40</v>
      </c>
      <c r="H1174" s="1" t="str">
        <f>equip.xml!H1178</f>
        <v>1,1001</v>
      </c>
      <c r="I1174" s="1">
        <f>equip.xml!J1178</f>
        <v>50</v>
      </c>
      <c r="J1174" s="1">
        <f>equip.xml!K1178</f>
        <v>500</v>
      </c>
      <c r="K1174" s="1">
        <f>equip.xml!L1178</f>
        <v>22500</v>
      </c>
      <c r="L1174" s="1" t="str">
        <f>equip.xml!M1178</f>
        <v>103_670_670,104_1340_1340</v>
      </c>
      <c r="M1174" s="7" t="str">
        <f>equip.xml!Q1178</f>
        <v>equipment/1115.png</v>
      </c>
      <c r="N1174" t="str">
        <f>equip.xml!P1178</f>
        <v>10000_1002_40000,30000_30001_1,30000_30002_1,30000_30003_1</v>
      </c>
    </row>
    <row r="1175" spans="1:14">
      <c r="A1175" s="1" t="str">
        <f>equip.xml!A1179</f>
        <v>40401051</v>
      </c>
      <c r="B1175" s="1">
        <f>equip.xml!B1179</f>
        <v>1</v>
      </c>
      <c r="C1175" s="1" t="str">
        <f>equip.xml!C1179</f>
        <v>破咒之刃</v>
      </c>
      <c r="D1175" s="1" t="str">
        <f>equip.xml!D1179</f>
        <v>主手武器</v>
      </c>
      <c r="E1175" s="1">
        <f>equip.xml!E1179</f>
        <v>5</v>
      </c>
      <c r="F1175" s="1">
        <f>equip.xml!F1179</f>
        <v>4</v>
      </c>
      <c r="G1175" s="1">
        <f>equip.xml!G1179</f>
        <v>40</v>
      </c>
      <c r="H1175" s="1" t="str">
        <f>equip.xml!H1179</f>
        <v>1,1001</v>
      </c>
      <c r="I1175" s="1">
        <f>equip.xml!J1179</f>
        <v>50</v>
      </c>
      <c r="J1175" s="1">
        <f>equip.xml!K1179</f>
        <v>500</v>
      </c>
      <c r="K1175" s="1">
        <f>equip.xml!L1179</f>
        <v>25000</v>
      </c>
      <c r="L1175" s="1" t="str">
        <f>equip.xml!M1179</f>
        <v>103_743_743,104_1486_1486</v>
      </c>
      <c r="M1175" s="7" t="str">
        <f>equip.xml!Q1179</f>
        <v>equipment/1116.png</v>
      </c>
      <c r="N1175" t="str">
        <f>equip.xml!P1179</f>
        <v>10000_1002_40000,30000_30001_1,30000_30002_1,30000_30003_1</v>
      </c>
    </row>
    <row r="1176" spans="1:14">
      <c r="A1176" s="1" t="str">
        <f>equip.xml!A1180</f>
        <v>40401060</v>
      </c>
      <c r="B1176" s="1">
        <f>equip.xml!B1180</f>
        <v>1</v>
      </c>
      <c r="C1176" s="1" t="str">
        <f>equip.xml!C1180</f>
        <v>洛阿巨盾</v>
      </c>
      <c r="D1176" s="1" t="str">
        <f>equip.xml!D1180</f>
        <v>副手武器</v>
      </c>
      <c r="E1176" s="1">
        <f>equip.xml!E1180</f>
        <v>6</v>
      </c>
      <c r="F1176" s="1">
        <f>equip.xml!F1180</f>
        <v>4</v>
      </c>
      <c r="G1176" s="1">
        <f>equip.xml!G1180</f>
        <v>40</v>
      </c>
      <c r="H1176" s="1" t="str">
        <f>equip.xml!H1180</f>
        <v>1,1001</v>
      </c>
      <c r="I1176" s="1">
        <f>equip.xml!J1180</f>
        <v>50</v>
      </c>
      <c r="J1176" s="1">
        <f>equip.xml!K1180</f>
        <v>500</v>
      </c>
      <c r="K1176" s="1">
        <f>equip.xml!L1180</f>
        <v>22500</v>
      </c>
      <c r="L1176" s="1" t="str">
        <f>equip.xml!M1180</f>
        <v>105_880_880</v>
      </c>
      <c r="M1176" s="7" t="str">
        <f>equip.xml!Q1180</f>
        <v>equipment/2109.png</v>
      </c>
      <c r="N1176" t="str">
        <f>equip.xml!P1180</f>
        <v>10000_1002_40000,30000_30001_1,30000_30002_1,30000_30003_1</v>
      </c>
    </row>
    <row r="1177" spans="1:14">
      <c r="A1177" s="1" t="str">
        <f>equip.xml!A1181</f>
        <v>40401061</v>
      </c>
      <c r="B1177" s="1">
        <f>equip.xml!B1181</f>
        <v>0</v>
      </c>
      <c r="C1177" s="1" t="str">
        <f>equip.xml!C1181</f>
        <v>尖头盾</v>
      </c>
      <c r="D1177" s="1" t="str">
        <f>equip.xml!D1181</f>
        <v>副手武器</v>
      </c>
      <c r="E1177" s="1">
        <f>equip.xml!E1181</f>
        <v>6</v>
      </c>
      <c r="F1177" s="1">
        <f>equip.xml!F1181</f>
        <v>4</v>
      </c>
      <c r="G1177" s="1">
        <f>equip.xml!G1181</f>
        <v>40</v>
      </c>
      <c r="H1177" s="1" t="str">
        <f>equip.xml!H1181</f>
        <v>1,1001</v>
      </c>
      <c r="I1177" s="1">
        <f>equip.xml!J1181</f>
        <v>50</v>
      </c>
      <c r="J1177" s="1">
        <f>equip.xml!K1181</f>
        <v>500</v>
      </c>
      <c r="K1177" s="1">
        <f>equip.xml!L1181</f>
        <v>25000</v>
      </c>
      <c r="L1177" s="1" t="str">
        <f>equip.xml!M1181</f>
        <v>105_1029_1029</v>
      </c>
      <c r="M1177" s="7" t="str">
        <f>equip.xml!Q1181</f>
        <v>equipment/2101.png</v>
      </c>
      <c r="N1177" t="str">
        <f>equip.xml!P1181</f>
        <v>10000_1002_40000,30000_30001_1,30000_30002_1,30000_30003_1</v>
      </c>
    </row>
    <row r="1178" spans="1:14">
      <c r="A1178" s="1" t="str">
        <f>equip.xml!A1182</f>
        <v>40402050</v>
      </c>
      <c r="B1178" s="1">
        <f>equip.xml!B1182</f>
        <v>1</v>
      </c>
      <c r="C1178" s="1" t="str">
        <f>equip.xml!C1182</f>
        <v>强击之弓</v>
      </c>
      <c r="D1178" s="1" t="str">
        <f>equip.xml!D1182</f>
        <v>主手武器</v>
      </c>
      <c r="E1178" s="1">
        <f>equip.xml!E1182</f>
        <v>5</v>
      </c>
      <c r="F1178" s="1">
        <f>equip.xml!F1182</f>
        <v>4</v>
      </c>
      <c r="G1178" s="1">
        <f>equip.xml!G1182</f>
        <v>40</v>
      </c>
      <c r="H1178" s="1" t="str">
        <f>equip.xml!H1182</f>
        <v>2,1002</v>
      </c>
      <c r="I1178" s="1">
        <f>equip.xml!J1182</f>
        <v>50</v>
      </c>
      <c r="J1178" s="1">
        <f>equip.xml!K1182</f>
        <v>500</v>
      </c>
      <c r="K1178" s="1">
        <f>equip.xml!L1182</f>
        <v>22500</v>
      </c>
      <c r="L1178" s="1" t="str">
        <f>equip.xml!M1182</f>
        <v>103_670_670,104_1340_1340</v>
      </c>
      <c r="M1178" s="7" t="str">
        <f>equip.xml!Q1182</f>
        <v>equipment/1216.png</v>
      </c>
      <c r="N1178" t="str">
        <f>equip.xml!P1182</f>
        <v>10000_1002_40000,30000_30001_1,30000_30002_1,30000_30003_1</v>
      </c>
    </row>
    <row r="1179" spans="1:14">
      <c r="A1179" s="1" t="str">
        <f>equip.xml!A1183</f>
        <v>40402051</v>
      </c>
      <c r="B1179" s="1">
        <f>equip.xml!B1183</f>
        <v>1</v>
      </c>
      <c r="C1179" s="1" t="str">
        <f>equip.xml!C1183</f>
        <v>羽月长弓</v>
      </c>
      <c r="D1179" s="1" t="str">
        <f>equip.xml!D1183</f>
        <v>主手武器</v>
      </c>
      <c r="E1179" s="1">
        <f>equip.xml!E1183</f>
        <v>5</v>
      </c>
      <c r="F1179" s="1">
        <f>equip.xml!F1183</f>
        <v>4</v>
      </c>
      <c r="G1179" s="1">
        <f>equip.xml!G1183</f>
        <v>40</v>
      </c>
      <c r="H1179" s="1" t="str">
        <f>equip.xml!H1183</f>
        <v>2,1002</v>
      </c>
      <c r="I1179" s="1">
        <f>equip.xml!J1183</f>
        <v>50</v>
      </c>
      <c r="J1179" s="1">
        <f>equip.xml!K1183</f>
        <v>500</v>
      </c>
      <c r="K1179" s="1">
        <f>equip.xml!L1183</f>
        <v>25000</v>
      </c>
      <c r="L1179" s="1" t="str">
        <f>equip.xml!M1183</f>
        <v>103_743_743,104_1486_1486</v>
      </c>
      <c r="M1179" s="7" t="str">
        <f>equip.xml!Q1183</f>
        <v>equipment/1214.png</v>
      </c>
      <c r="N1179" t="str">
        <f>equip.xml!P1183</f>
        <v>10000_1002_40000,30000_30001_1,30000_30002_1,30000_30003_1</v>
      </c>
    </row>
    <row r="1180" spans="1:14">
      <c r="A1180" s="1" t="str">
        <f>equip.xml!A1184</f>
        <v>40402060</v>
      </c>
      <c r="B1180" s="1">
        <f>equip.xml!B1184</f>
        <v>1</v>
      </c>
      <c r="C1180" s="1" t="str">
        <f>equip.xml!C1184</f>
        <v>风怒箭筒</v>
      </c>
      <c r="D1180" s="1" t="str">
        <f>equip.xml!D1184</f>
        <v>副手武器</v>
      </c>
      <c r="E1180" s="1">
        <f>equip.xml!E1184</f>
        <v>6</v>
      </c>
      <c r="F1180" s="1">
        <f>equip.xml!F1184</f>
        <v>4</v>
      </c>
      <c r="G1180" s="1">
        <f>equip.xml!G1184</f>
        <v>40</v>
      </c>
      <c r="H1180" s="1" t="str">
        <f>equip.xml!H1184</f>
        <v>2,1002</v>
      </c>
      <c r="I1180" s="1">
        <f>equip.xml!J1184</f>
        <v>50</v>
      </c>
      <c r="J1180" s="1">
        <f>equip.xml!K1184</f>
        <v>500</v>
      </c>
      <c r="K1180" s="1">
        <f>equip.xml!L1184</f>
        <v>22500</v>
      </c>
      <c r="L1180" s="1" t="str">
        <f>equip.xml!M1184</f>
        <v>108_880_880</v>
      </c>
      <c r="M1180" s="7" t="str">
        <f>equip.xml!Q1184</f>
        <v>equipment/2209.png</v>
      </c>
      <c r="N1180" t="str">
        <f>equip.xml!P1184</f>
        <v>10000_1002_40000,30000_30001_1,30000_30002_1,30000_30003_1</v>
      </c>
    </row>
    <row r="1181" spans="1:14">
      <c r="A1181" s="1" t="str">
        <f>equip.xml!A1185</f>
        <v>40402061</v>
      </c>
      <c r="B1181" s="1">
        <f>equip.xml!B1185</f>
        <v>0</v>
      </c>
      <c r="C1181" s="1" t="str">
        <f>equip.xml!C1185</f>
        <v>箭筒</v>
      </c>
      <c r="D1181" s="1" t="str">
        <f>equip.xml!D1185</f>
        <v>副手武器</v>
      </c>
      <c r="E1181" s="1">
        <f>equip.xml!E1185</f>
        <v>6</v>
      </c>
      <c r="F1181" s="1">
        <f>equip.xml!F1185</f>
        <v>4</v>
      </c>
      <c r="G1181" s="1">
        <f>equip.xml!G1185</f>
        <v>40</v>
      </c>
      <c r="H1181" s="1" t="str">
        <f>equip.xml!H1185</f>
        <v>2,1002</v>
      </c>
      <c r="I1181" s="1">
        <f>equip.xml!J1185</f>
        <v>50</v>
      </c>
      <c r="J1181" s="1">
        <f>equip.xml!K1185</f>
        <v>500</v>
      </c>
      <c r="K1181" s="1">
        <f>equip.xml!L1185</f>
        <v>25000</v>
      </c>
      <c r="L1181" s="1" t="str">
        <f>equip.xml!M1185</f>
        <v>108_1029_1029</v>
      </c>
      <c r="M1181" s="7" t="str">
        <f>equip.xml!Q1185</f>
        <v>equipment/2201.png</v>
      </c>
      <c r="N1181" t="str">
        <f>equip.xml!P1185</f>
        <v>10000_1002_40000,30000_30001_1,30000_30002_1,30000_30003_1</v>
      </c>
    </row>
    <row r="1182" spans="1:14">
      <c r="A1182" s="1" t="str">
        <f>equip.xml!A1186</f>
        <v>40403050</v>
      </c>
      <c r="B1182" s="1">
        <f>equip.xml!B1186</f>
        <v>1</v>
      </c>
      <c r="C1182" s="1" t="str">
        <f>equip.xml!C1186</f>
        <v>符文魔杖</v>
      </c>
      <c r="D1182" s="1" t="str">
        <f>equip.xml!D1186</f>
        <v>主手武器</v>
      </c>
      <c r="E1182" s="1">
        <f>equip.xml!E1186</f>
        <v>5</v>
      </c>
      <c r="F1182" s="1">
        <f>equip.xml!F1186</f>
        <v>4</v>
      </c>
      <c r="G1182" s="1">
        <f>equip.xml!G1186</f>
        <v>40</v>
      </c>
      <c r="H1182" s="1" t="str">
        <f>equip.xml!H1186</f>
        <v>3,1003</v>
      </c>
      <c r="I1182" s="1">
        <f>equip.xml!J1186</f>
        <v>50</v>
      </c>
      <c r="J1182" s="1">
        <f>equip.xml!K1186</f>
        <v>500</v>
      </c>
      <c r="K1182" s="1">
        <f>equip.xml!L1186</f>
        <v>22500</v>
      </c>
      <c r="L1182" s="1" t="str">
        <f>equip.xml!M1186</f>
        <v>103_670_670,104_1340_1340</v>
      </c>
      <c r="M1182" s="7" t="str">
        <f>equip.xml!Q1186</f>
        <v>equipment/1317.png</v>
      </c>
      <c r="N1182" t="str">
        <f>equip.xml!P1186</f>
        <v>10000_1002_40000,30000_30001_1,30000_30002_1,30000_30003_1</v>
      </c>
    </row>
    <row r="1183" spans="1:14">
      <c r="A1183" s="1" t="str">
        <f>equip.xml!A1187</f>
        <v>40403051</v>
      </c>
      <c r="B1183" s="1">
        <f>equip.xml!B1187</f>
        <v>1</v>
      </c>
      <c r="C1183" s="1" t="str">
        <f>equip.xml!C1187</f>
        <v>真理之杖</v>
      </c>
      <c r="D1183" s="1" t="str">
        <f>equip.xml!D1187</f>
        <v>主手武器</v>
      </c>
      <c r="E1183" s="1">
        <f>equip.xml!E1187</f>
        <v>5</v>
      </c>
      <c r="F1183" s="1">
        <f>equip.xml!F1187</f>
        <v>4</v>
      </c>
      <c r="G1183" s="1">
        <f>equip.xml!G1187</f>
        <v>40</v>
      </c>
      <c r="H1183" s="1" t="str">
        <f>equip.xml!H1187</f>
        <v>3,1003</v>
      </c>
      <c r="I1183" s="1">
        <f>equip.xml!J1187</f>
        <v>50</v>
      </c>
      <c r="J1183" s="1">
        <f>equip.xml!K1187</f>
        <v>500</v>
      </c>
      <c r="K1183" s="1">
        <f>equip.xml!L1187</f>
        <v>25000</v>
      </c>
      <c r="L1183" s="1" t="str">
        <f>equip.xml!M1187</f>
        <v>103_743_743,104_1486_1486</v>
      </c>
      <c r="M1183" s="7" t="str">
        <f>equip.xml!Q1187</f>
        <v>equipment/1315.png</v>
      </c>
      <c r="N1183" t="str">
        <f>equip.xml!P1187</f>
        <v>10000_1002_40000,30000_30001_1,30000_30002_1,30000_30003_1</v>
      </c>
    </row>
    <row r="1184" spans="1:14">
      <c r="A1184" s="1" t="str">
        <f>equip.xml!A1188</f>
        <v>40403060</v>
      </c>
      <c r="B1184" s="1">
        <f>equip.xml!B1188</f>
        <v>1</v>
      </c>
      <c r="C1184" s="1" t="str">
        <f>equip.xml!C1188</f>
        <v>附魔秘典</v>
      </c>
      <c r="D1184" s="1" t="str">
        <f>equip.xml!D1188</f>
        <v>副手武器</v>
      </c>
      <c r="E1184" s="1">
        <f>equip.xml!E1188</f>
        <v>6</v>
      </c>
      <c r="F1184" s="1">
        <f>equip.xml!F1188</f>
        <v>4</v>
      </c>
      <c r="G1184" s="1">
        <f>equip.xml!G1188</f>
        <v>40</v>
      </c>
      <c r="H1184" s="1" t="str">
        <f>equip.xml!H1188</f>
        <v>3,1003</v>
      </c>
      <c r="I1184" s="1">
        <f>equip.xml!J1188</f>
        <v>50</v>
      </c>
      <c r="J1184" s="1">
        <f>equip.xml!K1188</f>
        <v>500</v>
      </c>
      <c r="K1184" s="1">
        <f>equip.xml!L1188</f>
        <v>22500</v>
      </c>
      <c r="L1184" s="1" t="str">
        <f>equip.xml!M1188</f>
        <v>102_1240_1240</v>
      </c>
      <c r="M1184" s="7" t="str">
        <f>equip.xml!Q1188</f>
        <v>equipment/2309.png</v>
      </c>
      <c r="N1184" t="str">
        <f>equip.xml!P1188</f>
        <v>10000_1002_40000,30000_30001_1,30000_30002_1,30000_30003_1</v>
      </c>
    </row>
    <row r="1185" spans="1:14">
      <c r="A1185" s="1" t="str">
        <f>equip.xml!A1189</f>
        <v>40403061</v>
      </c>
      <c r="B1185" s="1">
        <f>equip.xml!B1189</f>
        <v>0</v>
      </c>
      <c r="C1185" s="1" t="str">
        <f>equip.xml!C1189</f>
        <v>法术指南</v>
      </c>
      <c r="D1185" s="1" t="str">
        <f>equip.xml!D1189</f>
        <v>副手武器</v>
      </c>
      <c r="E1185" s="1">
        <f>equip.xml!E1189</f>
        <v>6</v>
      </c>
      <c r="F1185" s="1">
        <f>equip.xml!F1189</f>
        <v>4</v>
      </c>
      <c r="G1185" s="1">
        <f>equip.xml!G1189</f>
        <v>40</v>
      </c>
      <c r="H1185" s="1" t="str">
        <f>equip.xml!H1189</f>
        <v>3,1003</v>
      </c>
      <c r="I1185" s="1">
        <f>equip.xml!J1189</f>
        <v>50</v>
      </c>
      <c r="J1185" s="1">
        <f>equip.xml!K1189</f>
        <v>500</v>
      </c>
      <c r="K1185" s="1">
        <f>equip.xml!L1189</f>
        <v>25000</v>
      </c>
      <c r="L1185" s="1" t="str">
        <f>equip.xml!M1189</f>
        <v>102_1029_1029</v>
      </c>
      <c r="M1185" s="7" t="str">
        <f>equip.xml!Q1189</f>
        <v>equipment/2301.png</v>
      </c>
      <c r="N1185" t="str">
        <f>equip.xml!P1189</f>
        <v>10000_1002_40000,30000_30001_1,30000_30002_1,30000_30003_1</v>
      </c>
    </row>
    <row r="1186" spans="1:14">
      <c r="A1186" s="1" t="str">
        <f>equip.xml!A1190</f>
        <v>40400040</v>
      </c>
      <c r="B1186" s="1">
        <f>equip.xml!B1190</f>
        <v>1</v>
      </c>
      <c r="C1186" s="1" t="str">
        <f>equip.xml!C1190</f>
        <v>瑟银护甲</v>
      </c>
      <c r="D1186" s="1" t="str">
        <f>equip.xml!D1190</f>
        <v>胸甲</v>
      </c>
      <c r="E1186" s="1">
        <f>equip.xml!E1190</f>
        <v>4</v>
      </c>
      <c r="F1186" s="1">
        <f>equip.xml!F1190</f>
        <v>4</v>
      </c>
      <c r="G1186" s="1">
        <f>equip.xml!G1190</f>
        <v>40</v>
      </c>
      <c r="H1186" s="1">
        <f>equip.xml!H1190</f>
        <v>0</v>
      </c>
      <c r="I1186" s="1">
        <f>equip.xml!J1190</f>
        <v>50</v>
      </c>
      <c r="J1186" s="1">
        <f>equip.xml!K1190</f>
        <v>500</v>
      </c>
      <c r="K1186" s="1">
        <f>equip.xml!L1190</f>
        <v>22500</v>
      </c>
      <c r="L1186" s="1" t="str">
        <f>equip.xml!M1190</f>
        <v>105_497_497</v>
      </c>
      <c r="M1186" s="7" t="str">
        <f>equip.xml!Q1190</f>
        <v>equipment/5012.png</v>
      </c>
      <c r="N1186" t="str">
        <f>equip.xml!P1190</f>
        <v>10000_1002_40000,30000_30001_1,30000_30002_1,30000_30003_1</v>
      </c>
    </row>
    <row r="1187" spans="1:14">
      <c r="A1187" s="1" t="str">
        <f>equip.xml!A1191</f>
        <v>40400041</v>
      </c>
      <c r="B1187" s="1">
        <f>equip.xml!B1191</f>
        <v>0</v>
      </c>
      <c r="C1187" s="1" t="str">
        <f>equip.xml!C1191</f>
        <v>新兵外套</v>
      </c>
      <c r="D1187" s="1" t="str">
        <f>equip.xml!D1191</f>
        <v>胸甲</v>
      </c>
      <c r="E1187" s="1">
        <f>equip.xml!E1191</f>
        <v>4</v>
      </c>
      <c r="F1187" s="1">
        <f>equip.xml!F1191</f>
        <v>4</v>
      </c>
      <c r="G1187" s="1">
        <f>equip.xml!G1191</f>
        <v>40</v>
      </c>
      <c r="H1187" s="1">
        <f>equip.xml!H1191</f>
        <v>0</v>
      </c>
      <c r="I1187" s="1">
        <f>equip.xml!J1191</f>
        <v>50</v>
      </c>
      <c r="J1187" s="1">
        <f>equip.xml!K1191</f>
        <v>500</v>
      </c>
      <c r="K1187" s="1">
        <f>equip.xml!L1191</f>
        <v>25000</v>
      </c>
      <c r="L1187" s="1" t="str">
        <f>equip.xml!M1191</f>
        <v>105_549_549</v>
      </c>
      <c r="M1187" s="7" t="str">
        <f>equip.xml!Q1191</f>
        <v>equipment/5001.png</v>
      </c>
      <c r="N1187" t="str">
        <f>equip.xml!P1191</f>
        <v>10000_1002_40000,30000_30001_1,30000_30002_1,30000_30003_1</v>
      </c>
    </row>
    <row r="1188" spans="1:14">
      <c r="A1188" s="1" t="str">
        <f>equip.xml!A1192</f>
        <v>40400070</v>
      </c>
      <c r="B1188" s="1">
        <f>equip.xml!B1192</f>
        <v>1</v>
      </c>
      <c r="C1188" s="1" t="str">
        <f>equip.xml!C1192</f>
        <v>巨熊护腿</v>
      </c>
      <c r="D1188" s="1" t="str">
        <f>equip.xml!D1192</f>
        <v>护腿</v>
      </c>
      <c r="E1188" s="1">
        <f>equip.xml!E1192</f>
        <v>7</v>
      </c>
      <c r="F1188" s="1">
        <f>equip.xml!F1192</f>
        <v>4</v>
      </c>
      <c r="G1188" s="1">
        <f>equip.xml!G1192</f>
        <v>40</v>
      </c>
      <c r="H1188" s="1">
        <f>equip.xml!H1192</f>
        <v>0</v>
      </c>
      <c r="I1188" s="1">
        <f>equip.xml!J1192</f>
        <v>50</v>
      </c>
      <c r="J1188" s="1">
        <f>equip.xml!K1192</f>
        <v>500</v>
      </c>
      <c r="K1188" s="1">
        <f>equip.xml!L1192</f>
        <v>22500</v>
      </c>
      <c r="L1188" s="1" t="str">
        <f>equip.xml!M1192</f>
        <v>105_387_387</v>
      </c>
      <c r="M1188" s="7" t="str">
        <f>equip.xml!Q1192</f>
        <v>equipment/7009.png</v>
      </c>
      <c r="N1188" t="str">
        <f>equip.xml!P1192</f>
        <v>10000_1002_40000,30000_30001_1,30000_30002_1,30000_30003_1</v>
      </c>
    </row>
    <row r="1189" spans="1:14">
      <c r="A1189" s="1" t="str">
        <f>equip.xml!A1193</f>
        <v>40400071</v>
      </c>
      <c r="B1189" s="1">
        <f>equip.xml!B1193</f>
        <v>0</v>
      </c>
      <c r="C1189" s="1" t="str">
        <f>equip.xml!C1193</f>
        <v>学徒短裤</v>
      </c>
      <c r="D1189" s="1" t="str">
        <f>equip.xml!D1193</f>
        <v>护腿</v>
      </c>
      <c r="E1189" s="1">
        <f>equip.xml!E1193</f>
        <v>7</v>
      </c>
      <c r="F1189" s="1">
        <f>equip.xml!F1193</f>
        <v>4</v>
      </c>
      <c r="G1189" s="1">
        <f>equip.xml!G1193</f>
        <v>40</v>
      </c>
      <c r="H1189" s="1">
        <f>equip.xml!H1193</f>
        <v>0</v>
      </c>
      <c r="I1189" s="1">
        <f>equip.xml!J1193</f>
        <v>50</v>
      </c>
      <c r="J1189" s="1">
        <f>equip.xml!K1193</f>
        <v>500</v>
      </c>
      <c r="K1189" s="1">
        <f>equip.xml!L1193</f>
        <v>25000</v>
      </c>
      <c r="L1189" s="1" t="str">
        <f>equip.xml!M1193</f>
        <v>105_431_431</v>
      </c>
      <c r="M1189" s="7" t="str">
        <f>equip.xml!Q1193</f>
        <v>equipment/7001.png</v>
      </c>
      <c r="N1189" t="str">
        <f>equip.xml!P1193</f>
        <v>10000_1002_40000,30000_30001_1,30000_30002_1,30000_30003_1</v>
      </c>
    </row>
    <row r="1190" spans="1:14">
      <c r="A1190" s="1" t="str">
        <f>equip.xml!A1194</f>
        <v>40450010</v>
      </c>
      <c r="B1190" s="1">
        <f>equip.xml!B1194</f>
        <v>0</v>
      </c>
      <c r="C1190" s="1" t="str">
        <f>equip.xml!C1194</f>
        <v>战争头盔</v>
      </c>
      <c r="D1190" s="1" t="str">
        <f>equip.xml!D1194</f>
        <v>头盔</v>
      </c>
      <c r="E1190" s="1">
        <f>equip.xml!E1194</f>
        <v>1</v>
      </c>
      <c r="F1190" s="1">
        <f>equip.xml!F1194</f>
        <v>4</v>
      </c>
      <c r="G1190" s="1">
        <f>equip.xml!G1194</f>
        <v>45</v>
      </c>
      <c r="H1190" s="1">
        <f>equip.xml!H1194</f>
        <v>0</v>
      </c>
      <c r="I1190" s="1">
        <f>equip.xml!J1194</f>
        <v>50</v>
      </c>
      <c r="J1190" s="1">
        <f>equip.xml!K1194</f>
        <v>500</v>
      </c>
      <c r="K1190" s="1">
        <f>equip.xml!L1194</f>
        <v>25000</v>
      </c>
      <c r="L1190" s="1" t="str">
        <f>equip.xml!M1194</f>
        <v>106_751_751</v>
      </c>
      <c r="M1190" s="7" t="str">
        <f>equip.xml!Q1194</f>
        <v>equipment/3001.png</v>
      </c>
      <c r="N1190" t="str">
        <f>equip.xml!P1194</f>
        <v>10000_1002_45000,30000_30001_1,30000_30002_1,30000_30003_1</v>
      </c>
    </row>
    <row r="1191" spans="1:14">
      <c r="A1191" s="1" t="str">
        <f>equip.xml!A1195</f>
        <v>40450020</v>
      </c>
      <c r="B1191" s="1">
        <f>equip.xml!B1195</f>
        <v>0</v>
      </c>
      <c r="C1191" s="1" t="str">
        <f>equip.xml!C1195</f>
        <v>金戒指</v>
      </c>
      <c r="D1191" s="1" t="str">
        <f>equip.xml!D1195</f>
        <v>戒指</v>
      </c>
      <c r="E1191" s="1">
        <f>equip.xml!E1195</f>
        <v>2</v>
      </c>
      <c r="F1191" s="1">
        <f>equip.xml!F1195</f>
        <v>4</v>
      </c>
      <c r="G1191" s="1">
        <f>equip.xml!G1195</f>
        <v>45</v>
      </c>
      <c r="H1191" s="1">
        <f>equip.xml!H1195</f>
        <v>0</v>
      </c>
      <c r="I1191" s="1">
        <f>equip.xml!J1195</f>
        <v>50</v>
      </c>
      <c r="J1191" s="1">
        <f>equip.xml!K1195</f>
        <v>500</v>
      </c>
      <c r="K1191" s="1">
        <f>equip.xml!L1195</f>
        <v>25000</v>
      </c>
      <c r="L1191" s="1" t="str">
        <f>equip.xml!M1195</f>
        <v>102_740_740</v>
      </c>
      <c r="M1191" s="7" t="str">
        <f>equip.xml!Q1195</f>
        <v>equipment/14001.png</v>
      </c>
      <c r="N1191" t="str">
        <f>equip.xml!P1195</f>
        <v>10000_1002_45000,30000_30001_1,30000_30002_1,30000_30003_1</v>
      </c>
    </row>
    <row r="1192" spans="1:14">
      <c r="A1192" s="1" t="str">
        <f>equip.xml!A1196</f>
        <v>40450030</v>
      </c>
      <c r="B1192" s="1">
        <f>equip.xml!B1196</f>
        <v>1</v>
      </c>
      <c r="C1192" s="1" t="str">
        <f>equip.xml!C1196</f>
        <v>督军腰带</v>
      </c>
      <c r="D1192" s="1" t="str">
        <f>equip.xml!D1196</f>
        <v>腰带</v>
      </c>
      <c r="E1192" s="1">
        <f>equip.xml!E1196</f>
        <v>3</v>
      </c>
      <c r="F1192" s="1">
        <f>equip.xml!F1196</f>
        <v>4</v>
      </c>
      <c r="G1192" s="1">
        <f>equip.xml!G1196</f>
        <v>45</v>
      </c>
      <c r="H1192" s="1">
        <f>equip.xml!H1196</f>
        <v>0</v>
      </c>
      <c r="I1192" s="1">
        <f>equip.xml!J1196</f>
        <v>50</v>
      </c>
      <c r="J1192" s="1">
        <f>equip.xml!K1196</f>
        <v>500</v>
      </c>
      <c r="K1192" s="1">
        <f>equip.xml!L1196</f>
        <v>25000</v>
      </c>
      <c r="L1192" s="1" t="str">
        <f>equip.xml!M1196</f>
        <v>101_8840_8840</v>
      </c>
      <c r="M1192" s="7" t="str">
        <f>equip.xml!Q1196</f>
        <v>equipment/6008.png</v>
      </c>
      <c r="N1192" t="str">
        <f>equip.xml!P1196</f>
        <v>10000_1002_45000,30000_30001_1,30000_30002_1,30000_30003_1</v>
      </c>
    </row>
    <row r="1193" spans="1:14">
      <c r="A1193" s="1" t="str">
        <f>equip.xml!A1197</f>
        <v>40450080</v>
      </c>
      <c r="B1193" s="1">
        <f>equip.xml!B1197</f>
        <v>1</v>
      </c>
      <c r="C1193" s="1" t="str">
        <f>equip.xml!C1197</f>
        <v>浩劫长靴</v>
      </c>
      <c r="D1193" s="1" t="str">
        <f>equip.xml!D1197</f>
        <v>鞋子</v>
      </c>
      <c r="E1193" s="1">
        <f>equip.xml!E1197</f>
        <v>8</v>
      </c>
      <c r="F1193" s="1">
        <f>equip.xml!F1197</f>
        <v>4</v>
      </c>
      <c r="G1193" s="1">
        <f>equip.xml!G1197</f>
        <v>45</v>
      </c>
      <c r="H1193" s="1">
        <f>equip.xml!H1197</f>
        <v>0</v>
      </c>
      <c r="I1193" s="1">
        <f>equip.xml!J1197</f>
        <v>50</v>
      </c>
      <c r="J1193" s="1">
        <f>equip.xml!K1197</f>
        <v>500</v>
      </c>
      <c r="K1193" s="1">
        <f>equip.xml!L1197</f>
        <v>25000</v>
      </c>
      <c r="L1193" s="1" t="str">
        <f>equip.xml!M1197</f>
        <v>110_137_137</v>
      </c>
      <c r="M1193" s="7" t="str">
        <f>equip.xml!Q1197</f>
        <v>equipment/8008.png</v>
      </c>
      <c r="N1193" t="str">
        <f>equip.xml!P1197</f>
        <v>10000_1002_45000,30000_30001_1,30000_30002_1,30000_30003_1</v>
      </c>
    </row>
    <row r="1194" spans="1:14">
      <c r="A1194" s="1" t="str">
        <f>equip.xml!A1198</f>
        <v>40450090</v>
      </c>
      <c r="B1194" s="1">
        <f>equip.xml!B1198</f>
        <v>1</v>
      </c>
      <c r="C1194" s="1" t="str">
        <f>equip.xml!C1198</f>
        <v>愤怒护手</v>
      </c>
      <c r="D1194" s="1" t="str">
        <f>equip.xml!D1198</f>
        <v>手套</v>
      </c>
      <c r="E1194" s="1">
        <f>equip.xml!E1198</f>
        <v>9</v>
      </c>
      <c r="F1194" s="1">
        <f>equip.xml!F1198</f>
        <v>4</v>
      </c>
      <c r="G1194" s="1">
        <f>equip.xml!G1198</f>
        <v>45</v>
      </c>
      <c r="H1194" s="1">
        <f>equip.xml!H1198</f>
        <v>0</v>
      </c>
      <c r="I1194" s="1">
        <f>equip.xml!J1198</f>
        <v>50</v>
      </c>
      <c r="J1194" s="1">
        <f>equip.xml!K1198</f>
        <v>500</v>
      </c>
      <c r="K1194" s="1">
        <f>equip.xml!L1198</f>
        <v>25000</v>
      </c>
      <c r="L1194" s="1" t="str">
        <f>equip.xml!M1198</f>
        <v>108_1255_1255</v>
      </c>
      <c r="M1194" s="7" t="str">
        <f>equip.xml!Q1198</f>
        <v>equipment/10008.png</v>
      </c>
      <c r="N1194" t="str">
        <f>equip.xml!P1198</f>
        <v>10000_1002_45000,30000_30001_1,30000_30002_1,30000_30003_1</v>
      </c>
    </row>
    <row r="1195" spans="1:14">
      <c r="A1195" s="1" t="str">
        <f>equip.xml!A1199</f>
        <v>40450100</v>
      </c>
      <c r="B1195" s="1">
        <f>equip.xml!B1199</f>
        <v>1</v>
      </c>
      <c r="C1195" s="1" t="str">
        <f>equip.xml!C1199</f>
        <v>新月项链</v>
      </c>
      <c r="D1195" s="1" t="str">
        <f>equip.xml!D1199</f>
        <v>项链</v>
      </c>
      <c r="E1195" s="1">
        <f>equip.xml!E1199</f>
        <v>10</v>
      </c>
      <c r="F1195" s="1">
        <f>equip.xml!F1199</f>
        <v>4</v>
      </c>
      <c r="G1195" s="1">
        <f>equip.xml!G1199</f>
        <v>45</v>
      </c>
      <c r="H1195" s="1">
        <f>equip.xml!H1199</f>
        <v>0</v>
      </c>
      <c r="I1195" s="1">
        <f>equip.xml!J1199</f>
        <v>50</v>
      </c>
      <c r="J1195" s="1">
        <f>equip.xml!K1199</f>
        <v>500</v>
      </c>
      <c r="K1195" s="1">
        <f>equip.xml!L1199</f>
        <v>25000</v>
      </c>
      <c r="L1195" s="1" t="str">
        <f>equip.xml!M1199</f>
        <v>107_751_751</v>
      </c>
      <c r="M1195" s="7" t="str">
        <f>equip.xml!Q1199</f>
        <v>equipment/12007.png</v>
      </c>
      <c r="N1195" t="str">
        <f>equip.xml!P1199</f>
        <v>10000_1002_45000,30000_30001_1,30000_30002_1,30000_30003_1</v>
      </c>
    </row>
    <row r="1196" spans="1:14">
      <c r="A1196" s="1" t="str">
        <f>equip.xml!A1200</f>
        <v>40451050</v>
      </c>
      <c r="B1196" s="1">
        <f>equip.xml!B1200</f>
        <v>1</v>
      </c>
      <c r="C1196" s="1" t="str">
        <f>equip.xml!C1200</f>
        <v>龙纹之刃</v>
      </c>
      <c r="D1196" s="1" t="str">
        <f>equip.xml!D1200</f>
        <v>主手武器</v>
      </c>
      <c r="E1196" s="1">
        <f>equip.xml!E1200</f>
        <v>5</v>
      </c>
      <c r="F1196" s="1">
        <f>equip.xml!F1200</f>
        <v>4</v>
      </c>
      <c r="G1196" s="1">
        <f>equip.xml!G1200</f>
        <v>45</v>
      </c>
      <c r="H1196" s="1" t="str">
        <f>equip.xml!H1200</f>
        <v>1,1001</v>
      </c>
      <c r="I1196" s="1">
        <f>equip.xml!J1200</f>
        <v>50</v>
      </c>
      <c r="J1196" s="1">
        <f>equip.xml!K1200</f>
        <v>500</v>
      </c>
      <c r="K1196" s="1">
        <f>equip.xml!L1200</f>
        <v>25000</v>
      </c>
      <c r="L1196" s="1" t="str">
        <f>equip.xml!M1200</f>
        <v>103_854_854,104_1708_1708</v>
      </c>
      <c r="M1196" s="7" t="str">
        <f>equip.xml!Q1200</f>
        <v>equipment/1117.png</v>
      </c>
      <c r="N1196" t="str">
        <f>equip.xml!P1200</f>
        <v>10000_1002_45000,30000_30001_1,30000_30002_1,30000_30003_1</v>
      </c>
    </row>
    <row r="1197" spans="1:14">
      <c r="A1197" s="1" t="str">
        <f>equip.xml!A1201</f>
        <v>40451051</v>
      </c>
      <c r="B1197" s="1">
        <f>equip.xml!B1201</f>
        <v>0</v>
      </c>
      <c r="C1197" s="1" t="str">
        <f>equip.xml!C1201</f>
        <v>军刀</v>
      </c>
      <c r="D1197" s="1" t="str">
        <f>equip.xml!D1201</f>
        <v>主手武器</v>
      </c>
      <c r="E1197" s="1">
        <f>equip.xml!E1201</f>
        <v>5</v>
      </c>
      <c r="F1197" s="1">
        <f>equip.xml!F1201</f>
        <v>4</v>
      </c>
      <c r="G1197" s="1">
        <f>equip.xml!G1201</f>
        <v>45</v>
      </c>
      <c r="H1197" s="1" t="str">
        <f>equip.xml!H1201</f>
        <v>1,1001</v>
      </c>
      <c r="I1197" s="1">
        <f>equip.xml!J1201</f>
        <v>50</v>
      </c>
      <c r="J1197" s="1">
        <f>equip.xml!K1201</f>
        <v>500</v>
      </c>
      <c r="K1197" s="1">
        <f>equip.xml!L1201</f>
        <v>27500</v>
      </c>
      <c r="L1197" s="1" t="str">
        <f>equip.xml!M1201</f>
        <v>103_951_951,104_1902_1902</v>
      </c>
      <c r="M1197" s="7" t="str">
        <f>equip.xml!Q1201</f>
        <v>equipment/1101.png</v>
      </c>
      <c r="N1197" t="str">
        <f>equip.xml!P1201</f>
        <v>10000_1002_45000,30000_30001_1,30000_30002_1,30000_30003_1</v>
      </c>
    </row>
    <row r="1198" spans="1:14">
      <c r="A1198" s="1" t="str">
        <f>equip.xml!A1202</f>
        <v>40451060</v>
      </c>
      <c r="B1198" s="1">
        <f>equip.xml!B1202</f>
        <v>1</v>
      </c>
      <c r="C1198" s="1" t="str">
        <f>equip.xml!C1202</f>
        <v>正义壁垒</v>
      </c>
      <c r="D1198" s="1" t="str">
        <f>equip.xml!D1202</f>
        <v>副手武器</v>
      </c>
      <c r="E1198" s="1">
        <f>equip.xml!E1202</f>
        <v>6</v>
      </c>
      <c r="F1198" s="1">
        <f>equip.xml!F1202</f>
        <v>4</v>
      </c>
      <c r="G1198" s="1">
        <f>equip.xml!G1202</f>
        <v>45</v>
      </c>
      <c r="H1198" s="1" t="str">
        <f>equip.xml!H1202</f>
        <v>1,1001</v>
      </c>
      <c r="I1198" s="1">
        <f>equip.xml!J1202</f>
        <v>50</v>
      </c>
      <c r="J1198" s="1">
        <f>equip.xml!K1202</f>
        <v>500</v>
      </c>
      <c r="K1198" s="1">
        <f>equip.xml!L1202</f>
        <v>25000</v>
      </c>
      <c r="L1198" s="1" t="str">
        <f>equip.xml!M1202</f>
        <v>105_1253_1253</v>
      </c>
      <c r="M1198" s="7" t="str">
        <f>equip.xml!Q1202</f>
        <v>equipment/2110.png</v>
      </c>
      <c r="N1198" t="str">
        <f>equip.xml!P1202</f>
        <v>10000_1002_45000,30000_30001_1,30000_30002_1,30000_30003_1</v>
      </c>
    </row>
    <row r="1199" spans="1:14">
      <c r="A1199" s="1" t="str">
        <f>equip.xml!A1203</f>
        <v>40451061</v>
      </c>
      <c r="B1199" s="1">
        <f>equip.xml!B1203</f>
        <v>0</v>
      </c>
      <c r="C1199" s="1" t="str">
        <f>equip.xml!C1203</f>
        <v>尖头盾</v>
      </c>
      <c r="D1199" s="1" t="str">
        <f>equip.xml!D1203</f>
        <v>副手武器</v>
      </c>
      <c r="E1199" s="1">
        <f>equip.xml!E1203</f>
        <v>6</v>
      </c>
      <c r="F1199" s="1">
        <f>equip.xml!F1203</f>
        <v>4</v>
      </c>
      <c r="G1199" s="1">
        <f>equip.xml!G1203</f>
        <v>45</v>
      </c>
      <c r="H1199" s="1" t="str">
        <f>equip.xml!H1203</f>
        <v>1,1001</v>
      </c>
      <c r="I1199" s="1">
        <f>equip.xml!J1203</f>
        <v>50</v>
      </c>
      <c r="J1199" s="1">
        <f>equip.xml!K1203</f>
        <v>500</v>
      </c>
      <c r="K1199" s="1">
        <f>equip.xml!L1203</f>
        <v>27500</v>
      </c>
      <c r="L1199" s="1" t="str">
        <f>equip.xml!M1203</f>
        <v>105_1312_1312</v>
      </c>
      <c r="M1199" s="7" t="str">
        <f>equip.xml!Q1203</f>
        <v>equipment/2101.png</v>
      </c>
      <c r="N1199" t="str">
        <f>equip.xml!P1203</f>
        <v>10000_1002_45000,30000_30001_1,30000_30002_1,30000_30003_1</v>
      </c>
    </row>
    <row r="1200" spans="1:14">
      <c r="A1200" s="1" t="str">
        <f>equip.xml!A1204</f>
        <v>40452050</v>
      </c>
      <c r="B1200" s="1">
        <f>equip.xml!B1204</f>
        <v>1</v>
      </c>
      <c r="C1200" s="1" t="str">
        <f>equip.xml!C1204</f>
        <v>霜语长弓</v>
      </c>
      <c r="D1200" s="1" t="str">
        <f>equip.xml!D1204</f>
        <v>主手武器</v>
      </c>
      <c r="E1200" s="1">
        <f>equip.xml!E1204</f>
        <v>5</v>
      </c>
      <c r="F1200" s="1">
        <f>equip.xml!F1204</f>
        <v>4</v>
      </c>
      <c r="G1200" s="1">
        <f>equip.xml!G1204</f>
        <v>45</v>
      </c>
      <c r="H1200" s="1" t="str">
        <f>equip.xml!H1204</f>
        <v>2,1002</v>
      </c>
      <c r="I1200" s="1">
        <f>equip.xml!J1204</f>
        <v>50</v>
      </c>
      <c r="J1200" s="1">
        <f>equip.xml!K1204</f>
        <v>500</v>
      </c>
      <c r="K1200" s="1">
        <f>equip.xml!L1204</f>
        <v>25000</v>
      </c>
      <c r="L1200" s="1" t="str">
        <f>equip.xml!M1204</f>
        <v>103_854_854,104_1708_1708</v>
      </c>
      <c r="M1200" s="7" t="str">
        <f>equip.xml!Q1204</f>
        <v>equipment/1217.png</v>
      </c>
      <c r="N1200" t="str">
        <f>equip.xml!P1204</f>
        <v>10000_1002_45000,30000_30001_1,30000_30002_1,30000_30003_1</v>
      </c>
    </row>
    <row r="1201" spans="1:14">
      <c r="A1201" s="1" t="str">
        <f>equip.xml!A1205</f>
        <v>40452051</v>
      </c>
      <c r="B1201" s="1">
        <f>equip.xml!B1205</f>
        <v>0</v>
      </c>
      <c r="C1201" s="1" t="str">
        <f>equip.xml!C1205</f>
        <v>棘木弓</v>
      </c>
      <c r="D1201" s="1" t="str">
        <f>equip.xml!D1205</f>
        <v>主手武器</v>
      </c>
      <c r="E1201" s="1">
        <f>equip.xml!E1205</f>
        <v>5</v>
      </c>
      <c r="F1201" s="1">
        <f>equip.xml!F1205</f>
        <v>4</v>
      </c>
      <c r="G1201" s="1">
        <f>equip.xml!G1205</f>
        <v>45</v>
      </c>
      <c r="H1201" s="1" t="str">
        <f>equip.xml!H1205</f>
        <v>2,1002</v>
      </c>
      <c r="I1201" s="1">
        <f>equip.xml!J1205</f>
        <v>50</v>
      </c>
      <c r="J1201" s="1">
        <f>equip.xml!K1205</f>
        <v>500</v>
      </c>
      <c r="K1201" s="1">
        <f>equip.xml!L1205</f>
        <v>27500</v>
      </c>
      <c r="L1201" s="1" t="str">
        <f>equip.xml!M1205</f>
        <v>103_951_951,104_1902_1902</v>
      </c>
      <c r="M1201" s="7" t="str">
        <f>equip.xml!Q1205</f>
        <v>equipment/1201.png</v>
      </c>
      <c r="N1201" t="str">
        <f>equip.xml!P1205</f>
        <v>10000_1002_45000,30000_30001_1,30000_30002_1,30000_30003_1</v>
      </c>
    </row>
    <row r="1202" spans="1:14">
      <c r="A1202" s="1" t="str">
        <f>equip.xml!A1206</f>
        <v>40452060</v>
      </c>
      <c r="B1202" s="1">
        <f>equip.xml!B1206</f>
        <v>1</v>
      </c>
      <c r="C1202" s="1" t="str">
        <f>equip.xml!C1206</f>
        <v>月沐箭筒</v>
      </c>
      <c r="D1202" s="1" t="str">
        <f>equip.xml!D1206</f>
        <v>副手武器</v>
      </c>
      <c r="E1202" s="1">
        <f>equip.xml!E1206</f>
        <v>6</v>
      </c>
      <c r="F1202" s="1">
        <f>equip.xml!F1206</f>
        <v>4</v>
      </c>
      <c r="G1202" s="1">
        <f>equip.xml!G1206</f>
        <v>45</v>
      </c>
      <c r="H1202" s="1" t="str">
        <f>equip.xml!H1206</f>
        <v>2,1002</v>
      </c>
      <c r="I1202" s="1">
        <f>equip.xml!J1206</f>
        <v>50</v>
      </c>
      <c r="J1202" s="1">
        <f>equip.xml!K1206</f>
        <v>500</v>
      </c>
      <c r="K1202" s="1">
        <f>equip.xml!L1206</f>
        <v>25000</v>
      </c>
      <c r="L1202" s="1" t="str">
        <f>equip.xml!M1206</f>
        <v>108_1253_1253</v>
      </c>
      <c r="M1202" s="7" t="str">
        <f>equip.xml!Q1206</f>
        <v>equipment/2211.png</v>
      </c>
      <c r="N1202" t="str">
        <f>equip.xml!P1206</f>
        <v>10000_1002_45000,30000_30001_1,30000_30002_1,30000_30003_1</v>
      </c>
    </row>
    <row r="1203" spans="1:14">
      <c r="A1203" s="1" t="str">
        <f>equip.xml!A1207</f>
        <v>40452061</v>
      </c>
      <c r="B1203" s="1">
        <f>equip.xml!B1207</f>
        <v>0</v>
      </c>
      <c r="C1203" s="1" t="str">
        <f>equip.xml!C1207</f>
        <v>箭筒</v>
      </c>
      <c r="D1203" s="1" t="str">
        <f>equip.xml!D1207</f>
        <v>副手武器</v>
      </c>
      <c r="E1203" s="1">
        <f>equip.xml!E1207</f>
        <v>6</v>
      </c>
      <c r="F1203" s="1">
        <f>equip.xml!F1207</f>
        <v>4</v>
      </c>
      <c r="G1203" s="1">
        <f>equip.xml!G1207</f>
        <v>45</v>
      </c>
      <c r="H1203" s="1" t="str">
        <f>equip.xml!H1207</f>
        <v>2,1002</v>
      </c>
      <c r="I1203" s="1">
        <f>equip.xml!J1207</f>
        <v>50</v>
      </c>
      <c r="J1203" s="1">
        <f>equip.xml!K1207</f>
        <v>500</v>
      </c>
      <c r="K1203" s="1">
        <f>equip.xml!L1207</f>
        <v>27500</v>
      </c>
      <c r="L1203" s="1" t="str">
        <f>equip.xml!M1207</f>
        <v>108_1312_1312</v>
      </c>
      <c r="M1203" s="7" t="str">
        <f>equip.xml!Q1207</f>
        <v>equipment/2201.png</v>
      </c>
      <c r="N1203" t="str">
        <f>equip.xml!P1207</f>
        <v>10000_1002_45000,30000_30001_1,30000_30002_1,30000_30003_1</v>
      </c>
    </row>
    <row r="1204" spans="1:14">
      <c r="A1204" s="1" t="str">
        <f>equip.xml!A1208</f>
        <v>40453050</v>
      </c>
      <c r="B1204" s="1">
        <f>equip.xml!B1208</f>
        <v>1</v>
      </c>
      <c r="C1204" s="1" t="str">
        <f>equip.xml!C1208</f>
        <v>皇权之杖</v>
      </c>
      <c r="D1204" s="1" t="str">
        <f>equip.xml!D1208</f>
        <v>主手武器</v>
      </c>
      <c r="E1204" s="1">
        <f>equip.xml!E1208</f>
        <v>5</v>
      </c>
      <c r="F1204" s="1">
        <f>equip.xml!F1208</f>
        <v>4</v>
      </c>
      <c r="G1204" s="1">
        <f>equip.xml!G1208</f>
        <v>45</v>
      </c>
      <c r="H1204" s="1" t="str">
        <f>equip.xml!H1208</f>
        <v>3,1003</v>
      </c>
      <c r="I1204" s="1">
        <f>equip.xml!J1208</f>
        <v>50</v>
      </c>
      <c r="J1204" s="1">
        <f>equip.xml!K1208</f>
        <v>500</v>
      </c>
      <c r="K1204" s="1">
        <f>equip.xml!L1208</f>
        <v>25000</v>
      </c>
      <c r="L1204" s="1" t="str">
        <f>equip.xml!M1208</f>
        <v>103_854_854,104_1708_1708</v>
      </c>
      <c r="M1204" s="7" t="str">
        <f>equip.xml!Q1208</f>
        <v>equipment/1316.png</v>
      </c>
      <c r="N1204" t="str">
        <f>equip.xml!P1208</f>
        <v>10000_1002_45000,30000_30001_1,30000_30002_1,30000_30003_1</v>
      </c>
    </row>
    <row r="1205" spans="1:14">
      <c r="A1205" s="1" t="str">
        <f>equip.xml!A1209</f>
        <v>40453051</v>
      </c>
      <c r="B1205" s="1">
        <f>equip.xml!B1209</f>
        <v>1</v>
      </c>
      <c r="C1205" s="1" t="str">
        <f>equip.xml!C1209</f>
        <v>圣晶权杖</v>
      </c>
      <c r="D1205" s="1" t="str">
        <f>equip.xml!D1209</f>
        <v>主手武器</v>
      </c>
      <c r="E1205" s="1">
        <f>equip.xml!E1209</f>
        <v>5</v>
      </c>
      <c r="F1205" s="1">
        <f>equip.xml!F1209</f>
        <v>4</v>
      </c>
      <c r="G1205" s="1">
        <f>equip.xml!G1209</f>
        <v>45</v>
      </c>
      <c r="H1205" s="1" t="str">
        <f>equip.xml!H1209</f>
        <v>3,1003</v>
      </c>
      <c r="I1205" s="1">
        <f>equip.xml!J1209</f>
        <v>50</v>
      </c>
      <c r="J1205" s="1">
        <f>equip.xml!K1209</f>
        <v>500</v>
      </c>
      <c r="K1205" s="1">
        <f>equip.xml!L1209</f>
        <v>27500</v>
      </c>
      <c r="L1205" s="1" t="str">
        <f>equip.xml!M1209</f>
        <v>103_951_951,104_1902_1902</v>
      </c>
      <c r="M1205" s="7" t="str">
        <f>equip.xml!Q1209</f>
        <v>equipment/1318.png</v>
      </c>
      <c r="N1205" t="str">
        <f>equip.xml!P1209</f>
        <v>10000_1002_45000,30000_30001_1,30000_30002_1,30000_30003_1</v>
      </c>
    </row>
    <row r="1206" spans="1:14">
      <c r="A1206" s="1" t="str">
        <f>equip.xml!A1210</f>
        <v>40453060</v>
      </c>
      <c r="B1206" s="1">
        <f>equip.xml!B1210</f>
        <v>1</v>
      </c>
      <c r="C1206" s="1" t="str">
        <f>equip.xml!C1210</f>
        <v>占卜魔典</v>
      </c>
      <c r="D1206" s="1" t="str">
        <f>equip.xml!D1210</f>
        <v>副手武器</v>
      </c>
      <c r="E1206" s="1">
        <f>equip.xml!E1210</f>
        <v>6</v>
      </c>
      <c r="F1206" s="1">
        <f>equip.xml!F1210</f>
        <v>4</v>
      </c>
      <c r="G1206" s="1">
        <f>equip.xml!G1210</f>
        <v>45</v>
      </c>
      <c r="H1206" s="1" t="str">
        <f>equip.xml!H1210</f>
        <v>3,1003</v>
      </c>
      <c r="I1206" s="1">
        <f>equip.xml!J1210</f>
        <v>50</v>
      </c>
      <c r="J1206" s="1">
        <f>equip.xml!K1210</f>
        <v>500</v>
      </c>
      <c r="K1206" s="1">
        <f>equip.xml!L1210</f>
        <v>25000</v>
      </c>
      <c r="L1206" s="1" t="str">
        <f>equip.xml!M1210</f>
        <v>102_1320_1320</v>
      </c>
      <c r="M1206" s="7" t="str">
        <f>equip.xml!Q1210</f>
        <v>equipment/2310.png</v>
      </c>
      <c r="N1206" t="str">
        <f>equip.xml!P1210</f>
        <v>10000_1002_45000,30000_30001_1,30000_30002_1,30000_30003_1</v>
      </c>
    </row>
    <row r="1207" spans="1:14">
      <c r="A1207" s="1" t="str">
        <f>equip.xml!A1211</f>
        <v>40453061</v>
      </c>
      <c r="B1207" s="1">
        <f>equip.xml!B1211</f>
        <v>0</v>
      </c>
      <c r="C1207" s="1" t="str">
        <f>equip.xml!C1211</f>
        <v>法术指南</v>
      </c>
      <c r="D1207" s="1" t="str">
        <f>equip.xml!D1211</f>
        <v>副手武器</v>
      </c>
      <c r="E1207" s="1">
        <f>equip.xml!E1211</f>
        <v>6</v>
      </c>
      <c r="F1207" s="1">
        <f>equip.xml!F1211</f>
        <v>4</v>
      </c>
      <c r="G1207" s="1">
        <f>equip.xml!G1211</f>
        <v>45</v>
      </c>
      <c r="H1207" s="1" t="str">
        <f>equip.xml!H1211</f>
        <v>3,1003</v>
      </c>
      <c r="I1207" s="1">
        <f>equip.xml!J1211</f>
        <v>50</v>
      </c>
      <c r="J1207" s="1">
        <f>equip.xml!K1211</f>
        <v>500</v>
      </c>
      <c r="K1207" s="1">
        <f>equip.xml!L1211</f>
        <v>27500</v>
      </c>
      <c r="L1207" s="1" t="str">
        <f>equip.xml!M1211</f>
        <v>102_1312_1312</v>
      </c>
      <c r="M1207" s="7" t="str">
        <f>equip.xml!Q1211</f>
        <v>equipment/2301.png</v>
      </c>
      <c r="N1207" t="str">
        <f>equip.xml!P1211</f>
        <v>10000_1002_45000,30000_30001_1,30000_30002_1,30000_30003_1</v>
      </c>
    </row>
    <row r="1208" spans="1:14">
      <c r="A1208" s="1" t="str">
        <f>equip.xml!A1212</f>
        <v>40450040</v>
      </c>
      <c r="B1208" s="1">
        <f>equip.xml!B1212</f>
        <v>1</v>
      </c>
      <c r="C1208" s="1" t="str">
        <f>equip.xml!C1212</f>
        <v>执政官胸甲</v>
      </c>
      <c r="D1208" s="1" t="str">
        <f>equip.xml!D1212</f>
        <v>胸甲</v>
      </c>
      <c r="E1208" s="1">
        <f>equip.xml!E1212</f>
        <v>4</v>
      </c>
      <c r="F1208" s="1">
        <f>equip.xml!F1212</f>
        <v>4</v>
      </c>
      <c r="G1208" s="1">
        <f>equip.xml!G1212</f>
        <v>45</v>
      </c>
      <c r="H1208" s="1">
        <f>equip.xml!H1212</f>
        <v>0</v>
      </c>
      <c r="I1208" s="1">
        <f>equip.xml!J1212</f>
        <v>50</v>
      </c>
      <c r="J1208" s="1">
        <f>equip.xml!K1212</f>
        <v>500</v>
      </c>
      <c r="K1208" s="1">
        <f>equip.xml!L1212</f>
        <v>25000</v>
      </c>
      <c r="L1208" s="1" t="str">
        <f>equip.xml!M1212</f>
        <v>105_628_628</v>
      </c>
      <c r="M1208" s="7" t="str">
        <f>equip.xml!Q1212</f>
        <v>equipment/5013.png</v>
      </c>
      <c r="N1208" t="str">
        <f>equip.xml!P1212</f>
        <v>10000_1002_45000,30000_30001_1,30000_30002_1,30000_30003_1</v>
      </c>
    </row>
    <row r="1209" spans="1:14">
      <c r="A1209" s="1" t="str">
        <f>equip.xml!A1213</f>
        <v>40450041</v>
      </c>
      <c r="B1209" s="1">
        <f>equip.xml!B1213</f>
        <v>1</v>
      </c>
      <c r="C1209" s="1" t="str">
        <f>equip.xml!C1213</f>
        <v>军团胸甲</v>
      </c>
      <c r="D1209" s="1" t="str">
        <f>equip.xml!D1213</f>
        <v>胸甲</v>
      </c>
      <c r="E1209" s="1">
        <f>equip.xml!E1213</f>
        <v>4</v>
      </c>
      <c r="F1209" s="1">
        <f>equip.xml!F1213</f>
        <v>4</v>
      </c>
      <c r="G1209" s="1">
        <f>equip.xml!G1213</f>
        <v>45</v>
      </c>
      <c r="H1209" s="1">
        <f>equip.xml!H1213</f>
        <v>0</v>
      </c>
      <c r="I1209" s="1">
        <f>equip.xml!J1213</f>
        <v>50</v>
      </c>
      <c r="J1209" s="1">
        <f>equip.xml!K1213</f>
        <v>500</v>
      </c>
      <c r="K1209" s="1">
        <f>equip.xml!L1213</f>
        <v>27500</v>
      </c>
      <c r="L1209" s="1" t="str">
        <f>equip.xml!M1213</f>
        <v>105_689_689</v>
      </c>
      <c r="M1209" s="7" t="str">
        <f>equip.xml!Q1213</f>
        <v>equipment/5014.png</v>
      </c>
      <c r="N1209" t="str">
        <f>equip.xml!P1213</f>
        <v>10000_1002_45000,30000_30001_1,30000_30002_1,30000_30003_1</v>
      </c>
    </row>
    <row r="1210" spans="1:14">
      <c r="A1210" s="1" t="str">
        <f>equip.xml!A1214</f>
        <v>40450070</v>
      </c>
      <c r="B1210" s="1">
        <f>equip.xml!B1214</f>
        <v>1</v>
      </c>
      <c r="C1210" s="1" t="str">
        <f>equip.xml!C1214</f>
        <v>冰铸腿铠</v>
      </c>
      <c r="D1210" s="1" t="str">
        <f>equip.xml!D1214</f>
        <v>护腿</v>
      </c>
      <c r="E1210" s="1">
        <f>equip.xml!E1214</f>
        <v>7</v>
      </c>
      <c r="F1210" s="1">
        <f>equip.xml!F1214</f>
        <v>4</v>
      </c>
      <c r="G1210" s="1">
        <f>equip.xml!G1214</f>
        <v>45</v>
      </c>
      <c r="H1210" s="1">
        <f>equip.xml!H1214</f>
        <v>0</v>
      </c>
      <c r="I1210" s="1">
        <f>equip.xml!J1214</f>
        <v>50</v>
      </c>
      <c r="J1210" s="1">
        <f>equip.xml!K1214</f>
        <v>500</v>
      </c>
      <c r="K1210" s="1">
        <f>equip.xml!L1214</f>
        <v>25000</v>
      </c>
      <c r="L1210" s="1" t="str">
        <f>equip.xml!M1214</f>
        <v>105_497_497</v>
      </c>
      <c r="M1210" s="7" t="str">
        <f>equip.xml!Q1214</f>
        <v>equipment/7011.png</v>
      </c>
      <c r="N1210" t="str">
        <f>equip.xml!P1214</f>
        <v>10000_1002_45000,30000_30001_1,30000_30002_1,30000_30003_1</v>
      </c>
    </row>
    <row r="1211" spans="1:14">
      <c r="A1211" s="1" t="str">
        <f>equip.xml!A1215</f>
        <v>40450071</v>
      </c>
      <c r="B1211" s="1">
        <f>equip.xml!B1215</f>
        <v>1</v>
      </c>
      <c r="C1211" s="1" t="str">
        <f>equip.xml!C1215</f>
        <v>织灵护腿</v>
      </c>
      <c r="D1211" s="1" t="str">
        <f>equip.xml!D1215</f>
        <v>护腿</v>
      </c>
      <c r="E1211" s="1">
        <f>equip.xml!E1215</f>
        <v>7</v>
      </c>
      <c r="F1211" s="1">
        <f>equip.xml!F1215</f>
        <v>4</v>
      </c>
      <c r="G1211" s="1">
        <f>equip.xml!G1215</f>
        <v>45</v>
      </c>
      <c r="H1211" s="1">
        <f>equip.xml!H1215</f>
        <v>0</v>
      </c>
      <c r="I1211" s="1">
        <f>equip.xml!J1215</f>
        <v>50</v>
      </c>
      <c r="J1211" s="1">
        <f>equip.xml!K1215</f>
        <v>500</v>
      </c>
      <c r="K1211" s="1">
        <f>equip.xml!L1215</f>
        <v>27500</v>
      </c>
      <c r="L1211" s="1" t="str">
        <f>equip.xml!M1215</f>
        <v>105_549_549</v>
      </c>
      <c r="M1211" s="7" t="str">
        <f>equip.xml!Q1215</f>
        <v>equipment/7010.png</v>
      </c>
      <c r="N1211" t="str">
        <f>equip.xml!P1215</f>
        <v>10000_1002_45000,30000_30001_1,30000_30002_1,30000_30003_1</v>
      </c>
    </row>
    <row r="1212" spans="1:14">
      <c r="A1212" s="1" t="str">
        <f>equip.xml!A1216</f>
        <v>40500010</v>
      </c>
      <c r="B1212" s="1">
        <f>equip.xml!B1216</f>
        <v>1</v>
      </c>
      <c r="C1212" s="1" t="str">
        <f>equip.xml!C1216</f>
        <v>战痕头盔</v>
      </c>
      <c r="D1212" s="1" t="str">
        <f>equip.xml!D1216</f>
        <v>头盔</v>
      </c>
      <c r="E1212" s="1">
        <f>equip.xml!E1216</f>
        <v>1</v>
      </c>
      <c r="F1212" s="1">
        <f>equip.xml!F1216</f>
        <v>4</v>
      </c>
      <c r="G1212" s="1">
        <f>equip.xml!G1216</f>
        <v>50</v>
      </c>
      <c r="H1212" s="1">
        <f>equip.xml!H1216</f>
        <v>0</v>
      </c>
      <c r="I1212" s="1">
        <f>equip.xml!J1216</f>
        <v>50</v>
      </c>
      <c r="J1212" s="1">
        <f>equip.xml!K1216</f>
        <v>500</v>
      </c>
      <c r="K1212" s="1">
        <f>equip.xml!L1216</f>
        <v>27500</v>
      </c>
      <c r="L1212" s="1" t="str">
        <f>equip.xml!M1216</f>
        <v>106_1000_1000</v>
      </c>
      <c r="M1212" s="7" t="str">
        <f>equip.xml!Q1216</f>
        <v>equipment/3008.png</v>
      </c>
      <c r="N1212" t="str">
        <f>equip.xml!P1216</f>
        <v>10000_1002_50000,30000_30001_1,30000_30002_1,30000_30003_1</v>
      </c>
    </row>
    <row r="1213" spans="1:14">
      <c r="A1213" s="1" t="str">
        <f>equip.xml!A1217</f>
        <v>40500020</v>
      </c>
      <c r="B1213" s="1">
        <f>equip.xml!B1217</f>
        <v>1</v>
      </c>
      <c r="C1213" s="1" t="str">
        <f>equip.xml!C1217</f>
        <v>灵风之戒</v>
      </c>
      <c r="D1213" s="1" t="str">
        <f>equip.xml!D1217</f>
        <v>戒指</v>
      </c>
      <c r="E1213" s="1">
        <f>equip.xml!E1217</f>
        <v>2</v>
      </c>
      <c r="F1213" s="1">
        <f>equip.xml!F1217</f>
        <v>4</v>
      </c>
      <c r="G1213" s="1">
        <f>equip.xml!G1217</f>
        <v>50</v>
      </c>
      <c r="H1213" s="1">
        <f>equip.xml!H1217</f>
        <v>0</v>
      </c>
      <c r="I1213" s="1">
        <f>equip.xml!J1217</f>
        <v>50</v>
      </c>
      <c r="J1213" s="1">
        <f>equip.xml!K1217</f>
        <v>500</v>
      </c>
      <c r="K1213" s="1">
        <f>equip.xml!L1217</f>
        <v>27500</v>
      </c>
      <c r="L1213" s="1" t="str">
        <f>equip.xml!M1217</f>
        <v>102_975_975</v>
      </c>
      <c r="M1213" s="7" t="str">
        <f>equip.xml!Q1217</f>
        <v>equipment/14008.png</v>
      </c>
      <c r="N1213" t="str">
        <f>equip.xml!P1217</f>
        <v>10000_1002_50000,30000_30001_1,30000_30002_1,30000_30003_1</v>
      </c>
    </row>
    <row r="1214" spans="1:14">
      <c r="A1214" s="1" t="str">
        <f>equip.xml!A1218</f>
        <v>40500030</v>
      </c>
      <c r="B1214" s="1">
        <f>equip.xml!B1218</f>
        <v>1</v>
      </c>
      <c r="C1214" s="1" t="str">
        <f>equip.xml!C1218</f>
        <v>生命腰带</v>
      </c>
      <c r="D1214" s="1" t="str">
        <f>equip.xml!D1218</f>
        <v>腰带</v>
      </c>
      <c r="E1214" s="1">
        <f>equip.xml!E1218</f>
        <v>3</v>
      </c>
      <c r="F1214" s="1">
        <f>equip.xml!F1218</f>
        <v>4</v>
      </c>
      <c r="G1214" s="1">
        <f>equip.xml!G1218</f>
        <v>50</v>
      </c>
      <c r="H1214" s="1">
        <f>equip.xml!H1218</f>
        <v>0</v>
      </c>
      <c r="I1214" s="1">
        <f>equip.xml!J1218</f>
        <v>50</v>
      </c>
      <c r="J1214" s="1">
        <f>equip.xml!K1218</f>
        <v>500</v>
      </c>
      <c r="K1214" s="1">
        <f>equip.xml!L1218</f>
        <v>27500</v>
      </c>
      <c r="L1214" s="1" t="str">
        <f>equip.xml!M1218</f>
        <v>101_11560_11560</v>
      </c>
      <c r="M1214" s="7" t="str">
        <f>equip.xml!Q1218</f>
        <v>equipment/6009.png</v>
      </c>
      <c r="N1214" t="str">
        <f>equip.xml!P1218</f>
        <v>10000_1002_50000,30000_30001_1,30000_30002_1,30000_30003_1</v>
      </c>
    </row>
    <row r="1215" spans="1:14">
      <c r="A1215" s="1" t="str">
        <f>equip.xml!A1219</f>
        <v>40500080</v>
      </c>
      <c r="B1215" s="1">
        <f>equip.xml!B1219</f>
        <v>0</v>
      </c>
      <c r="C1215" s="1" t="str">
        <f>equip.xml!C1219</f>
        <v>龙鳞护胫</v>
      </c>
      <c r="D1215" s="1" t="str">
        <f>equip.xml!D1219</f>
        <v>鞋子</v>
      </c>
      <c r="E1215" s="1">
        <f>equip.xml!E1219</f>
        <v>8</v>
      </c>
      <c r="F1215" s="1">
        <f>equip.xml!F1219</f>
        <v>4</v>
      </c>
      <c r="G1215" s="1">
        <f>equip.xml!G1219</f>
        <v>50</v>
      </c>
      <c r="H1215" s="1">
        <f>equip.xml!H1219</f>
        <v>0</v>
      </c>
      <c r="I1215" s="1">
        <f>equip.xml!J1219</f>
        <v>50</v>
      </c>
      <c r="J1215" s="1">
        <f>equip.xml!K1219</f>
        <v>500</v>
      </c>
      <c r="K1215" s="1">
        <f>equip.xml!L1219</f>
        <v>27500</v>
      </c>
      <c r="L1215" s="1" t="str">
        <f>equip.xml!M1219</f>
        <v>110_172_172</v>
      </c>
      <c r="M1215" s="7" t="str">
        <f>equip.xml!Q1219</f>
        <v>equipment/8001.png</v>
      </c>
      <c r="N1215" t="str">
        <f>equip.xml!P1219</f>
        <v>10000_1002_50000,30000_30001_1,30000_30002_1,30000_30003_1</v>
      </c>
    </row>
    <row r="1216" spans="1:14">
      <c r="A1216" s="1" t="str">
        <f>equip.xml!A1220</f>
        <v>40500090</v>
      </c>
      <c r="B1216" s="1">
        <f>equip.xml!B1220</f>
        <v>1</v>
      </c>
      <c r="C1216" s="1" t="str">
        <f>equip.xml!C1220</f>
        <v>血拳手套</v>
      </c>
      <c r="D1216" s="1" t="str">
        <f>equip.xml!D1220</f>
        <v>手套</v>
      </c>
      <c r="E1216" s="1">
        <f>equip.xml!E1220</f>
        <v>9</v>
      </c>
      <c r="F1216" s="1">
        <f>equip.xml!F1220</f>
        <v>4</v>
      </c>
      <c r="G1216" s="1">
        <f>equip.xml!G1220</f>
        <v>50</v>
      </c>
      <c r="H1216" s="1">
        <f>equip.xml!H1220</f>
        <v>0</v>
      </c>
      <c r="I1216" s="1">
        <f>equip.xml!J1220</f>
        <v>50</v>
      </c>
      <c r="J1216" s="1">
        <f>equip.xml!K1220</f>
        <v>500</v>
      </c>
      <c r="K1216" s="1">
        <f>equip.xml!L1220</f>
        <v>27500</v>
      </c>
      <c r="L1216" s="1" t="str">
        <f>equip.xml!M1220</f>
        <v>108_1726_1726</v>
      </c>
      <c r="M1216" s="7" t="str">
        <f>equip.xml!Q1220</f>
        <v>equipment/10009.png</v>
      </c>
      <c r="N1216" t="str">
        <f>equip.xml!P1220</f>
        <v>10000_1002_50000,30000_30001_1,30000_30002_1,30000_30003_1</v>
      </c>
    </row>
    <row r="1217" spans="1:14">
      <c r="A1217" s="1" t="str">
        <f>equip.xml!A1221</f>
        <v>40500100</v>
      </c>
      <c r="B1217" s="1">
        <f>equip.xml!B1221</f>
        <v>1</v>
      </c>
      <c r="C1217" s="1" t="str">
        <f>equip.xml!C1221</f>
        <v>誓言护坠</v>
      </c>
      <c r="D1217" s="1" t="str">
        <f>equip.xml!D1221</f>
        <v>项链</v>
      </c>
      <c r="E1217" s="1">
        <f>equip.xml!E1221</f>
        <v>10</v>
      </c>
      <c r="F1217" s="1">
        <f>equip.xml!F1221</f>
        <v>4</v>
      </c>
      <c r="G1217" s="1">
        <f>equip.xml!G1221</f>
        <v>50</v>
      </c>
      <c r="H1217" s="1">
        <f>equip.xml!H1221</f>
        <v>0</v>
      </c>
      <c r="I1217" s="1">
        <f>equip.xml!J1221</f>
        <v>50</v>
      </c>
      <c r="J1217" s="1">
        <f>equip.xml!K1221</f>
        <v>500</v>
      </c>
      <c r="K1217" s="1">
        <f>equip.xml!L1221</f>
        <v>27500</v>
      </c>
      <c r="L1217" s="1" t="str">
        <f>equip.xml!M1221</f>
        <v>107_1000_1000</v>
      </c>
      <c r="M1217" s="7" t="str">
        <f>equip.xml!Q1221</f>
        <v>equipment/12008.png</v>
      </c>
      <c r="N1217" t="str">
        <f>equip.xml!P1221</f>
        <v>10000_1002_50000,30000_30001_1,30000_30002_1,30000_30003_1</v>
      </c>
    </row>
    <row r="1218" spans="1:14">
      <c r="A1218" s="1" t="str">
        <f>equip.xml!A1222</f>
        <v>40501050</v>
      </c>
      <c r="B1218" s="1">
        <f>equip.xml!B1222</f>
        <v>1</v>
      </c>
      <c r="C1218" s="1" t="str">
        <f>equip.xml!C1222</f>
        <v>黎明之刃</v>
      </c>
      <c r="D1218" s="1" t="str">
        <f>equip.xml!D1222</f>
        <v>主手武器</v>
      </c>
      <c r="E1218" s="1">
        <f>equip.xml!E1222</f>
        <v>5</v>
      </c>
      <c r="F1218" s="1">
        <f>equip.xml!F1222</f>
        <v>4</v>
      </c>
      <c r="G1218" s="1">
        <f>equip.xml!G1222</f>
        <v>50</v>
      </c>
      <c r="H1218" s="1" t="str">
        <f>equip.xml!H1222</f>
        <v>1,1001</v>
      </c>
      <c r="I1218" s="1">
        <f>equip.xml!J1222</f>
        <v>50</v>
      </c>
      <c r="J1218" s="1">
        <f>equip.xml!K1222</f>
        <v>500</v>
      </c>
      <c r="K1218" s="1">
        <f>equip.xml!L1222</f>
        <v>27500</v>
      </c>
      <c r="L1218" s="1" t="str">
        <f>equip.xml!M1222</f>
        <v>103_1097_1097,104_2194_2194</v>
      </c>
      <c r="M1218" s="7" t="str">
        <f>equip.xml!Q1222</f>
        <v>equipment/1119.png</v>
      </c>
      <c r="N1218" t="str">
        <f>equip.xml!P1222</f>
        <v>10000_1002_50000,30000_30001_1,30000_30002_1,30000_30003_1</v>
      </c>
    </row>
    <row r="1219" spans="1:14">
      <c r="A1219" s="1" t="str">
        <f>equip.xml!A1223</f>
        <v>40501051</v>
      </c>
      <c r="B1219" s="1">
        <f>equip.xml!B1223</f>
        <v>1</v>
      </c>
      <c r="C1219" s="1" t="str">
        <f>equip.xml!C1223</f>
        <v>放逐者之刃</v>
      </c>
      <c r="D1219" s="1" t="str">
        <f>equip.xml!D1223</f>
        <v>主手武器</v>
      </c>
      <c r="E1219" s="1">
        <f>equip.xml!E1223</f>
        <v>5</v>
      </c>
      <c r="F1219" s="1">
        <f>equip.xml!F1223</f>
        <v>4</v>
      </c>
      <c r="G1219" s="1">
        <f>equip.xml!G1223</f>
        <v>50</v>
      </c>
      <c r="H1219" s="1" t="str">
        <f>equip.xml!H1223</f>
        <v>1,1001</v>
      </c>
      <c r="I1219" s="1">
        <f>equip.xml!J1223</f>
        <v>50</v>
      </c>
      <c r="J1219" s="1">
        <f>equip.xml!K1223</f>
        <v>500</v>
      </c>
      <c r="K1219" s="1">
        <f>equip.xml!L1223</f>
        <v>30000</v>
      </c>
      <c r="L1219" s="1" t="str">
        <f>equip.xml!M1223</f>
        <v>103_1222_1222,104_2444_2444</v>
      </c>
      <c r="M1219" s="7" t="str">
        <f>equip.xml!Q1223</f>
        <v>equipment/1120.png</v>
      </c>
      <c r="N1219" t="str">
        <f>equip.xml!P1223</f>
        <v>10000_1002_50000,30000_30001_1,30000_30002_1,30000_30003_1</v>
      </c>
    </row>
    <row r="1220" spans="1:14">
      <c r="A1220" s="1" t="str">
        <f>equip.xml!A1224</f>
        <v>40501060</v>
      </c>
      <c r="B1220" s="1">
        <f>equip.xml!B1224</f>
        <v>1</v>
      </c>
      <c r="C1220" s="1" t="str">
        <f>equip.xml!C1224</f>
        <v>魂祭之盾</v>
      </c>
      <c r="D1220" s="1" t="str">
        <f>equip.xml!D1224</f>
        <v>副手武器</v>
      </c>
      <c r="E1220" s="1">
        <f>equip.xml!E1224</f>
        <v>6</v>
      </c>
      <c r="F1220" s="1">
        <f>equip.xml!F1224</f>
        <v>4</v>
      </c>
      <c r="G1220" s="1">
        <f>equip.xml!G1224</f>
        <v>50</v>
      </c>
      <c r="H1220" s="1" t="str">
        <f>equip.xml!H1224</f>
        <v>1,1001</v>
      </c>
      <c r="I1220" s="1">
        <f>equip.xml!J1224</f>
        <v>50</v>
      </c>
      <c r="J1220" s="1">
        <f>equip.xml!K1224</f>
        <v>500</v>
      </c>
      <c r="K1220" s="1">
        <f>equip.xml!L1224</f>
        <v>27500</v>
      </c>
      <c r="L1220" s="1" t="str">
        <f>equip.xml!M1224</f>
        <v>105_1401_1401</v>
      </c>
      <c r="M1220" s="7" t="str">
        <f>equip.xml!Q1224</f>
        <v>equipment/2111.png</v>
      </c>
      <c r="N1220" t="str">
        <f>equip.xml!P1224</f>
        <v>10000_1002_50000,30000_30001_1,30000_30002_1,30000_30003_1</v>
      </c>
    </row>
    <row r="1221" spans="1:14">
      <c r="A1221" s="1" t="str">
        <f>equip.xml!A1225</f>
        <v>40501061</v>
      </c>
      <c r="B1221" s="1">
        <f>equip.xml!B1225</f>
        <v>1</v>
      </c>
      <c r="C1221" s="1" t="str">
        <f>equip.xml!C1225</f>
        <v>氪金大盾</v>
      </c>
      <c r="D1221" s="1" t="str">
        <f>equip.xml!D1225</f>
        <v>副手武器</v>
      </c>
      <c r="E1221" s="1">
        <f>equip.xml!E1225</f>
        <v>6</v>
      </c>
      <c r="F1221" s="1">
        <f>equip.xml!F1225</f>
        <v>4</v>
      </c>
      <c r="G1221" s="1">
        <f>equip.xml!G1225</f>
        <v>50</v>
      </c>
      <c r="H1221" s="1" t="str">
        <f>equip.xml!H1225</f>
        <v>1,1001</v>
      </c>
      <c r="I1221" s="1">
        <f>equip.xml!J1225</f>
        <v>50</v>
      </c>
      <c r="J1221" s="1">
        <f>equip.xml!K1225</f>
        <v>500</v>
      </c>
      <c r="K1221" s="1">
        <f>equip.xml!L1225</f>
        <v>30000</v>
      </c>
      <c r="L1221" s="1" t="str">
        <f>equip.xml!M1225</f>
        <v>105_1633_1633</v>
      </c>
      <c r="M1221" s="7" t="str">
        <f>equip.xml!Q1225</f>
        <v>equipment/2112.png</v>
      </c>
      <c r="N1221" t="str">
        <f>equip.xml!P1225</f>
        <v>10000_1002_50000,30000_30001_1,30000_30002_1,30000_30003_1</v>
      </c>
    </row>
    <row r="1222" spans="1:14">
      <c r="A1222" s="1" t="str">
        <f>equip.xml!A1226</f>
        <v>40502050</v>
      </c>
      <c r="B1222" s="1">
        <f>equip.xml!B1226</f>
        <v>1</v>
      </c>
      <c r="C1222" s="1" t="str">
        <f>equip.xml!C1226</f>
        <v>觅心者长弓</v>
      </c>
      <c r="D1222" s="1" t="str">
        <f>equip.xml!D1226</f>
        <v>主手武器</v>
      </c>
      <c r="E1222" s="1">
        <f>equip.xml!E1226</f>
        <v>5</v>
      </c>
      <c r="F1222" s="1">
        <f>equip.xml!F1226</f>
        <v>4</v>
      </c>
      <c r="G1222" s="1">
        <f>equip.xml!G1226</f>
        <v>50</v>
      </c>
      <c r="H1222" s="1" t="str">
        <f>equip.xml!H1226</f>
        <v>2,1002</v>
      </c>
      <c r="I1222" s="1">
        <f>equip.xml!J1226</f>
        <v>50</v>
      </c>
      <c r="J1222" s="1">
        <f>equip.xml!K1226</f>
        <v>500</v>
      </c>
      <c r="K1222" s="1">
        <f>equip.xml!L1226</f>
        <v>27500</v>
      </c>
      <c r="L1222" s="1" t="str">
        <f>equip.xml!M1226</f>
        <v>103_1097_1097,104_2194_2194</v>
      </c>
      <c r="M1222" s="7" t="str">
        <f>equip.xml!Q1226</f>
        <v>equipment/1218.png</v>
      </c>
      <c r="N1222" t="str">
        <f>equip.xml!P1226</f>
        <v>10000_1002_50000,30000_30001_1,30000_30002_1,30000_30003_1</v>
      </c>
    </row>
    <row r="1223" spans="1:14">
      <c r="A1223" s="1" t="str">
        <f>equip.xml!A1227</f>
        <v>40502051</v>
      </c>
      <c r="B1223" s="1">
        <f>equip.xml!B1227</f>
        <v>1</v>
      </c>
      <c r="C1223" s="1" t="str">
        <f>equip.xml!C1227</f>
        <v>阳炎之弓</v>
      </c>
      <c r="D1223" s="1" t="str">
        <f>equip.xml!D1227</f>
        <v>主手武器</v>
      </c>
      <c r="E1223" s="1">
        <f>equip.xml!E1227</f>
        <v>5</v>
      </c>
      <c r="F1223" s="1">
        <f>equip.xml!F1227</f>
        <v>4</v>
      </c>
      <c r="G1223" s="1">
        <f>equip.xml!G1227</f>
        <v>50</v>
      </c>
      <c r="H1223" s="1" t="str">
        <f>equip.xml!H1227</f>
        <v>2,1002</v>
      </c>
      <c r="I1223" s="1">
        <f>equip.xml!J1227</f>
        <v>50</v>
      </c>
      <c r="J1223" s="1">
        <f>equip.xml!K1227</f>
        <v>500</v>
      </c>
      <c r="K1223" s="1">
        <f>equip.xml!L1227</f>
        <v>30000</v>
      </c>
      <c r="L1223" s="1" t="str">
        <f>equip.xml!M1227</f>
        <v>103_1222_1222,104_2444_2444</v>
      </c>
      <c r="M1223" s="7" t="str">
        <f>equip.xml!Q1227</f>
        <v>equipment/1221.png</v>
      </c>
      <c r="N1223" t="str">
        <f>equip.xml!P1227</f>
        <v>10000_1002_50000,30000_30001_1,30000_30002_1,30000_30003_1</v>
      </c>
    </row>
    <row r="1224" spans="1:14">
      <c r="A1224" s="1" t="str">
        <f>equip.xml!A1228</f>
        <v>40502060</v>
      </c>
      <c r="B1224" s="1">
        <f>equip.xml!B1228</f>
        <v>1</v>
      </c>
      <c r="C1224" s="1" t="str">
        <f>equip.xml!C1228</f>
        <v>黑骨箭袋</v>
      </c>
      <c r="D1224" s="1" t="str">
        <f>equip.xml!D1228</f>
        <v>副手武器</v>
      </c>
      <c r="E1224" s="1">
        <f>equip.xml!E1228</f>
        <v>6</v>
      </c>
      <c r="F1224" s="1">
        <f>equip.xml!F1228</f>
        <v>4</v>
      </c>
      <c r="G1224" s="1">
        <f>equip.xml!G1228</f>
        <v>50</v>
      </c>
      <c r="H1224" s="1" t="str">
        <f>equip.xml!H1228</f>
        <v>2,1002</v>
      </c>
      <c r="I1224" s="1">
        <f>equip.xml!J1228</f>
        <v>50</v>
      </c>
      <c r="J1224" s="1">
        <f>equip.xml!K1228</f>
        <v>500</v>
      </c>
      <c r="K1224" s="1">
        <f>equip.xml!L1228</f>
        <v>27500</v>
      </c>
      <c r="L1224" s="1" t="str">
        <f>equip.xml!M1228</f>
        <v>108_1401_1401</v>
      </c>
      <c r="M1224" s="7" t="str">
        <f>equip.xml!Q1228</f>
        <v>equipment/2210.png</v>
      </c>
      <c r="N1224" t="str">
        <f>equip.xml!P1228</f>
        <v>10000_1002_50000,30000_30001_1,30000_30002_1,30000_30003_1</v>
      </c>
    </row>
    <row r="1225" spans="1:14">
      <c r="A1225" s="1" t="str">
        <f>equip.xml!A1229</f>
        <v>40502061</v>
      </c>
      <c r="B1225" s="1">
        <f>equip.xml!B1229</f>
        <v>1</v>
      </c>
      <c r="C1225" s="1" t="str">
        <f>equip.xml!C1229</f>
        <v>符文箭筒</v>
      </c>
      <c r="D1225" s="1" t="str">
        <f>equip.xml!D1229</f>
        <v>副手武器</v>
      </c>
      <c r="E1225" s="1">
        <f>equip.xml!E1229</f>
        <v>6</v>
      </c>
      <c r="F1225" s="1">
        <f>equip.xml!F1229</f>
        <v>4</v>
      </c>
      <c r="G1225" s="1">
        <f>equip.xml!G1229</f>
        <v>50</v>
      </c>
      <c r="H1225" s="1" t="str">
        <f>equip.xml!H1229</f>
        <v>2,1002</v>
      </c>
      <c r="I1225" s="1">
        <f>equip.xml!J1229</f>
        <v>50</v>
      </c>
      <c r="J1225" s="1">
        <f>equip.xml!K1229</f>
        <v>500</v>
      </c>
      <c r="K1225" s="1">
        <f>equip.xml!L1229</f>
        <v>30000</v>
      </c>
      <c r="L1225" s="1" t="str">
        <f>equip.xml!M1229</f>
        <v>108_1633_1633</v>
      </c>
      <c r="M1225" s="7" t="str">
        <f>equip.xml!Q1229</f>
        <v>equipment/2212.png</v>
      </c>
      <c r="N1225" t="str">
        <f>equip.xml!P1229</f>
        <v>10000_1002_50000,30000_30001_1,30000_30002_1,30000_30003_1</v>
      </c>
    </row>
    <row r="1226" spans="1:14">
      <c r="A1226" s="1" t="str">
        <f>equip.xml!A1230</f>
        <v>40503050</v>
      </c>
      <c r="B1226" s="1">
        <f>equip.xml!B1230</f>
        <v>1</v>
      </c>
      <c r="C1226" s="1" t="str">
        <f>equip.xml!C1230</f>
        <v>虚灵法杖</v>
      </c>
      <c r="D1226" s="1" t="str">
        <f>equip.xml!D1230</f>
        <v>主手武器</v>
      </c>
      <c r="E1226" s="1">
        <f>equip.xml!E1230</f>
        <v>5</v>
      </c>
      <c r="F1226" s="1">
        <f>equip.xml!F1230</f>
        <v>4</v>
      </c>
      <c r="G1226" s="1">
        <f>equip.xml!G1230</f>
        <v>50</v>
      </c>
      <c r="H1226" s="1" t="str">
        <f>equip.xml!H1230</f>
        <v>3,1003</v>
      </c>
      <c r="I1226" s="1">
        <f>equip.xml!J1230</f>
        <v>50</v>
      </c>
      <c r="J1226" s="1">
        <f>equip.xml!K1230</f>
        <v>500</v>
      </c>
      <c r="K1226" s="1">
        <f>equip.xml!L1230</f>
        <v>27500</v>
      </c>
      <c r="L1226" s="1" t="str">
        <f>equip.xml!M1230</f>
        <v>103_1097_1097,104_2194_2194</v>
      </c>
      <c r="M1226" s="7" t="str">
        <f>equip.xml!Q1230</f>
        <v>equipment/1319.png</v>
      </c>
      <c r="N1226" t="str">
        <f>equip.xml!P1230</f>
        <v>10000_1002_50000,30000_30001_1,30000_30002_1,30000_30003_1</v>
      </c>
    </row>
    <row r="1227" spans="1:14">
      <c r="A1227" s="1" t="str">
        <f>equip.xml!A1231</f>
        <v>40503051</v>
      </c>
      <c r="B1227" s="1">
        <f>equip.xml!B1231</f>
        <v>1</v>
      </c>
      <c r="C1227" s="1" t="str">
        <f>equip.xml!C1231</f>
        <v>恒光巨杖</v>
      </c>
      <c r="D1227" s="1" t="str">
        <f>equip.xml!D1231</f>
        <v>主手武器</v>
      </c>
      <c r="E1227" s="1">
        <f>equip.xml!E1231</f>
        <v>5</v>
      </c>
      <c r="F1227" s="1">
        <f>equip.xml!F1231</f>
        <v>4</v>
      </c>
      <c r="G1227" s="1">
        <f>equip.xml!G1231</f>
        <v>50</v>
      </c>
      <c r="H1227" s="1" t="str">
        <f>equip.xml!H1231</f>
        <v>3,1003</v>
      </c>
      <c r="I1227" s="1">
        <f>equip.xml!J1231</f>
        <v>50</v>
      </c>
      <c r="J1227" s="1">
        <f>equip.xml!K1231</f>
        <v>500</v>
      </c>
      <c r="K1227" s="1">
        <f>equip.xml!L1231</f>
        <v>30000</v>
      </c>
      <c r="L1227" s="1" t="str">
        <f>equip.xml!M1231</f>
        <v>103_1222_1222,104_2444_2444</v>
      </c>
      <c r="M1227" s="7" t="str">
        <f>equip.xml!Q1231</f>
        <v>equipment/1320.png</v>
      </c>
      <c r="N1227" t="str">
        <f>equip.xml!P1231</f>
        <v>10000_1002_50000,30000_30001_1,30000_30002_1,30000_30003_1</v>
      </c>
    </row>
    <row r="1228" spans="1:14">
      <c r="A1228" s="1" t="str">
        <f>equip.xml!A1232</f>
        <v>40503060</v>
      </c>
      <c r="B1228" s="1">
        <f>equip.xml!B1232</f>
        <v>1</v>
      </c>
      <c r="C1228" s="1" t="str">
        <f>equip.xml!C1232</f>
        <v>幻术之书</v>
      </c>
      <c r="D1228" s="1" t="str">
        <f>equip.xml!D1232</f>
        <v>副手武器</v>
      </c>
      <c r="E1228" s="1">
        <f>equip.xml!E1232</f>
        <v>6</v>
      </c>
      <c r="F1228" s="1">
        <f>equip.xml!F1232</f>
        <v>4</v>
      </c>
      <c r="G1228" s="1">
        <f>equip.xml!G1232</f>
        <v>50</v>
      </c>
      <c r="H1228" s="1" t="str">
        <f>equip.xml!H1232</f>
        <v>3,1003</v>
      </c>
      <c r="I1228" s="1">
        <f>equip.xml!J1232</f>
        <v>50</v>
      </c>
      <c r="J1228" s="1">
        <f>equip.xml!K1232</f>
        <v>500</v>
      </c>
      <c r="K1228" s="1">
        <f>equip.xml!L1232</f>
        <v>27500</v>
      </c>
      <c r="L1228" s="1" t="str">
        <f>equip.xml!M1232</f>
        <v>102_1440_1440</v>
      </c>
      <c r="M1228" s="7" t="str">
        <f>equip.xml!Q1232</f>
        <v>equipment/2311.png</v>
      </c>
      <c r="N1228" t="str">
        <f>equip.xml!P1232</f>
        <v>10000_1002_50000,30000_30001_1,30000_30002_1,30000_30003_1</v>
      </c>
    </row>
    <row r="1229" spans="1:14">
      <c r="A1229" s="1" t="str">
        <f>equip.xml!A1233</f>
        <v>40503061</v>
      </c>
      <c r="B1229" s="1">
        <f>equip.xml!B1233</f>
        <v>1</v>
      </c>
      <c r="C1229" s="1" t="str">
        <f>equip.xml!C1233</f>
        <v>护咒之书</v>
      </c>
      <c r="D1229" s="1" t="str">
        <f>equip.xml!D1233</f>
        <v>副手武器</v>
      </c>
      <c r="E1229" s="1">
        <f>equip.xml!E1233</f>
        <v>6</v>
      </c>
      <c r="F1229" s="1">
        <f>equip.xml!F1233</f>
        <v>4</v>
      </c>
      <c r="G1229" s="1">
        <f>equip.xml!G1233</f>
        <v>50</v>
      </c>
      <c r="H1229" s="1" t="str">
        <f>equip.xml!H1233</f>
        <v>3,1003</v>
      </c>
      <c r="I1229" s="1">
        <f>equip.xml!J1233</f>
        <v>50</v>
      </c>
      <c r="J1229" s="1">
        <f>equip.xml!K1233</f>
        <v>500</v>
      </c>
      <c r="K1229" s="1">
        <f>equip.xml!L1233</f>
        <v>30000</v>
      </c>
      <c r="L1229" s="1" t="str">
        <f>equip.xml!M1233</f>
        <v>102_1633_1633</v>
      </c>
      <c r="M1229" s="7" t="str">
        <f>equip.xml!Q1233</f>
        <v>equipment/2312.png</v>
      </c>
      <c r="N1229" t="str">
        <f>equip.xml!P1233</f>
        <v>10000_1002_50000,30000_30001_1,30000_30002_1,30000_30003_1</v>
      </c>
    </row>
    <row r="1230" spans="1:14">
      <c r="A1230" s="1" t="str">
        <f>equip.xml!A1234</f>
        <v>40500040</v>
      </c>
      <c r="B1230" s="1">
        <f>equip.xml!B1234</f>
        <v>0</v>
      </c>
      <c r="C1230" s="1" t="str">
        <f>equip.xml!C1234</f>
        <v>新兵外套</v>
      </c>
      <c r="D1230" s="1" t="str">
        <f>equip.xml!D1234</f>
        <v>胸甲</v>
      </c>
      <c r="E1230" s="1">
        <f>equip.xml!E1234</f>
        <v>4</v>
      </c>
      <c r="F1230" s="1">
        <f>equip.xml!F1234</f>
        <v>4</v>
      </c>
      <c r="G1230" s="1">
        <f>equip.xml!G1234</f>
        <v>50</v>
      </c>
      <c r="H1230" s="1">
        <f>equip.xml!H1234</f>
        <v>0</v>
      </c>
      <c r="I1230" s="1">
        <f>equip.xml!J1234</f>
        <v>50</v>
      </c>
      <c r="J1230" s="1">
        <f>equip.xml!K1234</f>
        <v>500</v>
      </c>
      <c r="K1230" s="1">
        <f>equip.xml!L1234</f>
        <v>27500</v>
      </c>
      <c r="L1230" s="1" t="str">
        <f>equip.xml!M1234</f>
        <v>105_780_780</v>
      </c>
      <c r="M1230" s="7" t="str">
        <f>equip.xml!Q1234</f>
        <v>equipment/5001.png</v>
      </c>
      <c r="N1230" t="str">
        <f>equip.xml!P1234</f>
        <v>10000_1002_50000,30000_30001_1,30000_30002_1,30000_30003_1</v>
      </c>
    </row>
    <row r="1231" spans="1:14">
      <c r="A1231" s="1" t="str">
        <f>equip.xml!A1235</f>
        <v>40500041</v>
      </c>
      <c r="B1231" s="1">
        <f>equip.xml!B1235</f>
        <v>0</v>
      </c>
      <c r="C1231" s="1" t="str">
        <f>equip.xml!C1235</f>
        <v>新兵外套</v>
      </c>
      <c r="D1231" s="1" t="str">
        <f>equip.xml!D1235</f>
        <v>胸甲</v>
      </c>
      <c r="E1231" s="1">
        <f>equip.xml!E1235</f>
        <v>4</v>
      </c>
      <c r="F1231" s="1">
        <f>equip.xml!F1235</f>
        <v>4</v>
      </c>
      <c r="G1231" s="1">
        <f>equip.xml!G1235</f>
        <v>50</v>
      </c>
      <c r="H1231" s="1">
        <f>equip.xml!H1235</f>
        <v>0</v>
      </c>
      <c r="I1231" s="1">
        <f>equip.xml!J1235</f>
        <v>50</v>
      </c>
      <c r="J1231" s="1">
        <f>equip.xml!K1235</f>
        <v>500</v>
      </c>
      <c r="K1231" s="1">
        <f>equip.xml!L1235</f>
        <v>30000</v>
      </c>
      <c r="L1231" s="1" t="str">
        <f>equip.xml!M1235</f>
        <v>105_929_929</v>
      </c>
      <c r="M1231" s="7" t="str">
        <f>equip.xml!Q1235</f>
        <v>equipment/5001.png</v>
      </c>
      <c r="N1231" t="str">
        <f>equip.xml!P1235</f>
        <v>10000_1002_50000,30000_30001_1,30000_30002_1,30000_30003_1</v>
      </c>
    </row>
    <row r="1232" spans="1:14">
      <c r="A1232" s="1" t="str">
        <f>equip.xml!A1236</f>
        <v>40500070</v>
      </c>
      <c r="B1232" s="1">
        <f>equip.xml!B1236</f>
        <v>1</v>
      </c>
      <c r="C1232" s="1" t="str">
        <f>equip.xml!C1236</f>
        <v>凯旋腿甲</v>
      </c>
      <c r="D1232" s="1" t="str">
        <f>equip.xml!D1236</f>
        <v>护腿</v>
      </c>
      <c r="E1232" s="1">
        <f>equip.xml!E1236</f>
        <v>7</v>
      </c>
      <c r="F1232" s="1">
        <f>equip.xml!F1236</f>
        <v>4</v>
      </c>
      <c r="G1232" s="1">
        <f>equip.xml!G1236</f>
        <v>50</v>
      </c>
      <c r="H1232" s="1">
        <f>equip.xml!H1236</f>
        <v>0</v>
      </c>
      <c r="I1232" s="1">
        <f>equip.xml!J1236</f>
        <v>50</v>
      </c>
      <c r="J1232" s="1">
        <f>equip.xml!K1236</f>
        <v>500</v>
      </c>
      <c r="K1232" s="1">
        <f>equip.xml!L1236</f>
        <v>27500</v>
      </c>
      <c r="L1232" s="1" t="str">
        <f>equip.xml!M1236</f>
        <v>105_628_628</v>
      </c>
      <c r="M1232" s="7" t="str">
        <f>equip.xml!Q1236</f>
        <v>equipment/7012.png</v>
      </c>
      <c r="N1232" t="str">
        <f>equip.xml!P1236</f>
        <v>10000_1002_50000,30000_30001_1,30000_30002_1,30000_30003_1</v>
      </c>
    </row>
    <row r="1233" spans="1:14">
      <c r="A1233" s="1" t="str">
        <f>equip.xml!A1237</f>
        <v>40500071</v>
      </c>
      <c r="B1233" s="1">
        <f>equip.xml!B1237</f>
        <v>0</v>
      </c>
      <c r="C1233" s="1" t="str">
        <f>equip.xml!C1237</f>
        <v>学徒短裤</v>
      </c>
      <c r="D1233" s="1" t="str">
        <f>equip.xml!D1237</f>
        <v>护腿</v>
      </c>
      <c r="E1233" s="1">
        <f>equip.xml!E1237</f>
        <v>7</v>
      </c>
      <c r="F1233" s="1">
        <f>equip.xml!F1237</f>
        <v>4</v>
      </c>
      <c r="G1233" s="1">
        <f>equip.xml!G1237</f>
        <v>50</v>
      </c>
      <c r="H1233" s="1">
        <f>equip.xml!H1237</f>
        <v>0</v>
      </c>
      <c r="I1233" s="1">
        <f>equip.xml!J1237</f>
        <v>50</v>
      </c>
      <c r="J1233" s="1">
        <f>equip.xml!K1237</f>
        <v>500</v>
      </c>
      <c r="K1233" s="1">
        <f>equip.xml!L1237</f>
        <v>30000</v>
      </c>
      <c r="L1233" s="1" t="str">
        <f>equip.xml!M1237</f>
        <v>105_689_689</v>
      </c>
      <c r="M1233" s="7" t="str">
        <f>equip.xml!Q1237</f>
        <v>equipment/7001.png</v>
      </c>
      <c r="N1233" t="str">
        <f>equip.xml!P1237</f>
        <v>10000_1002_50000,30000_30001_1,30000_30002_1,30000_30003_1</v>
      </c>
    </row>
    <row r="1234" spans="1:14">
      <c r="A1234" s="1" t="str">
        <f>equip.xml!A1238</f>
        <v>40550010</v>
      </c>
      <c r="B1234" s="1">
        <f>equip.xml!B1238</f>
        <v>1</v>
      </c>
      <c r="C1234" s="1" t="str">
        <f>equip.xml!C1238</f>
        <v>银月头盔</v>
      </c>
      <c r="D1234" s="1" t="str">
        <f>equip.xml!D1238</f>
        <v>头盔</v>
      </c>
      <c r="E1234" s="1">
        <f>equip.xml!E1238</f>
        <v>1</v>
      </c>
      <c r="F1234" s="1">
        <f>equip.xml!F1238</f>
        <v>4</v>
      </c>
      <c r="G1234" s="1">
        <f>equip.xml!G1238</f>
        <v>55</v>
      </c>
      <c r="H1234" s="1">
        <f>equip.xml!H1238</f>
        <v>0</v>
      </c>
      <c r="I1234" s="1">
        <f>equip.xml!J1238</f>
        <v>50</v>
      </c>
      <c r="J1234" s="1">
        <f>equip.xml!K1238</f>
        <v>500</v>
      </c>
      <c r="K1234" s="1">
        <f>equip.xml!L1238</f>
        <v>30000</v>
      </c>
      <c r="L1234" s="1" t="str">
        <f>equip.xml!M1238</f>
        <v>106_1291_1291</v>
      </c>
      <c r="M1234" s="7" t="str">
        <f>equip.xml!Q1238</f>
        <v>equipment/3009.png</v>
      </c>
      <c r="N1234" t="str">
        <f>equip.xml!P1238</f>
        <v>10000_1002_55000,30000_30001_1,30000_30002_1,30000_30003_1</v>
      </c>
    </row>
    <row r="1235" spans="1:14">
      <c r="A1235" s="1" t="str">
        <f>equip.xml!A1239</f>
        <v>40550020</v>
      </c>
      <c r="B1235" s="1">
        <f>equip.xml!B1239</f>
        <v>1</v>
      </c>
      <c r="C1235" s="1" t="str">
        <f>equip.xml!C1239</f>
        <v>镇魂之戒</v>
      </c>
      <c r="D1235" s="1" t="str">
        <f>equip.xml!D1239</f>
        <v>戒指</v>
      </c>
      <c r="E1235" s="1">
        <f>equip.xml!E1239</f>
        <v>2</v>
      </c>
      <c r="F1235" s="1">
        <f>equip.xml!F1239</f>
        <v>4</v>
      </c>
      <c r="G1235" s="1">
        <f>equip.xml!G1239</f>
        <v>55</v>
      </c>
      <c r="H1235" s="1">
        <f>equip.xml!H1239</f>
        <v>0</v>
      </c>
      <c r="I1235" s="1">
        <f>equip.xml!J1239</f>
        <v>50</v>
      </c>
      <c r="J1235" s="1">
        <f>equip.xml!K1239</f>
        <v>500</v>
      </c>
      <c r="K1235" s="1">
        <f>equip.xml!L1239</f>
        <v>30000</v>
      </c>
      <c r="L1235" s="1" t="str">
        <f>equip.xml!M1239</f>
        <v>102_1080_1080</v>
      </c>
      <c r="M1235" s="7" t="str">
        <f>equip.xml!Q1239</f>
        <v>equipment/14009.png</v>
      </c>
      <c r="N1235" t="str">
        <f>equip.xml!P1239</f>
        <v>10000_1002_55000,30000_30001_1,30000_30002_1,30000_30003_1</v>
      </c>
    </row>
    <row r="1236" spans="1:14">
      <c r="A1236" s="1" t="str">
        <f>equip.xml!A1240</f>
        <v>40550030</v>
      </c>
      <c r="B1236" s="1">
        <f>equip.xml!B1240</f>
        <v>0</v>
      </c>
      <c r="C1236" s="1" t="str">
        <f>equip.xml!C1240</f>
        <v>魔鳞腰带</v>
      </c>
      <c r="D1236" s="1" t="str">
        <f>equip.xml!D1240</f>
        <v>腰带</v>
      </c>
      <c r="E1236" s="1">
        <f>equip.xml!E1240</f>
        <v>3</v>
      </c>
      <c r="F1236" s="1">
        <f>equip.xml!F1240</f>
        <v>4</v>
      </c>
      <c r="G1236" s="1">
        <f>equip.xml!G1240</f>
        <v>55</v>
      </c>
      <c r="H1236" s="1">
        <f>equip.xml!H1240</f>
        <v>0</v>
      </c>
      <c r="I1236" s="1">
        <f>equip.xml!J1240</f>
        <v>50</v>
      </c>
      <c r="J1236" s="1">
        <f>equip.xml!K1240</f>
        <v>500</v>
      </c>
      <c r="K1236" s="1">
        <f>equip.xml!L1240</f>
        <v>30000</v>
      </c>
      <c r="L1236" s="1" t="str">
        <f>equip.xml!M1240</f>
        <v>101_13920_13920</v>
      </c>
      <c r="M1236" s="7" t="str">
        <f>equip.xml!Q1240</f>
        <v>equipment/6001.png</v>
      </c>
      <c r="N1236" t="str">
        <f>equip.xml!P1240</f>
        <v>10000_1002_55000,30000_30001_1,30000_30002_1,30000_30003_1</v>
      </c>
    </row>
    <row r="1237" spans="1:14">
      <c r="A1237" s="1" t="str">
        <f>equip.xml!A1241</f>
        <v>40550080</v>
      </c>
      <c r="B1237" s="1">
        <f>equip.xml!B1241</f>
        <v>1</v>
      </c>
      <c r="C1237" s="1" t="str">
        <f>equip.xml!C1241</f>
        <v>天行者之靴</v>
      </c>
      <c r="D1237" s="1" t="str">
        <f>equip.xml!D1241</f>
        <v>鞋子</v>
      </c>
      <c r="E1237" s="1">
        <f>equip.xml!E1241</f>
        <v>8</v>
      </c>
      <c r="F1237" s="1">
        <f>equip.xml!F1241</f>
        <v>4</v>
      </c>
      <c r="G1237" s="1">
        <f>equip.xml!G1241</f>
        <v>55</v>
      </c>
      <c r="H1237" s="1">
        <f>equip.xml!H1241</f>
        <v>0</v>
      </c>
      <c r="I1237" s="1">
        <f>equip.xml!J1241</f>
        <v>50</v>
      </c>
      <c r="J1237" s="1">
        <f>equip.xml!K1241</f>
        <v>500</v>
      </c>
      <c r="K1237" s="1">
        <f>equip.xml!L1241</f>
        <v>30000</v>
      </c>
      <c r="L1237" s="1" t="str">
        <f>equip.xml!M1241</f>
        <v>110_219_219</v>
      </c>
      <c r="M1237" s="7" t="str">
        <f>equip.xml!Q1241</f>
        <v>equipment/8009.png</v>
      </c>
      <c r="N1237" t="str">
        <f>equip.xml!P1241</f>
        <v>10000_1002_55000,30000_30001_1,30000_30002_1,30000_30003_1</v>
      </c>
    </row>
    <row r="1238" spans="1:14">
      <c r="A1238" s="1" t="str">
        <f>equip.xml!A1242</f>
        <v>40550090</v>
      </c>
      <c r="B1238" s="1">
        <f>equip.xml!B1242</f>
        <v>0</v>
      </c>
      <c r="C1238" s="1" t="str">
        <f>equip.xml!C1242</f>
        <v>轻布手套</v>
      </c>
      <c r="D1238" s="1" t="str">
        <f>equip.xml!D1242</f>
        <v>手套</v>
      </c>
      <c r="E1238" s="1">
        <f>equip.xml!E1242</f>
        <v>9</v>
      </c>
      <c r="F1238" s="1">
        <f>equip.xml!F1242</f>
        <v>4</v>
      </c>
      <c r="G1238" s="1">
        <f>equip.xml!G1242</f>
        <v>55</v>
      </c>
      <c r="H1238" s="1">
        <f>equip.xml!H1242</f>
        <v>0</v>
      </c>
      <c r="I1238" s="1">
        <f>equip.xml!J1242</f>
        <v>50</v>
      </c>
      <c r="J1238" s="1">
        <f>equip.xml!K1242</f>
        <v>500</v>
      </c>
      <c r="K1238" s="1">
        <f>equip.xml!L1242</f>
        <v>30000</v>
      </c>
      <c r="L1238" s="1" t="str">
        <f>equip.xml!M1242</f>
        <v>108_1726_1726</v>
      </c>
      <c r="M1238" s="7" t="str">
        <f>equip.xml!Q1242</f>
        <v>equipment/10001.png</v>
      </c>
      <c r="N1238" t="str">
        <f>equip.xml!P1242</f>
        <v>10000_1002_55000,30000_30001_1,30000_30002_1,30000_30003_1</v>
      </c>
    </row>
    <row r="1239" spans="1:14">
      <c r="A1239" s="1" t="str">
        <f>equip.xml!A1243</f>
        <v>40550100</v>
      </c>
      <c r="B1239" s="1">
        <f>equip.xml!B1243</f>
        <v>1</v>
      </c>
      <c r="C1239" s="1" t="str">
        <f>equip.xml!C1243</f>
        <v>遗忘石坠</v>
      </c>
      <c r="D1239" s="1" t="str">
        <f>equip.xml!D1243</f>
        <v>项链</v>
      </c>
      <c r="E1239" s="1">
        <f>equip.xml!E1243</f>
        <v>10</v>
      </c>
      <c r="F1239" s="1">
        <f>equip.xml!F1243</f>
        <v>4</v>
      </c>
      <c r="G1239" s="1">
        <f>equip.xml!G1243</f>
        <v>55</v>
      </c>
      <c r="H1239" s="1">
        <f>equip.xml!H1243</f>
        <v>0</v>
      </c>
      <c r="I1239" s="1">
        <f>equip.xml!J1243</f>
        <v>50</v>
      </c>
      <c r="J1239" s="1">
        <f>equip.xml!K1243</f>
        <v>500</v>
      </c>
      <c r="K1239" s="1">
        <f>equip.xml!L1243</f>
        <v>30000</v>
      </c>
      <c r="L1239" s="1" t="str">
        <f>equip.xml!M1243</f>
        <v>107_1291_1291</v>
      </c>
      <c r="M1239" s="7" t="str">
        <f>equip.xml!Q1243</f>
        <v>equipment/12009.png</v>
      </c>
      <c r="N1239" t="str">
        <f>equip.xml!P1243</f>
        <v>10000_1002_55000,30000_30001_1,30000_30002_1,30000_30003_1</v>
      </c>
    </row>
    <row r="1240" spans="1:14">
      <c r="A1240" s="1" t="str">
        <f>equip.xml!A1244</f>
        <v>40551050</v>
      </c>
      <c r="B1240" s="1">
        <f>equip.xml!B1244</f>
        <v>1</v>
      </c>
      <c r="C1240" s="1" t="str">
        <f>equip.xml!C1244</f>
        <v>噬魂符剑</v>
      </c>
      <c r="D1240" s="1" t="str">
        <f>equip.xml!D1244</f>
        <v>主手武器</v>
      </c>
      <c r="E1240" s="1">
        <f>equip.xml!E1244</f>
        <v>5</v>
      </c>
      <c r="F1240" s="1">
        <f>equip.xml!F1244</f>
        <v>4</v>
      </c>
      <c r="G1240" s="1">
        <f>equip.xml!G1244</f>
        <v>55</v>
      </c>
      <c r="H1240" s="1" t="str">
        <f>equip.xml!H1244</f>
        <v>1,1001</v>
      </c>
      <c r="I1240" s="1">
        <f>equip.xml!J1244</f>
        <v>50</v>
      </c>
      <c r="J1240" s="1">
        <f>equip.xml!K1244</f>
        <v>500</v>
      </c>
      <c r="K1240" s="1">
        <f>equip.xml!L1244</f>
        <v>30000</v>
      </c>
      <c r="L1240" s="1" t="str">
        <f>equip.xml!M1244</f>
        <v>103_1409_1409,104_2818_2818</v>
      </c>
      <c r="M1240" s="7" t="str">
        <f>equip.xml!Q1244</f>
        <v>equipment/1121.png</v>
      </c>
      <c r="N1240" t="str">
        <f>equip.xml!P1244</f>
        <v>10000_1002_55000,30000_30001_1,30000_30002_1,30000_30003_1</v>
      </c>
    </row>
    <row r="1241" spans="1:14">
      <c r="A1241" s="1" t="str">
        <f>equip.xml!A1245</f>
        <v>40551051</v>
      </c>
      <c r="B1241" s="1">
        <f>equip.xml!B1245</f>
        <v>0</v>
      </c>
      <c r="C1241" s="1" t="str">
        <f>equip.xml!C1245</f>
        <v>军刀</v>
      </c>
      <c r="D1241" s="1" t="str">
        <f>equip.xml!D1245</f>
        <v>主手武器</v>
      </c>
      <c r="E1241" s="1">
        <f>equip.xml!E1245</f>
        <v>5</v>
      </c>
      <c r="F1241" s="1">
        <f>equip.xml!F1245</f>
        <v>4</v>
      </c>
      <c r="G1241" s="1">
        <f>equip.xml!G1245</f>
        <v>55</v>
      </c>
      <c r="H1241" s="1" t="str">
        <f>equip.xml!H1245</f>
        <v>1,1001</v>
      </c>
      <c r="I1241" s="1">
        <f>equip.xml!J1245</f>
        <v>50</v>
      </c>
      <c r="J1241" s="1">
        <f>equip.xml!K1245</f>
        <v>500</v>
      </c>
      <c r="K1241" s="1">
        <f>equip.xml!L1245</f>
        <v>32500</v>
      </c>
      <c r="L1241" s="1" t="str">
        <f>equip.xml!M1245</f>
        <v>103_1648_1648,104_3296_3296</v>
      </c>
      <c r="M1241" s="7" t="str">
        <f>equip.xml!Q1245</f>
        <v>equipment/1101.png</v>
      </c>
      <c r="N1241" t="str">
        <f>equip.xml!P1245</f>
        <v>10000_1002_55000,30000_30001_1,30000_30002_1,30000_30003_1</v>
      </c>
    </row>
    <row r="1242" spans="1:14">
      <c r="A1242" s="1" t="str">
        <f>equip.xml!A1246</f>
        <v>40551060</v>
      </c>
      <c r="B1242" s="1">
        <f>equip.xml!B1246</f>
        <v>1</v>
      </c>
      <c r="C1242" s="1" t="str">
        <f>equip.xml!C1246</f>
        <v>反射壁垒</v>
      </c>
      <c r="D1242" s="1" t="str">
        <f>equip.xml!D1246</f>
        <v>副手武器</v>
      </c>
      <c r="E1242" s="1">
        <f>equip.xml!E1246</f>
        <v>6</v>
      </c>
      <c r="F1242" s="1">
        <f>equip.xml!F1246</f>
        <v>4</v>
      </c>
      <c r="G1242" s="1">
        <f>equip.xml!G1246</f>
        <v>55</v>
      </c>
      <c r="H1242" s="1" t="str">
        <f>equip.xml!H1246</f>
        <v>1,1001</v>
      </c>
      <c r="I1242" s="1">
        <f>equip.xml!J1246</f>
        <v>50</v>
      </c>
      <c r="J1242" s="1">
        <f>equip.xml!K1246</f>
        <v>500</v>
      </c>
      <c r="K1242" s="1">
        <f>equip.xml!L1246</f>
        <v>30000</v>
      </c>
      <c r="L1242" s="1" t="str">
        <f>equip.xml!M1246</f>
        <v>105_1981_1981</v>
      </c>
      <c r="M1242" s="7" t="str">
        <f>equip.xml!Q1246</f>
        <v>equipment/2113.png</v>
      </c>
      <c r="N1242" t="str">
        <f>equip.xml!P1246</f>
        <v>10000_1002_55000,30000_30001_1,30000_30002_1,30000_30003_1</v>
      </c>
    </row>
    <row r="1243" spans="1:14">
      <c r="A1243" s="1" t="str">
        <f>equip.xml!A1247</f>
        <v>40551061</v>
      </c>
      <c r="B1243" s="1">
        <f>equip.xml!B1247</f>
        <v>1</v>
      </c>
      <c r="C1243" s="1" t="str">
        <f>equip.xml!C1247</f>
        <v>巨龙之盾</v>
      </c>
      <c r="D1243" s="1" t="str">
        <f>equip.xml!D1247</f>
        <v>副手武器</v>
      </c>
      <c r="E1243" s="1">
        <f>equip.xml!E1247</f>
        <v>6</v>
      </c>
      <c r="F1243" s="1">
        <f>equip.xml!F1247</f>
        <v>4</v>
      </c>
      <c r="G1243" s="1">
        <f>equip.xml!G1247</f>
        <v>55</v>
      </c>
      <c r="H1243" s="1" t="str">
        <f>equip.xml!H1247</f>
        <v>1,1001</v>
      </c>
      <c r="I1243" s="1">
        <f>equip.xml!J1247</f>
        <v>50</v>
      </c>
      <c r="J1243" s="1">
        <f>equip.xml!K1247</f>
        <v>500</v>
      </c>
      <c r="K1243" s="1">
        <f>equip.xml!L1247</f>
        <v>32500</v>
      </c>
      <c r="L1243" s="1" t="str">
        <f>equip.xml!M1247</f>
        <v>105_2195_2195</v>
      </c>
      <c r="M1243" s="7" t="str">
        <f>equip.xml!Q1247</f>
        <v>equipment/2114.png</v>
      </c>
      <c r="N1243" t="str">
        <f>equip.xml!P1247</f>
        <v>10000_1002_55000,30000_30001_1,30000_30002_1,30000_30003_1</v>
      </c>
    </row>
    <row r="1244" spans="1:14">
      <c r="A1244" s="1" t="str">
        <f>equip.xml!A1248</f>
        <v>40552050</v>
      </c>
      <c r="B1244" s="1">
        <f>equip.xml!B1248</f>
        <v>1</v>
      </c>
      <c r="C1244" s="1" t="str">
        <f>equip.xml!C1248</f>
        <v>魂击长弓</v>
      </c>
      <c r="D1244" s="1" t="str">
        <f>equip.xml!D1248</f>
        <v>主手武器</v>
      </c>
      <c r="E1244" s="1">
        <f>equip.xml!E1248</f>
        <v>5</v>
      </c>
      <c r="F1244" s="1">
        <f>equip.xml!F1248</f>
        <v>4</v>
      </c>
      <c r="G1244" s="1">
        <f>equip.xml!G1248</f>
        <v>55</v>
      </c>
      <c r="H1244" s="1" t="str">
        <f>equip.xml!H1248</f>
        <v>2,1002</v>
      </c>
      <c r="I1244" s="1">
        <f>equip.xml!J1248</f>
        <v>50</v>
      </c>
      <c r="J1244" s="1">
        <f>equip.xml!K1248</f>
        <v>500</v>
      </c>
      <c r="K1244" s="1">
        <f>equip.xml!L1248</f>
        <v>30000</v>
      </c>
      <c r="L1244" s="1" t="str">
        <f>equip.xml!M1248</f>
        <v>103_1409_1409,104_2818_2818</v>
      </c>
      <c r="M1244" s="7" t="str">
        <f>equip.xml!Q1248</f>
        <v>equipment/1218.png</v>
      </c>
      <c r="N1244" t="str">
        <f>equip.xml!P1248</f>
        <v>10000_1002_55000,30000_30001_1,30000_30002_1,30000_30003_1</v>
      </c>
    </row>
    <row r="1245" spans="1:14">
      <c r="A1245" s="1" t="str">
        <f>equip.xml!A1249</f>
        <v>40552051</v>
      </c>
      <c r="B1245" s="1">
        <f>equip.xml!B1249</f>
        <v>0</v>
      </c>
      <c r="C1245" s="1" t="str">
        <f>equip.xml!C1249</f>
        <v>棘木弓</v>
      </c>
      <c r="D1245" s="1" t="str">
        <f>equip.xml!D1249</f>
        <v>主手武器</v>
      </c>
      <c r="E1245" s="1">
        <f>equip.xml!E1249</f>
        <v>5</v>
      </c>
      <c r="F1245" s="1">
        <f>equip.xml!F1249</f>
        <v>4</v>
      </c>
      <c r="G1245" s="1">
        <f>equip.xml!G1249</f>
        <v>55</v>
      </c>
      <c r="H1245" s="1" t="str">
        <f>equip.xml!H1249</f>
        <v>2,1002</v>
      </c>
      <c r="I1245" s="1">
        <f>equip.xml!J1249</f>
        <v>50</v>
      </c>
      <c r="J1245" s="1">
        <f>equip.xml!K1249</f>
        <v>500</v>
      </c>
      <c r="K1245" s="1">
        <f>equip.xml!L1249</f>
        <v>32500</v>
      </c>
      <c r="L1245" s="1" t="str">
        <f>equip.xml!M1249</f>
        <v>103_1648_1648,104_3296_3296</v>
      </c>
      <c r="M1245" s="7" t="str">
        <f>equip.xml!Q1249</f>
        <v>equipment/1201.png</v>
      </c>
      <c r="N1245" t="str">
        <f>equip.xml!P1249</f>
        <v>10000_1002_55000,30000_30001_1,30000_30002_1,30000_30003_1</v>
      </c>
    </row>
    <row r="1246" spans="1:14">
      <c r="A1246" s="1" t="str">
        <f>equip.xml!A1250</f>
        <v>40552060</v>
      </c>
      <c r="B1246" s="1">
        <f>equip.xml!B1250</f>
        <v>1</v>
      </c>
      <c r="C1246" s="1" t="str">
        <f>equip.xml!C1250</f>
        <v>银矢箭筒</v>
      </c>
      <c r="D1246" s="1" t="str">
        <f>equip.xml!D1250</f>
        <v>副手武器</v>
      </c>
      <c r="E1246" s="1">
        <f>equip.xml!E1250</f>
        <v>6</v>
      </c>
      <c r="F1246" s="1">
        <f>equip.xml!F1250</f>
        <v>4</v>
      </c>
      <c r="G1246" s="1">
        <f>equip.xml!G1250</f>
        <v>55</v>
      </c>
      <c r="H1246" s="1" t="str">
        <f>equip.xml!H1250</f>
        <v>2,1002</v>
      </c>
      <c r="I1246" s="1">
        <f>equip.xml!J1250</f>
        <v>50</v>
      </c>
      <c r="J1246" s="1">
        <f>equip.xml!K1250</f>
        <v>500</v>
      </c>
      <c r="K1246" s="1">
        <f>equip.xml!L1250</f>
        <v>30000</v>
      </c>
      <c r="L1246" s="1" t="str">
        <f>equip.xml!M1250</f>
        <v>108_1981_1981</v>
      </c>
      <c r="M1246" s="7" t="str">
        <f>equip.xml!Q1250</f>
        <v>equipment/2213.png</v>
      </c>
      <c r="N1246" t="str">
        <f>equip.xml!P1250</f>
        <v>10000_1002_55000,30000_30001_1,30000_30002_1,30000_30003_1</v>
      </c>
    </row>
    <row r="1247" spans="1:14">
      <c r="A1247" s="1" t="str">
        <f>equip.xml!A1251</f>
        <v>40552061</v>
      </c>
      <c r="B1247" s="1">
        <f>equip.xml!B1251</f>
        <v>1</v>
      </c>
      <c r="C1247" s="1" t="str">
        <f>equip.xml!C1251</f>
        <v>日怒箭筒</v>
      </c>
      <c r="D1247" s="1" t="str">
        <f>equip.xml!D1251</f>
        <v>副手武器</v>
      </c>
      <c r="E1247" s="1">
        <f>equip.xml!E1251</f>
        <v>6</v>
      </c>
      <c r="F1247" s="1">
        <f>equip.xml!F1251</f>
        <v>4</v>
      </c>
      <c r="G1247" s="1">
        <f>equip.xml!G1251</f>
        <v>55</v>
      </c>
      <c r="H1247" s="1" t="str">
        <f>equip.xml!H1251</f>
        <v>2,1002</v>
      </c>
      <c r="I1247" s="1">
        <f>equip.xml!J1251</f>
        <v>50</v>
      </c>
      <c r="J1247" s="1">
        <f>equip.xml!K1251</f>
        <v>500</v>
      </c>
      <c r="K1247" s="1">
        <f>equip.xml!L1251</f>
        <v>32500</v>
      </c>
      <c r="L1247" s="1" t="str">
        <f>equip.xml!M1251</f>
        <v>108_2195_2195</v>
      </c>
      <c r="M1247" s="7" t="str">
        <f>equip.xml!Q1251</f>
        <v>equipment/2214.png</v>
      </c>
      <c r="N1247" t="str">
        <f>equip.xml!P1251</f>
        <v>10000_1002_55000,30000_30001_1,30000_30002_1,30000_30003_1</v>
      </c>
    </row>
    <row r="1248" spans="1:14">
      <c r="A1248" s="1" t="str">
        <f>equip.xml!A1252</f>
        <v>40553050</v>
      </c>
      <c r="B1248" s="1">
        <f>equip.xml!B1252</f>
        <v>1</v>
      </c>
      <c r="C1248" s="1" t="str">
        <f>equip.xml!C1252</f>
        <v>寒霜之怒</v>
      </c>
      <c r="D1248" s="1" t="str">
        <f>equip.xml!D1252</f>
        <v>主手武器</v>
      </c>
      <c r="E1248" s="1">
        <f>equip.xml!E1252</f>
        <v>5</v>
      </c>
      <c r="F1248" s="1">
        <f>equip.xml!F1252</f>
        <v>4</v>
      </c>
      <c r="G1248" s="1">
        <f>equip.xml!G1252</f>
        <v>55</v>
      </c>
      <c r="H1248" s="1" t="str">
        <f>equip.xml!H1252</f>
        <v>3,1003</v>
      </c>
      <c r="I1248" s="1">
        <f>equip.xml!J1252</f>
        <v>50</v>
      </c>
      <c r="J1248" s="1">
        <f>equip.xml!K1252</f>
        <v>500</v>
      </c>
      <c r="K1248" s="1">
        <f>equip.xml!L1252</f>
        <v>30000</v>
      </c>
      <c r="L1248" s="1" t="str">
        <f>equip.xml!M1252</f>
        <v>103_1409_1409,104_2818_2818</v>
      </c>
      <c r="M1248" s="7" t="str">
        <f>equip.xml!Q1252</f>
        <v>equipment/1321.png</v>
      </c>
      <c r="N1248" t="str">
        <f>equip.xml!P1252</f>
        <v>10000_1002_55000,30000_30001_1,30000_30002_1,30000_30003_1</v>
      </c>
    </row>
    <row r="1249" spans="1:14">
      <c r="A1249" s="1" t="str">
        <f>equip.xml!A1253</f>
        <v>40553051</v>
      </c>
      <c r="B1249" s="1">
        <f>equip.xml!B1253</f>
        <v>0</v>
      </c>
      <c r="C1249" s="1" t="str">
        <f>equip.xml!C1253</f>
        <v>学徒法杖</v>
      </c>
      <c r="D1249" s="1" t="str">
        <f>equip.xml!D1253</f>
        <v>主手武器</v>
      </c>
      <c r="E1249" s="1">
        <f>equip.xml!E1253</f>
        <v>5</v>
      </c>
      <c r="F1249" s="1">
        <f>equip.xml!F1253</f>
        <v>4</v>
      </c>
      <c r="G1249" s="1">
        <f>equip.xml!G1253</f>
        <v>55</v>
      </c>
      <c r="H1249" s="1" t="str">
        <f>equip.xml!H1253</f>
        <v>3,1003</v>
      </c>
      <c r="I1249" s="1">
        <f>equip.xml!J1253</f>
        <v>50</v>
      </c>
      <c r="J1249" s="1">
        <f>equip.xml!K1253</f>
        <v>500</v>
      </c>
      <c r="K1249" s="1">
        <f>equip.xml!L1253</f>
        <v>32500</v>
      </c>
      <c r="L1249" s="1" t="str">
        <f>equip.xml!M1253</f>
        <v>103_1648_1648,104_3296_3296</v>
      </c>
      <c r="M1249" s="7" t="str">
        <f>equip.xml!Q1253</f>
        <v>equipment/1301.png</v>
      </c>
      <c r="N1249" t="str">
        <f>equip.xml!P1253</f>
        <v>10000_1002_55000,30000_30001_1,30000_30002_1,30000_30003_1</v>
      </c>
    </row>
    <row r="1250" spans="1:14">
      <c r="A1250" s="1" t="str">
        <f>equip.xml!A1254</f>
        <v>40553060</v>
      </c>
      <c r="B1250" s="1">
        <f>equip.xml!B1254</f>
        <v>1</v>
      </c>
      <c r="C1250" s="1" t="str">
        <f>equip.xml!C1254</f>
        <v>遗忘魔典</v>
      </c>
      <c r="D1250" s="1" t="str">
        <f>equip.xml!D1254</f>
        <v>副手武器</v>
      </c>
      <c r="E1250" s="1">
        <f>equip.xml!E1254</f>
        <v>6</v>
      </c>
      <c r="F1250" s="1">
        <f>equip.xml!F1254</f>
        <v>4</v>
      </c>
      <c r="G1250" s="1">
        <f>equip.xml!G1254</f>
        <v>55</v>
      </c>
      <c r="H1250" s="1" t="str">
        <f>equip.xml!H1254</f>
        <v>3,1003</v>
      </c>
      <c r="I1250" s="1">
        <f>equip.xml!J1254</f>
        <v>50</v>
      </c>
      <c r="J1250" s="1">
        <f>equip.xml!K1254</f>
        <v>500</v>
      </c>
      <c r="K1250" s="1">
        <f>equip.xml!L1254</f>
        <v>30000</v>
      </c>
      <c r="L1250" s="1" t="str">
        <f>equip.xml!M1254</f>
        <v>102_1780_1780</v>
      </c>
      <c r="M1250" s="7" t="str">
        <f>equip.xml!Q1254</f>
        <v>equipment/2313.png</v>
      </c>
      <c r="N1250" t="str">
        <f>equip.xml!P1254</f>
        <v>10000_1002_55000,30000_30001_1,30000_30002_1,30000_30003_1</v>
      </c>
    </row>
    <row r="1251" spans="1:14">
      <c r="A1251" s="1" t="str">
        <f>equip.xml!A1255</f>
        <v>40553061</v>
      </c>
      <c r="B1251" s="1">
        <f>equip.xml!B1255</f>
        <v>1</v>
      </c>
      <c r="C1251" s="1" t="str">
        <f>equip.xml!C1255</f>
        <v>龙语入门</v>
      </c>
      <c r="D1251" s="1" t="str">
        <f>equip.xml!D1255</f>
        <v>副手武器</v>
      </c>
      <c r="E1251" s="1">
        <f>equip.xml!E1255</f>
        <v>6</v>
      </c>
      <c r="F1251" s="1">
        <f>equip.xml!F1255</f>
        <v>4</v>
      </c>
      <c r="G1251" s="1">
        <f>equip.xml!G1255</f>
        <v>55</v>
      </c>
      <c r="H1251" s="1" t="str">
        <f>equip.xml!H1255</f>
        <v>3,1003</v>
      </c>
      <c r="I1251" s="1">
        <f>equip.xml!J1255</f>
        <v>50</v>
      </c>
      <c r="J1251" s="1">
        <f>equip.xml!K1255</f>
        <v>500</v>
      </c>
      <c r="K1251" s="1">
        <f>equip.xml!L1255</f>
        <v>32500</v>
      </c>
      <c r="L1251" s="1" t="str">
        <f>equip.xml!M1255</f>
        <v>102_1972_1972</v>
      </c>
      <c r="M1251" s="7" t="str">
        <f>equip.xml!Q1255</f>
        <v>equipment/2316.png</v>
      </c>
      <c r="N1251" t="str">
        <f>equip.xml!P1255</f>
        <v>10000_1002_55000,30000_30001_1,30000_30002_1,30000_30003_1</v>
      </c>
    </row>
    <row r="1252" spans="1:14">
      <c r="A1252" s="1" t="str">
        <f>equip.xml!A1256</f>
        <v>40550040</v>
      </c>
      <c r="B1252" s="1">
        <f>equip.xml!B1256</f>
        <v>1</v>
      </c>
      <c r="C1252" s="1" t="str">
        <f>equip.xml!C1256</f>
        <v>血卫胸甲</v>
      </c>
      <c r="D1252" s="1" t="str">
        <f>equip.xml!D1256</f>
        <v>胸甲</v>
      </c>
      <c r="E1252" s="1">
        <f>equip.xml!E1256</f>
        <v>4</v>
      </c>
      <c r="F1252" s="1">
        <f>equip.xml!F1256</f>
        <v>4</v>
      </c>
      <c r="G1252" s="1">
        <f>equip.xml!G1256</f>
        <v>55</v>
      </c>
      <c r="H1252" s="1">
        <f>equip.xml!H1256</f>
        <v>0</v>
      </c>
      <c r="I1252" s="1">
        <f>equip.xml!J1256</f>
        <v>50</v>
      </c>
      <c r="J1252" s="1">
        <f>equip.xml!K1256</f>
        <v>500</v>
      </c>
      <c r="K1252" s="1">
        <f>equip.xml!L1256</f>
        <v>30000</v>
      </c>
      <c r="L1252" s="1" t="str">
        <f>equip.xml!M1256</f>
        <v>105_1153_1153</v>
      </c>
      <c r="M1252" s="7" t="str">
        <f>equip.xml!Q1256</f>
        <v>equipment/5015.png</v>
      </c>
      <c r="N1252" t="str">
        <f>equip.xml!P1256</f>
        <v>10000_1002_55000,30000_30001_1,30000_30002_1,30000_30003_1</v>
      </c>
    </row>
    <row r="1253" spans="1:14">
      <c r="A1253" s="1" t="str">
        <f>equip.xml!A1257</f>
        <v>40550041</v>
      </c>
      <c r="B1253" s="1">
        <f>equip.xml!B1257</f>
        <v>0</v>
      </c>
      <c r="C1253" s="1" t="str">
        <f>equip.xml!C1257</f>
        <v>新兵外套</v>
      </c>
      <c r="D1253" s="1" t="str">
        <f>equip.xml!D1257</f>
        <v>胸甲</v>
      </c>
      <c r="E1253" s="1">
        <f>equip.xml!E1257</f>
        <v>4</v>
      </c>
      <c r="F1253" s="1">
        <f>equip.xml!F1257</f>
        <v>4</v>
      </c>
      <c r="G1253" s="1">
        <f>equip.xml!G1257</f>
        <v>55</v>
      </c>
      <c r="H1253" s="1">
        <f>equip.xml!H1257</f>
        <v>0</v>
      </c>
      <c r="I1253" s="1">
        <f>equip.xml!J1257</f>
        <v>50</v>
      </c>
      <c r="J1253" s="1">
        <f>equip.xml!K1257</f>
        <v>500</v>
      </c>
      <c r="K1253" s="1">
        <f>equip.xml!L1257</f>
        <v>32500</v>
      </c>
      <c r="L1253" s="1" t="str">
        <f>equip.xml!M1257</f>
        <v>105_1243_1243</v>
      </c>
      <c r="M1253" s="7" t="str">
        <f>equip.xml!Q1257</f>
        <v>equipment/5001.png</v>
      </c>
      <c r="N1253" t="str">
        <f>equip.xml!P1257</f>
        <v>10000_1002_55000,30000_30001_1,30000_30002_1,30000_30003_1</v>
      </c>
    </row>
    <row r="1254" spans="1:14">
      <c r="A1254" s="1" t="str">
        <f>equip.xml!A1258</f>
        <v>40550070</v>
      </c>
      <c r="B1254" s="1">
        <f>equip.xml!B1258</f>
        <v>1</v>
      </c>
      <c r="C1254" s="1" t="str">
        <f>equip.xml!C1258</f>
        <v>征服者护腿</v>
      </c>
      <c r="D1254" s="1" t="str">
        <f>equip.xml!D1258</f>
        <v>护腿</v>
      </c>
      <c r="E1254" s="1">
        <f>equip.xml!E1258</f>
        <v>7</v>
      </c>
      <c r="F1254" s="1">
        <f>equip.xml!F1258</f>
        <v>4</v>
      </c>
      <c r="G1254" s="1">
        <f>equip.xml!G1258</f>
        <v>55</v>
      </c>
      <c r="H1254" s="1">
        <f>equip.xml!H1258</f>
        <v>0</v>
      </c>
      <c r="I1254" s="1">
        <f>equip.xml!J1258</f>
        <v>50</v>
      </c>
      <c r="J1254" s="1">
        <f>equip.xml!K1258</f>
        <v>500</v>
      </c>
      <c r="K1254" s="1">
        <f>equip.xml!L1258</f>
        <v>30000</v>
      </c>
      <c r="L1254" s="1" t="str">
        <f>equip.xml!M1258</f>
        <v>105_780_780</v>
      </c>
      <c r="M1254" s="7" t="str">
        <f>equip.xml!Q1258</f>
        <v>equipment/7013.png</v>
      </c>
      <c r="N1254" t="str">
        <f>equip.xml!P1258</f>
        <v>10000_1002_55000,30000_30001_1,30000_30002_1,30000_30003_1</v>
      </c>
    </row>
    <row r="1255" spans="1:14">
      <c r="A1255" s="1" t="str">
        <f>equip.xml!A1259</f>
        <v>40550071</v>
      </c>
      <c r="B1255" s="1">
        <f>equip.xml!B1259</f>
        <v>0</v>
      </c>
      <c r="C1255" s="1" t="str">
        <f>equip.xml!C1259</f>
        <v>学徒短裤</v>
      </c>
      <c r="D1255" s="1" t="str">
        <f>equip.xml!D1259</f>
        <v>护腿</v>
      </c>
      <c r="E1255" s="1">
        <f>equip.xml!E1259</f>
        <v>7</v>
      </c>
      <c r="F1255" s="1">
        <f>equip.xml!F1259</f>
        <v>4</v>
      </c>
      <c r="G1255" s="1">
        <f>equip.xml!G1259</f>
        <v>55</v>
      </c>
      <c r="H1255" s="1">
        <f>equip.xml!H1259</f>
        <v>0</v>
      </c>
      <c r="I1255" s="1">
        <f>equip.xml!J1259</f>
        <v>50</v>
      </c>
      <c r="J1255" s="1">
        <f>equip.xml!K1259</f>
        <v>500</v>
      </c>
      <c r="K1255" s="1">
        <f>equip.xml!L1259</f>
        <v>32500</v>
      </c>
      <c r="L1255" s="1" t="str">
        <f>equip.xml!M1259</f>
        <v>105_929_929</v>
      </c>
      <c r="M1255" s="7" t="str">
        <f>equip.xml!Q1259</f>
        <v>equipment/7001.png</v>
      </c>
      <c r="N1255" t="str">
        <f>equip.xml!P1259</f>
        <v>10000_1002_55000,30000_30001_1,30000_30002_1,30000_30003_1</v>
      </c>
    </row>
    <row r="1256" spans="1:14">
      <c r="A1256" s="1" t="str">
        <f>equip.xml!A1260</f>
        <v>40600010</v>
      </c>
      <c r="B1256" s="1">
        <f>equip.xml!B1260</f>
        <v>1</v>
      </c>
      <c r="C1256" s="1" t="str">
        <f>equip.xml!C1260</f>
        <v>英勇战盔</v>
      </c>
      <c r="D1256" s="1" t="str">
        <f>equip.xml!D1260</f>
        <v>头盔</v>
      </c>
      <c r="E1256" s="1">
        <f>equip.xml!E1260</f>
        <v>1</v>
      </c>
      <c r="F1256" s="1">
        <f>equip.xml!F1260</f>
        <v>4</v>
      </c>
      <c r="G1256" s="1">
        <f>equip.xml!G1260</f>
        <v>60</v>
      </c>
      <c r="H1256" s="1">
        <f>equip.xml!H1260</f>
        <v>0</v>
      </c>
      <c r="I1256" s="1">
        <f>equip.xml!J1260</f>
        <v>50</v>
      </c>
      <c r="J1256" s="1">
        <f>equip.xml!K1260</f>
        <v>500</v>
      </c>
      <c r="K1256" s="1">
        <f>equip.xml!L1260</f>
        <v>32500</v>
      </c>
      <c r="L1256" s="1" t="str">
        <f>equip.xml!M1260</f>
        <v>106_1628_1628</v>
      </c>
      <c r="M1256" s="7" t="str">
        <f>equip.xml!Q1260</f>
        <v>equipment/3010.png</v>
      </c>
      <c r="N1256" t="str">
        <f>equip.xml!P1260</f>
        <v>10000_1002_60000,30000_30001_1,30000_30002_1,30000_30003_1</v>
      </c>
    </row>
    <row r="1257" spans="1:14">
      <c r="A1257" s="1" t="str">
        <f>equip.xml!A1261</f>
        <v>40600020</v>
      </c>
      <c r="B1257" s="1">
        <f>equip.xml!B1261</f>
        <v>1</v>
      </c>
      <c r="C1257" s="1" t="str">
        <f>equip.xml!C1261</f>
        <v>星宇指环</v>
      </c>
      <c r="D1257" s="1" t="str">
        <f>equip.xml!D1261</f>
        <v>戒指</v>
      </c>
      <c r="E1257" s="1">
        <f>equip.xml!E1261</f>
        <v>2</v>
      </c>
      <c r="F1257" s="1">
        <f>equip.xml!F1261</f>
        <v>4</v>
      </c>
      <c r="G1257" s="1">
        <f>equip.xml!G1261</f>
        <v>60</v>
      </c>
      <c r="H1257" s="1">
        <f>equip.xml!H1261</f>
        <v>0</v>
      </c>
      <c r="I1257" s="1">
        <f>equip.xml!J1261</f>
        <v>50</v>
      </c>
      <c r="J1257" s="1">
        <f>equip.xml!K1261</f>
        <v>500</v>
      </c>
      <c r="K1257" s="1">
        <f>equip.xml!L1261</f>
        <v>32500</v>
      </c>
      <c r="L1257" s="1" t="str">
        <f>equip.xml!M1261</f>
        <v>102_1260_1260</v>
      </c>
      <c r="M1257" s="7" t="str">
        <f>equip.xml!Q1261</f>
        <v>equipment/14010.png</v>
      </c>
      <c r="N1257" t="str">
        <f>equip.xml!P1261</f>
        <v>10000_1002_60000,30000_30001_1,30000_30002_1,30000_30003_1</v>
      </c>
    </row>
    <row r="1258" spans="1:14">
      <c r="A1258" s="1" t="str">
        <f>equip.xml!A1262</f>
        <v>40600030</v>
      </c>
      <c r="B1258" s="1">
        <f>equip.xml!B1262</f>
        <v>1</v>
      </c>
      <c r="C1258" s="1" t="str">
        <f>equip.xml!C1262</f>
        <v>远征腰带</v>
      </c>
      <c r="D1258" s="1" t="str">
        <f>equip.xml!D1262</f>
        <v>腰带</v>
      </c>
      <c r="E1258" s="1">
        <f>equip.xml!E1262</f>
        <v>3</v>
      </c>
      <c r="F1258" s="1">
        <f>equip.xml!F1262</f>
        <v>4</v>
      </c>
      <c r="G1258" s="1">
        <f>equip.xml!G1262</f>
        <v>60</v>
      </c>
      <c r="H1258" s="1">
        <f>equip.xml!H1262</f>
        <v>0</v>
      </c>
      <c r="I1258" s="1">
        <f>equip.xml!J1262</f>
        <v>50</v>
      </c>
      <c r="J1258" s="1">
        <f>equip.xml!K1262</f>
        <v>500</v>
      </c>
      <c r="K1258" s="1">
        <f>equip.xml!L1262</f>
        <v>32500</v>
      </c>
      <c r="L1258" s="1" t="str">
        <f>equip.xml!M1262</f>
        <v>101_13920_13920</v>
      </c>
      <c r="M1258" s="7" t="str">
        <f>equip.xml!Q1262</f>
        <v>equipment/6010.png</v>
      </c>
      <c r="N1258" t="str">
        <f>equip.xml!P1262</f>
        <v>10000_1002_60000,30000_30001_1,30000_30002_1,30000_30003_1</v>
      </c>
    </row>
    <row r="1259" spans="1:14">
      <c r="A1259" s="1" t="str">
        <f>equip.xml!A1263</f>
        <v>40600080</v>
      </c>
      <c r="B1259" s="1">
        <f>equip.xml!B1263</f>
        <v>1</v>
      </c>
      <c r="C1259" s="1" t="str">
        <f>equip.xml!C1263</f>
        <v>风暴长靴</v>
      </c>
      <c r="D1259" s="1" t="str">
        <f>equip.xml!D1263</f>
        <v>鞋子</v>
      </c>
      <c r="E1259" s="1">
        <f>equip.xml!E1263</f>
        <v>8</v>
      </c>
      <c r="F1259" s="1">
        <f>equip.xml!F1263</f>
        <v>4</v>
      </c>
      <c r="G1259" s="1">
        <f>equip.xml!G1263</f>
        <v>60</v>
      </c>
      <c r="H1259" s="1">
        <f>equip.xml!H1263</f>
        <v>0</v>
      </c>
      <c r="I1259" s="1">
        <f>equip.xml!J1263</f>
        <v>50</v>
      </c>
      <c r="J1259" s="1">
        <f>equip.xml!K1263</f>
        <v>500</v>
      </c>
      <c r="K1259" s="1">
        <f>equip.xml!L1263</f>
        <v>32500</v>
      </c>
      <c r="L1259" s="1" t="str">
        <f>equip.xml!M1263</f>
        <v>110_271_271</v>
      </c>
      <c r="M1259" s="7" t="str">
        <f>equip.xml!Q1263</f>
        <v>equipment/8010.png</v>
      </c>
      <c r="N1259" t="str">
        <f>equip.xml!P1263</f>
        <v>10000_1002_60000,30000_30001_1,30000_30002_1,30000_30003_1</v>
      </c>
    </row>
    <row r="1260" spans="1:14">
      <c r="A1260" s="1" t="str">
        <f>equip.xml!A1264</f>
        <v>40600090</v>
      </c>
      <c r="B1260" s="1">
        <f>equip.xml!B1264</f>
        <v>1</v>
      </c>
      <c r="C1260" s="1" t="str">
        <f>equip.xml!C1264</f>
        <v>远征军护手</v>
      </c>
      <c r="D1260" s="1" t="str">
        <f>equip.xml!D1264</f>
        <v>手套</v>
      </c>
      <c r="E1260" s="1">
        <f>equip.xml!E1264</f>
        <v>9</v>
      </c>
      <c r="F1260" s="1">
        <f>equip.xml!F1264</f>
        <v>4</v>
      </c>
      <c r="G1260" s="1">
        <f>equip.xml!G1264</f>
        <v>60</v>
      </c>
      <c r="H1260" s="1">
        <f>equip.xml!H1264</f>
        <v>0</v>
      </c>
      <c r="I1260" s="1">
        <f>equip.xml!J1264</f>
        <v>50</v>
      </c>
      <c r="J1260" s="1">
        <f>equip.xml!K1264</f>
        <v>500</v>
      </c>
      <c r="K1260" s="1">
        <f>equip.xml!L1264</f>
        <v>32500</v>
      </c>
      <c r="L1260" s="1" t="str">
        <f>equip.xml!M1264</f>
        <v>108_2300_2300</v>
      </c>
      <c r="M1260" s="7" t="str">
        <f>equip.xml!Q1264</f>
        <v>equipment/10010.png</v>
      </c>
      <c r="N1260" t="str">
        <f>equip.xml!P1264</f>
        <v>10000_1002_60000,30000_30001_1,30000_30002_1,30000_30003_1</v>
      </c>
    </row>
    <row r="1261" spans="1:14">
      <c r="A1261" s="1" t="str">
        <f>equip.xml!A1265</f>
        <v>40600100</v>
      </c>
      <c r="B1261" s="1">
        <f>equip.xml!B1265</f>
        <v>1</v>
      </c>
      <c r="C1261" s="1" t="str">
        <f>equip.xml!C1265</f>
        <v>悔恨之链</v>
      </c>
      <c r="D1261" s="1" t="str">
        <f>equip.xml!D1265</f>
        <v>项链</v>
      </c>
      <c r="E1261" s="1">
        <f>equip.xml!E1265</f>
        <v>10</v>
      </c>
      <c r="F1261" s="1">
        <f>equip.xml!F1265</f>
        <v>4</v>
      </c>
      <c r="G1261" s="1">
        <f>equip.xml!G1265</f>
        <v>60</v>
      </c>
      <c r="H1261" s="1">
        <f>equip.xml!H1265</f>
        <v>0</v>
      </c>
      <c r="I1261" s="1">
        <f>equip.xml!J1265</f>
        <v>50</v>
      </c>
      <c r="J1261" s="1">
        <f>equip.xml!K1265</f>
        <v>500</v>
      </c>
      <c r="K1261" s="1">
        <f>equip.xml!L1265</f>
        <v>32500</v>
      </c>
      <c r="L1261" s="1" t="str">
        <f>equip.xml!M1265</f>
        <v>107_1628_1628</v>
      </c>
      <c r="M1261" s="7" t="str">
        <f>equip.xml!Q1265</f>
        <v>equipment/12010.png</v>
      </c>
      <c r="N1261" t="str">
        <f>equip.xml!P1265</f>
        <v>10000_1002_60000,30000_30001_1,30000_30002_1,30000_30003_1</v>
      </c>
    </row>
    <row r="1262" spans="1:14">
      <c r="A1262" s="1" t="str">
        <f>equip.xml!A1266</f>
        <v>40601050</v>
      </c>
      <c r="B1262" s="1">
        <f>equip.xml!B1266</f>
        <v>1</v>
      </c>
      <c r="C1262" s="1" t="str">
        <f>equip.xml!C1266</f>
        <v>毁灭之刃</v>
      </c>
      <c r="D1262" s="1" t="str">
        <f>equip.xml!D1266</f>
        <v>主手武器</v>
      </c>
      <c r="E1262" s="1">
        <f>equip.xml!E1266</f>
        <v>5</v>
      </c>
      <c r="F1262" s="1">
        <f>equip.xml!F1266</f>
        <v>4</v>
      </c>
      <c r="G1262" s="1">
        <f>equip.xml!G1266</f>
        <v>60</v>
      </c>
      <c r="H1262" s="1" t="str">
        <f>equip.xml!H1266</f>
        <v>1,1001</v>
      </c>
      <c r="I1262" s="1">
        <f>equip.xml!J1266</f>
        <v>50</v>
      </c>
      <c r="J1262" s="1">
        <f>equip.xml!K1266</f>
        <v>500</v>
      </c>
      <c r="K1262" s="1">
        <f>equip.xml!L1266</f>
        <v>32500</v>
      </c>
      <c r="L1262" s="1" t="str">
        <f>equip.xml!M1266</f>
        <v>103_2007_2007,104_4014_4014</v>
      </c>
      <c r="M1262" s="7" t="str">
        <f>equip.xml!Q1266</f>
        <v>equipment/1118.png</v>
      </c>
      <c r="N1262" t="str">
        <f>equip.xml!P1266</f>
        <v>10000_1002_60000,30000_30001_1,30000_30002_1,30000_30003_1</v>
      </c>
    </row>
    <row r="1263" spans="1:14">
      <c r="A1263" s="1" t="str">
        <f>equip.xml!A1267</f>
        <v>40601051</v>
      </c>
      <c r="B1263" s="1">
        <f>equip.xml!B1267</f>
        <v>1</v>
      </c>
      <c r="C1263" s="1" t="str">
        <f>equip.xml!C1267</f>
        <v>逐光巨剑</v>
      </c>
      <c r="D1263" s="1" t="str">
        <f>equip.xml!D1267</f>
        <v>主手武器</v>
      </c>
      <c r="E1263" s="1">
        <f>equip.xml!E1267</f>
        <v>5</v>
      </c>
      <c r="F1263" s="1">
        <f>equip.xml!F1267</f>
        <v>4</v>
      </c>
      <c r="G1263" s="1">
        <f>equip.xml!G1267</f>
        <v>60</v>
      </c>
      <c r="H1263" s="1" t="str">
        <f>equip.xml!H1267</f>
        <v>1,1001</v>
      </c>
      <c r="I1263" s="1">
        <f>equip.xml!J1267</f>
        <v>50</v>
      </c>
      <c r="J1263" s="1">
        <f>equip.xml!K1267</f>
        <v>500</v>
      </c>
      <c r="K1263" s="1">
        <f>equip.xml!L1267</f>
        <v>35000</v>
      </c>
      <c r="L1263" s="1" t="str">
        <f>equip.xml!M1267</f>
        <v>103_2252_2252,104_4504_4504</v>
      </c>
      <c r="M1263" s="7" t="str">
        <f>equip.xml!Q1267</f>
        <v>equipment/1122.png</v>
      </c>
      <c r="N1263" t="str">
        <f>equip.xml!P1267</f>
        <v>10000_1002_60000,30000_30001_1,30000_30002_1,30000_30003_1</v>
      </c>
    </row>
    <row r="1264" spans="1:14">
      <c r="A1264" s="1" t="str">
        <f>equip.xml!A1268</f>
        <v>40601060</v>
      </c>
      <c r="B1264" s="1">
        <f>equip.xml!B1268</f>
        <v>1</v>
      </c>
      <c r="C1264" s="1" t="str">
        <f>equip.xml!C1268</f>
        <v>灵魂壁垒</v>
      </c>
      <c r="D1264" s="1" t="str">
        <f>equip.xml!D1268</f>
        <v>副手武器</v>
      </c>
      <c r="E1264" s="1">
        <f>equip.xml!E1268</f>
        <v>6</v>
      </c>
      <c r="F1264" s="1">
        <f>equip.xml!F1268</f>
        <v>4</v>
      </c>
      <c r="G1264" s="1">
        <f>equip.xml!G1268</f>
        <v>60</v>
      </c>
      <c r="H1264" s="1" t="str">
        <f>equip.xml!H1268</f>
        <v>1,1001</v>
      </c>
      <c r="I1264" s="1">
        <f>equip.xml!J1268</f>
        <v>50</v>
      </c>
      <c r="J1264" s="1">
        <f>equip.xml!K1268</f>
        <v>500</v>
      </c>
      <c r="K1264" s="1">
        <f>equip.xml!L1268</f>
        <v>32500</v>
      </c>
      <c r="L1264" s="1" t="str">
        <f>equip.xml!M1268</f>
        <v>105_2515_2515</v>
      </c>
      <c r="M1264" s="7" t="str">
        <f>equip.xml!Q1268</f>
        <v>equipment/2115.png</v>
      </c>
      <c r="N1264" t="str">
        <f>equip.xml!P1268</f>
        <v>10000_1002_60000,30000_30001_1,30000_30002_1,30000_30003_1</v>
      </c>
    </row>
    <row r="1265" spans="1:14">
      <c r="A1265" s="1" t="str">
        <f>equip.xml!A1269</f>
        <v>40601061</v>
      </c>
      <c r="B1265" s="1">
        <f>equip.xml!B1269</f>
        <v>0</v>
      </c>
      <c r="C1265" s="1" t="str">
        <f>equip.xml!C1269</f>
        <v>尖头盾</v>
      </c>
      <c r="D1265" s="1" t="str">
        <f>equip.xml!D1269</f>
        <v>副手武器</v>
      </c>
      <c r="E1265" s="1">
        <f>equip.xml!E1269</f>
        <v>6</v>
      </c>
      <c r="F1265" s="1">
        <f>equip.xml!F1269</f>
        <v>4</v>
      </c>
      <c r="G1265" s="1">
        <f>equip.xml!G1269</f>
        <v>60</v>
      </c>
      <c r="H1265" s="1" t="str">
        <f>equip.xml!H1269</f>
        <v>1,1001</v>
      </c>
      <c r="I1265" s="1">
        <f>equip.xml!J1269</f>
        <v>50</v>
      </c>
      <c r="J1265" s="1">
        <f>equip.xml!K1269</f>
        <v>500</v>
      </c>
      <c r="K1265" s="1">
        <f>equip.xml!L1269</f>
        <v>35000</v>
      </c>
      <c r="L1265" s="1" t="str">
        <f>equip.xml!M1269</f>
        <v>105_2704_2704</v>
      </c>
      <c r="M1265" s="7" t="str">
        <f>equip.xml!Q1269</f>
        <v>equipment/2101.png</v>
      </c>
      <c r="N1265" t="str">
        <f>equip.xml!P1269</f>
        <v>10000_1002_60000,30000_30001_1,30000_30002_1,30000_30003_1</v>
      </c>
    </row>
    <row r="1266" spans="1:14">
      <c r="A1266" s="1" t="str">
        <f>equip.xml!A1270</f>
        <v>40602050</v>
      </c>
      <c r="B1266" s="1">
        <f>equip.xml!B1270</f>
        <v>1</v>
      </c>
      <c r="C1266" s="1" t="str">
        <f>equip.xml!C1270</f>
        <v>暗之追猎者</v>
      </c>
      <c r="D1266" s="1" t="str">
        <f>equip.xml!D1270</f>
        <v>主手武器</v>
      </c>
      <c r="E1266" s="1">
        <f>equip.xml!E1270</f>
        <v>5</v>
      </c>
      <c r="F1266" s="1">
        <f>equip.xml!F1270</f>
        <v>4</v>
      </c>
      <c r="G1266" s="1">
        <f>equip.xml!G1270</f>
        <v>60</v>
      </c>
      <c r="H1266" s="1" t="str">
        <f>equip.xml!H1270</f>
        <v>2,1002</v>
      </c>
      <c r="I1266" s="1">
        <f>equip.xml!J1270</f>
        <v>50</v>
      </c>
      <c r="J1266" s="1">
        <f>equip.xml!K1270</f>
        <v>500</v>
      </c>
      <c r="K1266" s="1">
        <f>equip.xml!L1270</f>
        <v>32500</v>
      </c>
      <c r="L1266" s="1" t="str">
        <f>equip.xml!M1270</f>
        <v>103_2007_2007,104_4014_4014</v>
      </c>
      <c r="M1266" s="7" t="str">
        <f>equip.xml!Q1270</f>
        <v>equipment/1220.png</v>
      </c>
      <c r="N1266" t="str">
        <f>equip.xml!P1270</f>
        <v>10000_1002_60000,30000_30001_1,30000_30002_1,30000_30003_1</v>
      </c>
    </row>
    <row r="1267" spans="1:14">
      <c r="A1267" s="1" t="str">
        <f>equip.xml!A1271</f>
        <v>40602051</v>
      </c>
      <c r="B1267" s="1">
        <f>equip.xml!B1271</f>
        <v>0</v>
      </c>
      <c r="C1267" s="1" t="str">
        <f>equip.xml!C1271</f>
        <v>棘木弓</v>
      </c>
      <c r="D1267" s="1" t="str">
        <f>equip.xml!D1271</f>
        <v>主手武器</v>
      </c>
      <c r="E1267" s="1">
        <f>equip.xml!E1271</f>
        <v>5</v>
      </c>
      <c r="F1267" s="1">
        <f>equip.xml!F1271</f>
        <v>4</v>
      </c>
      <c r="G1267" s="1">
        <f>equip.xml!G1271</f>
        <v>60</v>
      </c>
      <c r="H1267" s="1" t="str">
        <f>equip.xml!H1271</f>
        <v>2,1002</v>
      </c>
      <c r="I1267" s="1">
        <f>equip.xml!J1271</f>
        <v>50</v>
      </c>
      <c r="J1267" s="1">
        <f>equip.xml!K1271</f>
        <v>500</v>
      </c>
      <c r="K1267" s="1">
        <f>equip.xml!L1271</f>
        <v>35000</v>
      </c>
      <c r="L1267" s="1" t="str">
        <f>equip.xml!M1271</f>
        <v>103_2252_2252,104_4504_4504</v>
      </c>
      <c r="M1267" s="7" t="str">
        <f>equip.xml!Q1271</f>
        <v>equipment/1201.png</v>
      </c>
      <c r="N1267" t="str">
        <f>equip.xml!P1271</f>
        <v>10000_1002_60000,30000_30001_1,30000_30002_1,30000_30003_1</v>
      </c>
    </row>
    <row r="1268" spans="1:14">
      <c r="A1268" s="1" t="str">
        <f>equip.xml!A1272</f>
        <v>40602060</v>
      </c>
      <c r="B1268" s="1">
        <f>equip.xml!B1272</f>
        <v>1</v>
      </c>
      <c r="C1268" s="1" t="str">
        <f>equip.xml!C1272</f>
        <v>猎星箭袋</v>
      </c>
      <c r="D1268" s="1" t="str">
        <f>equip.xml!D1272</f>
        <v>副手武器</v>
      </c>
      <c r="E1268" s="1">
        <f>equip.xml!E1272</f>
        <v>6</v>
      </c>
      <c r="F1268" s="1">
        <f>equip.xml!F1272</f>
        <v>4</v>
      </c>
      <c r="G1268" s="1">
        <f>equip.xml!G1272</f>
        <v>60</v>
      </c>
      <c r="H1268" s="1" t="str">
        <f>equip.xml!H1272</f>
        <v>2,1002</v>
      </c>
      <c r="I1268" s="1">
        <f>equip.xml!J1272</f>
        <v>50</v>
      </c>
      <c r="J1268" s="1">
        <f>equip.xml!K1272</f>
        <v>500</v>
      </c>
      <c r="K1268" s="1">
        <f>equip.xml!L1272</f>
        <v>32500</v>
      </c>
      <c r="L1268" s="1" t="str">
        <f>equip.xml!M1272</f>
        <v>108_2515_2515</v>
      </c>
      <c r="M1268" s="7" t="str">
        <f>equip.xml!Q1272</f>
        <v>equipment/2215.png</v>
      </c>
      <c r="N1268" t="str">
        <f>equip.xml!P1272</f>
        <v>10000_1002_60000,30000_30001_1,30000_30002_1,30000_30003_1</v>
      </c>
    </row>
    <row r="1269" spans="1:14">
      <c r="A1269" s="1" t="str">
        <f>equip.xml!A1273</f>
        <v>40602061</v>
      </c>
      <c r="B1269" s="1">
        <f>equip.xml!B1273</f>
        <v>0</v>
      </c>
      <c r="C1269" s="1" t="str">
        <f>equip.xml!C1273</f>
        <v>箭筒</v>
      </c>
      <c r="D1269" s="1" t="str">
        <f>equip.xml!D1273</f>
        <v>副手武器</v>
      </c>
      <c r="E1269" s="1">
        <f>equip.xml!E1273</f>
        <v>6</v>
      </c>
      <c r="F1269" s="1">
        <f>equip.xml!F1273</f>
        <v>4</v>
      </c>
      <c r="G1269" s="1">
        <f>equip.xml!G1273</f>
        <v>60</v>
      </c>
      <c r="H1269" s="1" t="str">
        <f>equip.xml!H1273</f>
        <v>2,1002</v>
      </c>
      <c r="I1269" s="1">
        <f>equip.xml!J1273</f>
        <v>50</v>
      </c>
      <c r="J1269" s="1">
        <f>equip.xml!K1273</f>
        <v>500</v>
      </c>
      <c r="K1269" s="1">
        <f>equip.xml!L1273</f>
        <v>35000</v>
      </c>
      <c r="L1269" s="1" t="str">
        <f>equip.xml!M1273</f>
        <v>108_2704_2704</v>
      </c>
      <c r="M1269" s="7" t="str">
        <f>equip.xml!Q1273</f>
        <v>equipment/2201.png</v>
      </c>
      <c r="N1269" t="str">
        <f>equip.xml!P1273</f>
        <v>10000_1002_60000,30000_30001_1,30000_30002_1,30000_30003_1</v>
      </c>
    </row>
    <row r="1270" spans="1:14">
      <c r="A1270" s="1" t="str">
        <f>equip.xml!A1274</f>
        <v>40603050</v>
      </c>
      <c r="B1270" s="1">
        <f>equip.xml!B1274</f>
        <v>1</v>
      </c>
      <c r="C1270" s="1" t="str">
        <f>equip.xml!C1274</f>
        <v>无尽回响之杖</v>
      </c>
      <c r="D1270" s="1" t="str">
        <f>equip.xml!D1274</f>
        <v>主手武器</v>
      </c>
      <c r="E1270" s="1">
        <f>equip.xml!E1274</f>
        <v>5</v>
      </c>
      <c r="F1270" s="1">
        <f>equip.xml!F1274</f>
        <v>4</v>
      </c>
      <c r="G1270" s="1">
        <f>equip.xml!G1274</f>
        <v>60</v>
      </c>
      <c r="H1270" s="1" t="str">
        <f>equip.xml!H1274</f>
        <v>3,1003</v>
      </c>
      <c r="I1270" s="1">
        <f>equip.xml!J1274</f>
        <v>50</v>
      </c>
      <c r="J1270" s="1">
        <f>equip.xml!K1274</f>
        <v>500</v>
      </c>
      <c r="K1270" s="1">
        <f>equip.xml!L1274</f>
        <v>32500</v>
      </c>
      <c r="L1270" s="1" t="str">
        <f>equip.xml!M1274</f>
        <v>103_2007_2007,104_4014_4014</v>
      </c>
      <c r="M1270" s="7" t="str">
        <f>equip.xml!Q1274</f>
        <v>equipment/1322.png</v>
      </c>
      <c r="N1270" t="str">
        <f>equip.xml!P1274</f>
        <v>10000_1002_60000,30000_30001_1,30000_30002_1,30000_30003_1</v>
      </c>
    </row>
    <row r="1271" spans="1:14">
      <c r="A1271" s="1" t="str">
        <f>equip.xml!A1275</f>
        <v>40603051</v>
      </c>
      <c r="B1271" s="1">
        <f>equip.xml!B1275</f>
        <v>0</v>
      </c>
      <c r="C1271" s="1" t="str">
        <f>equip.xml!C1275</f>
        <v>日辉法杖</v>
      </c>
      <c r="D1271" s="1" t="str">
        <f>equip.xml!D1275</f>
        <v>主手武器</v>
      </c>
      <c r="E1271" s="1">
        <f>equip.xml!E1275</f>
        <v>5</v>
      </c>
      <c r="F1271" s="1">
        <f>equip.xml!F1275</f>
        <v>4</v>
      </c>
      <c r="G1271" s="1">
        <f>equip.xml!G1275</f>
        <v>60</v>
      </c>
      <c r="H1271" s="1" t="str">
        <f>equip.xml!H1275</f>
        <v>3,1003</v>
      </c>
      <c r="I1271" s="1">
        <f>equip.xml!J1275</f>
        <v>50</v>
      </c>
      <c r="J1271" s="1">
        <f>equip.xml!K1275</f>
        <v>500</v>
      </c>
      <c r="K1271" s="1">
        <f>equip.xml!L1275</f>
        <v>35000</v>
      </c>
      <c r="L1271" s="1" t="str">
        <f>equip.xml!M1275</f>
        <v>103_2252_2252,104_4504_4504</v>
      </c>
      <c r="M1271" s="7" t="str">
        <f>equip.xml!Q1275</f>
        <v>equipment/1301.png</v>
      </c>
      <c r="N1271" t="str">
        <f>equip.xml!P1275</f>
        <v>10000_1002_60000,30000_30001_1,30000_30002_1,30000_30003_1</v>
      </c>
    </row>
    <row r="1272" spans="1:14">
      <c r="A1272" s="1" t="str">
        <f>equip.xml!A1276</f>
        <v>40603060</v>
      </c>
      <c r="B1272" s="1">
        <f>equip.xml!B1276</f>
        <v>1</v>
      </c>
      <c r="C1272" s="1" t="str">
        <f>equip.xml!C1276</f>
        <v>星图指南</v>
      </c>
      <c r="D1272" s="1" t="str">
        <f>equip.xml!D1276</f>
        <v>副手武器</v>
      </c>
      <c r="E1272" s="1">
        <f>equip.xml!E1276</f>
        <v>6</v>
      </c>
      <c r="F1272" s="1">
        <f>equip.xml!F1276</f>
        <v>4</v>
      </c>
      <c r="G1272" s="1">
        <f>equip.xml!G1276</f>
        <v>60</v>
      </c>
      <c r="H1272" s="1" t="str">
        <f>equip.xml!H1276</f>
        <v>3,1003</v>
      </c>
      <c r="I1272" s="1">
        <f>equip.xml!J1276</f>
        <v>50</v>
      </c>
      <c r="J1272" s="1">
        <f>equip.xml!K1276</f>
        <v>500</v>
      </c>
      <c r="K1272" s="1">
        <f>equip.xml!L1276</f>
        <v>32500</v>
      </c>
      <c r="L1272" s="1" t="str">
        <f>equip.xml!M1276</f>
        <v>102_2260_2260</v>
      </c>
      <c r="M1272" s="7" t="str">
        <f>equip.xml!Q1276</f>
        <v>equipment/2315.png</v>
      </c>
      <c r="N1272" t="str">
        <f>equip.xml!P1276</f>
        <v>10000_1002_60000,30000_30001_1,30000_30002_1,30000_30003_1</v>
      </c>
    </row>
    <row r="1273" spans="1:14">
      <c r="A1273" s="1" t="str">
        <f>equip.xml!A1277</f>
        <v>40603061</v>
      </c>
      <c r="B1273" s="1">
        <f>equip.xml!B1277</f>
        <v>0</v>
      </c>
      <c r="C1273" s="1" t="str">
        <f>equip.xml!C1277</f>
        <v>法术指南</v>
      </c>
      <c r="D1273" s="1" t="str">
        <f>equip.xml!D1277</f>
        <v>副手武器</v>
      </c>
      <c r="E1273" s="1">
        <f>equip.xml!E1277</f>
        <v>6</v>
      </c>
      <c r="F1273" s="1">
        <f>equip.xml!F1277</f>
        <v>4</v>
      </c>
      <c r="G1273" s="1">
        <f>equip.xml!G1277</f>
        <v>60</v>
      </c>
      <c r="H1273" s="1" t="str">
        <f>equip.xml!H1277</f>
        <v>3,1003</v>
      </c>
      <c r="I1273" s="1">
        <f>equip.xml!J1277</f>
        <v>50</v>
      </c>
      <c r="J1273" s="1">
        <f>equip.xml!K1277</f>
        <v>500</v>
      </c>
      <c r="K1273" s="1">
        <f>equip.xml!L1277</f>
        <v>35000</v>
      </c>
      <c r="L1273" s="1" t="str">
        <f>equip.xml!M1277</f>
        <v>102_2704_2704</v>
      </c>
      <c r="M1273" s="7" t="str">
        <f>equip.xml!Q1277</f>
        <v>equipment/2301.png</v>
      </c>
      <c r="N1273" t="str">
        <f>equip.xml!P1277</f>
        <v>10000_1002_60000,30000_30001_1,30000_30002_1,30000_30003_1</v>
      </c>
    </row>
    <row r="1274" spans="1:14">
      <c r="A1274" s="1" t="str">
        <f>equip.xml!A1278</f>
        <v>40600040</v>
      </c>
      <c r="B1274" s="1">
        <f>equip.xml!B1278</f>
        <v>1</v>
      </c>
      <c r="C1274" s="1" t="str">
        <f>equip.xml!C1278</f>
        <v>明光战甲</v>
      </c>
      <c r="D1274" s="1" t="str">
        <f>equip.xml!D1278</f>
        <v>胸甲</v>
      </c>
      <c r="E1274" s="1">
        <f>equip.xml!E1278</f>
        <v>4</v>
      </c>
      <c r="F1274" s="1">
        <f>equip.xml!F1278</f>
        <v>4</v>
      </c>
      <c r="G1274" s="1">
        <f>equip.xml!G1278</f>
        <v>60</v>
      </c>
      <c r="H1274" s="1">
        <f>equip.xml!H1278</f>
        <v>0</v>
      </c>
      <c r="I1274" s="1">
        <f>equip.xml!J1278</f>
        <v>50</v>
      </c>
      <c r="J1274" s="1">
        <f>equip.xml!K1278</f>
        <v>500</v>
      </c>
      <c r="K1274" s="1">
        <f>equip.xml!L1278</f>
        <v>32500</v>
      </c>
      <c r="L1274" s="1" t="str">
        <f>equip.xml!M1278</f>
        <v>105_1377_1377</v>
      </c>
      <c r="M1274" s="7" t="str">
        <f>equip.xml!Q1278</f>
        <v>equipment/5016.png</v>
      </c>
      <c r="N1274" t="str">
        <f>equip.xml!P1278</f>
        <v>10000_1002_60000,30000_30001_1,30000_30002_1,30000_30003_1</v>
      </c>
    </row>
    <row r="1275" spans="1:14">
      <c r="A1275" s="1" t="str">
        <f>equip.xml!A1279</f>
        <v>40600041</v>
      </c>
      <c r="B1275" s="1">
        <f>equip.xml!B1279</f>
        <v>0</v>
      </c>
      <c r="C1275" s="1" t="str">
        <f>equip.xml!C1279</f>
        <v>龙骑战甲</v>
      </c>
      <c r="D1275" s="1" t="str">
        <f>equip.xml!D1279</f>
        <v>胸甲</v>
      </c>
      <c r="E1275" s="1">
        <f>equip.xml!E1279</f>
        <v>4</v>
      </c>
      <c r="F1275" s="1">
        <f>equip.xml!F1279</f>
        <v>4</v>
      </c>
      <c r="G1275" s="1">
        <f>equip.xml!G1279</f>
        <v>60</v>
      </c>
      <c r="H1275" s="1">
        <f>equip.xml!H1279</f>
        <v>0</v>
      </c>
      <c r="I1275" s="1">
        <f>equip.xml!J1279</f>
        <v>50</v>
      </c>
      <c r="J1275" s="1">
        <f>equip.xml!K1279</f>
        <v>500</v>
      </c>
      <c r="K1275" s="1">
        <f>equip.xml!L1279</f>
        <v>35000</v>
      </c>
      <c r="L1275" s="1" t="str">
        <f>equip.xml!M1279</f>
        <v>105_1477_1477</v>
      </c>
      <c r="M1275" s="7" t="str">
        <f>equip.xml!Q1279</f>
        <v>equipment/5001.png</v>
      </c>
      <c r="N1275" t="str">
        <f>equip.xml!P1279</f>
        <v>10000_1002_60000,30000_30001_1,30000_30002_1,30000_30003_1</v>
      </c>
    </row>
    <row r="1276" spans="1:14">
      <c r="A1276" s="1" t="str">
        <f>equip.xml!A1280</f>
        <v>40600070</v>
      </c>
      <c r="B1276" s="1">
        <f>equip.xml!B1280</f>
        <v>1</v>
      </c>
      <c r="C1276" s="1" t="str">
        <f>equip.xml!C1280</f>
        <v>深渊护腿</v>
      </c>
      <c r="D1276" s="1" t="str">
        <f>equip.xml!D1280</f>
        <v>护腿</v>
      </c>
      <c r="E1276" s="1">
        <f>equip.xml!E1280</f>
        <v>7</v>
      </c>
      <c r="F1276" s="1">
        <f>equip.xml!F1280</f>
        <v>4</v>
      </c>
      <c r="G1276" s="1">
        <f>equip.xml!G1280</f>
        <v>60</v>
      </c>
      <c r="H1276" s="1">
        <f>equip.xml!H1280</f>
        <v>0</v>
      </c>
      <c r="I1276" s="1">
        <f>equip.xml!J1280</f>
        <v>50</v>
      </c>
      <c r="J1276" s="1">
        <f>equip.xml!K1280</f>
        <v>500</v>
      </c>
      <c r="K1276" s="1">
        <f>equip.xml!L1280</f>
        <v>32500</v>
      </c>
      <c r="L1276" s="1" t="str">
        <f>equip.xml!M1280</f>
        <v>105_1152_1152</v>
      </c>
      <c r="M1276" s="7" t="str">
        <f>equip.xml!Q1280</f>
        <v>equipment/7014.png</v>
      </c>
      <c r="N1276" t="str">
        <f>equip.xml!P1280</f>
        <v>10000_1002_60000,30000_30001_1,30000_30002_1,30000_30003_1</v>
      </c>
    </row>
    <row r="1277" spans="1:14">
      <c r="A1277" s="1" t="str">
        <f>equip.xml!A1281</f>
        <v>40600071</v>
      </c>
      <c r="B1277" s="1">
        <f>equip.xml!B1281</f>
        <v>1</v>
      </c>
      <c r="C1277" s="1" t="str">
        <f>equip.xml!C1281</f>
        <v>光耀腿甲</v>
      </c>
      <c r="D1277" s="1" t="str">
        <f>equip.xml!D1281</f>
        <v>护腿</v>
      </c>
      <c r="E1277" s="1">
        <f>equip.xml!E1281</f>
        <v>7</v>
      </c>
      <c r="F1277" s="1">
        <f>equip.xml!F1281</f>
        <v>4</v>
      </c>
      <c r="G1277" s="1">
        <f>equip.xml!G1281</f>
        <v>60</v>
      </c>
      <c r="H1277" s="1">
        <f>equip.xml!H1281</f>
        <v>0</v>
      </c>
      <c r="I1277" s="1">
        <f>equip.xml!J1281</f>
        <v>50</v>
      </c>
      <c r="J1277" s="1">
        <f>equip.xml!K1281</f>
        <v>500</v>
      </c>
      <c r="K1277" s="1">
        <f>equip.xml!L1281</f>
        <v>35000</v>
      </c>
      <c r="L1277" s="1" t="str">
        <f>equip.xml!M1281</f>
        <v>105_1342_1342</v>
      </c>
      <c r="M1277" s="7" t="str">
        <f>equip.xml!Q1281</f>
        <v>equipment/7015.png</v>
      </c>
      <c r="N1277" t="str">
        <f>equip.xml!P1281</f>
        <v>10000_1002_60000,30000_30001_1,30000_30002_1,30000_30003_1</v>
      </c>
    </row>
    <row r="1278" spans="1:14">
      <c r="A1278" s="1" t="str">
        <f>equip.xml!A1282</f>
        <v>40650010</v>
      </c>
      <c r="B1278" s="1">
        <f>equip.xml!B1282</f>
        <v>1</v>
      </c>
      <c r="C1278" s="1" t="str">
        <f>equip.xml!C1282</f>
        <v>虚空之冠</v>
      </c>
      <c r="D1278" s="1" t="str">
        <f>equip.xml!D1282</f>
        <v>头盔</v>
      </c>
      <c r="E1278" s="1">
        <f>equip.xml!E1282</f>
        <v>1</v>
      </c>
      <c r="F1278" s="1">
        <f>equip.xml!F1282</f>
        <v>4</v>
      </c>
      <c r="G1278" s="1">
        <f>equip.xml!G1282</f>
        <v>65</v>
      </c>
      <c r="H1278" s="1">
        <f>equip.xml!H1282</f>
        <v>0</v>
      </c>
      <c r="I1278" s="1">
        <f>equip.xml!J1282</f>
        <v>50</v>
      </c>
      <c r="J1278" s="1">
        <f>equip.xml!K1282</f>
        <v>500</v>
      </c>
      <c r="K1278" s="1">
        <f>equip.xml!L1282</f>
        <v>35000</v>
      </c>
      <c r="L1278" s="1" t="str">
        <f>equip.xml!M1282</f>
        <v>106_2015_2015</v>
      </c>
      <c r="M1278" s="7" t="str">
        <f>equip.xml!Q1282</f>
        <v>equipment/3011.png</v>
      </c>
      <c r="N1278" t="str">
        <f>equip.xml!P1282</f>
        <v>10000_1002_65000,30000_30001_1,30000_30002_1,30000_30003_1</v>
      </c>
    </row>
    <row r="1279" spans="1:14">
      <c r="A1279" s="1" t="str">
        <f>equip.xml!A1283</f>
        <v>40650020</v>
      </c>
      <c r="B1279" s="1">
        <f>equip.xml!B1283</f>
        <v>1</v>
      </c>
      <c r="C1279" s="1" t="str">
        <f>equip.xml!C1283</f>
        <v>圣火指环</v>
      </c>
      <c r="D1279" s="1" t="str">
        <f>equip.xml!D1283</f>
        <v>戒指</v>
      </c>
      <c r="E1279" s="1">
        <f>equip.xml!E1283</f>
        <v>2</v>
      </c>
      <c r="F1279" s="1">
        <f>equip.xml!F1283</f>
        <v>4</v>
      </c>
      <c r="G1279" s="1">
        <f>equip.xml!G1283</f>
        <v>65</v>
      </c>
      <c r="H1279" s="1">
        <f>equip.xml!H1283</f>
        <v>0</v>
      </c>
      <c r="I1279" s="1">
        <f>equip.xml!J1283</f>
        <v>50</v>
      </c>
      <c r="J1279" s="1">
        <f>equip.xml!K1283</f>
        <v>500</v>
      </c>
      <c r="K1279" s="1">
        <f>equip.xml!L1283</f>
        <v>35000</v>
      </c>
      <c r="L1279" s="1" t="str">
        <f>equip.xml!M1283</f>
        <v>102_1470_1470</v>
      </c>
      <c r="M1279" s="7" t="str">
        <f>equip.xml!Q1283</f>
        <v>equipment/14011.png</v>
      </c>
      <c r="N1279" t="str">
        <f>equip.xml!P1283</f>
        <v>10000_1002_65000,30000_30001_1,30000_30002_1,30000_30003_1</v>
      </c>
    </row>
    <row r="1280" spans="1:14">
      <c r="A1280" s="1" t="str">
        <f>equip.xml!A1284</f>
        <v>40650030</v>
      </c>
      <c r="B1280" s="1">
        <f>equip.xml!B1284</f>
        <v>1</v>
      </c>
      <c r="C1280" s="1" t="str">
        <f>equip.xml!C1284</f>
        <v>统御腰带</v>
      </c>
      <c r="D1280" s="1" t="str">
        <f>equip.xml!D1284</f>
        <v>腰带</v>
      </c>
      <c r="E1280" s="1">
        <f>equip.xml!E1284</f>
        <v>3</v>
      </c>
      <c r="F1280" s="1">
        <f>equip.xml!F1284</f>
        <v>4</v>
      </c>
      <c r="G1280" s="1">
        <f>equip.xml!G1284</f>
        <v>65</v>
      </c>
      <c r="H1280" s="1">
        <f>equip.xml!H1284</f>
        <v>0</v>
      </c>
      <c r="I1280" s="1">
        <f>equip.xml!J1284</f>
        <v>50</v>
      </c>
      <c r="J1280" s="1">
        <f>equip.xml!K1284</f>
        <v>500</v>
      </c>
      <c r="K1280" s="1">
        <f>equip.xml!L1284</f>
        <v>35000</v>
      </c>
      <c r="L1280" s="1" t="str">
        <f>equip.xml!M1284</f>
        <v>101_16900_16900</v>
      </c>
      <c r="M1280" s="7" t="str">
        <f>equip.xml!Q1284</f>
        <v>equipment/6011.png</v>
      </c>
      <c r="N1280" t="str">
        <f>equip.xml!P1284</f>
        <v>10000_1002_65000,30000_30001_1,30000_30002_1,30000_30003_1</v>
      </c>
    </row>
    <row r="1281" spans="1:14">
      <c r="A1281" s="1" t="str">
        <f>equip.xml!A1285</f>
        <v>40650080</v>
      </c>
      <c r="B1281" s="1">
        <f>equip.xml!B1285</f>
        <v>1</v>
      </c>
      <c r="C1281" s="1" t="str">
        <f>equip.xml!C1285</f>
        <v>狱火战靴</v>
      </c>
      <c r="D1281" s="1" t="str">
        <f>equip.xml!D1285</f>
        <v>鞋子</v>
      </c>
      <c r="E1281" s="1">
        <f>equip.xml!E1285</f>
        <v>8</v>
      </c>
      <c r="F1281" s="1">
        <f>equip.xml!F1285</f>
        <v>4</v>
      </c>
      <c r="G1281" s="1">
        <f>equip.xml!G1285</f>
        <v>65</v>
      </c>
      <c r="H1281" s="1">
        <f>equip.xml!H1285</f>
        <v>0</v>
      </c>
      <c r="I1281" s="1">
        <f>equip.xml!J1285</f>
        <v>50</v>
      </c>
      <c r="J1281" s="1">
        <f>equip.xml!K1285</f>
        <v>500</v>
      </c>
      <c r="K1281" s="1">
        <f>equip.xml!L1285</f>
        <v>35000</v>
      </c>
      <c r="L1281" s="1" t="str">
        <f>equip.xml!M1285</f>
        <v>110_352_352</v>
      </c>
      <c r="M1281" s="7" t="str">
        <f>equip.xml!Q1285</f>
        <v>equipment/8011.png</v>
      </c>
      <c r="N1281" t="str">
        <f>equip.xml!P1285</f>
        <v>10000_1002_65000,30000_30001_1,30000_30002_1,30000_30003_1</v>
      </c>
    </row>
    <row r="1282" spans="1:14">
      <c r="A1282" s="1" t="str">
        <f>equip.xml!A1286</f>
        <v>40650090</v>
      </c>
      <c r="B1282" s="1">
        <f>equip.xml!B1286</f>
        <v>1</v>
      </c>
      <c r="C1282" s="1" t="str">
        <f>equip.xml!C1286</f>
        <v>荣耀先驱护手</v>
      </c>
      <c r="D1282" s="1" t="str">
        <f>equip.xml!D1286</f>
        <v>手套</v>
      </c>
      <c r="E1282" s="1">
        <f>equip.xml!E1286</f>
        <v>9</v>
      </c>
      <c r="F1282" s="1">
        <f>equip.xml!F1286</f>
        <v>4</v>
      </c>
      <c r="G1282" s="1">
        <f>equip.xml!G1286</f>
        <v>65</v>
      </c>
      <c r="H1282" s="1">
        <f>equip.xml!H1286</f>
        <v>0</v>
      </c>
      <c r="I1282" s="1">
        <f>equip.xml!J1286</f>
        <v>50</v>
      </c>
      <c r="J1282" s="1">
        <f>equip.xml!K1286</f>
        <v>500</v>
      </c>
      <c r="K1282" s="1">
        <f>equip.xml!L1286</f>
        <v>35000</v>
      </c>
      <c r="L1282" s="1" t="str">
        <f>equip.xml!M1286</f>
        <v>108_3884_3884</v>
      </c>
      <c r="M1282" s="7" t="str">
        <f>equip.xml!Q1286</f>
        <v>equipment/10011.png</v>
      </c>
      <c r="N1282" t="str">
        <f>equip.xml!P1286</f>
        <v>10000_1002_65000,30000_30001_1,30000_30002_1,30000_30003_1</v>
      </c>
    </row>
    <row r="1283" spans="1:14">
      <c r="A1283" s="1" t="str">
        <f>equip.xml!A1287</f>
        <v>40650100</v>
      </c>
      <c r="B1283" s="1">
        <f>equip.xml!B1287</f>
        <v>1</v>
      </c>
      <c r="C1283" s="1" t="str">
        <f>equip.xml!C1287</f>
        <v>救赎坠饰</v>
      </c>
      <c r="D1283" s="1" t="str">
        <f>equip.xml!D1287</f>
        <v>项链</v>
      </c>
      <c r="E1283" s="1">
        <f>equip.xml!E1287</f>
        <v>10</v>
      </c>
      <c r="F1283" s="1">
        <f>equip.xml!F1287</f>
        <v>4</v>
      </c>
      <c r="G1283" s="1">
        <f>equip.xml!G1287</f>
        <v>65</v>
      </c>
      <c r="H1283" s="1">
        <f>equip.xml!H1287</f>
        <v>0</v>
      </c>
      <c r="I1283" s="1">
        <f>equip.xml!J1287</f>
        <v>50</v>
      </c>
      <c r="J1283" s="1">
        <f>equip.xml!K1287</f>
        <v>500</v>
      </c>
      <c r="K1283" s="1">
        <f>equip.xml!L1287</f>
        <v>35000</v>
      </c>
      <c r="L1283" s="1" t="str">
        <f>equip.xml!M1287</f>
        <v>107_2015_2015</v>
      </c>
      <c r="M1283" s="7" t="str">
        <f>equip.xml!Q1287</f>
        <v>equipment/12011.png</v>
      </c>
      <c r="N1283" t="str">
        <f>equip.xml!P1287</f>
        <v>10000_1002_65000,30000_30001_1,30000_30002_1,30000_30003_1</v>
      </c>
    </row>
    <row r="1284" spans="1:14">
      <c r="A1284" s="1" t="str">
        <f>equip.xml!A1288</f>
        <v>40651050</v>
      </c>
      <c r="B1284" s="1">
        <f>equip.xml!B1288</f>
        <v>1</v>
      </c>
      <c r="C1284" s="1" t="str">
        <f>equip.xml!C1288</f>
        <v>魂歌之刃</v>
      </c>
      <c r="D1284" s="1" t="str">
        <f>equip.xml!D1288</f>
        <v>主手武器</v>
      </c>
      <c r="E1284" s="1">
        <f>equip.xml!E1288</f>
        <v>5</v>
      </c>
      <c r="F1284" s="1">
        <f>equip.xml!F1288</f>
        <v>4</v>
      </c>
      <c r="G1284" s="1">
        <f>equip.xml!G1288</f>
        <v>65</v>
      </c>
      <c r="H1284" s="1" t="str">
        <f>equip.xml!H1288</f>
        <v>1,1001</v>
      </c>
      <c r="I1284" s="1">
        <f>equip.xml!J1288</f>
        <v>50</v>
      </c>
      <c r="J1284" s="1">
        <f>equip.xml!K1288</f>
        <v>500</v>
      </c>
      <c r="K1284" s="1">
        <f>equip.xml!L1288</f>
        <v>35000</v>
      </c>
      <c r="L1284" s="1" t="str">
        <f>equip.xml!M1288</f>
        <v>103_2619_2619,104_5238_5238</v>
      </c>
      <c r="M1284" s="7" t="str">
        <f>equip.xml!Q1288</f>
        <v>equipment/1123.png</v>
      </c>
      <c r="N1284" t="str">
        <f>equip.xml!P1288</f>
        <v>10000_1002_65000,30000_30001_1,30000_30002_1,30000_30003_1</v>
      </c>
    </row>
    <row r="1285" spans="1:14">
      <c r="A1285" s="1" t="str">
        <f>equip.xml!A1289</f>
        <v>40651051</v>
      </c>
      <c r="B1285" s="1">
        <f>equip.xml!B1289</f>
        <v>0</v>
      </c>
      <c r="C1285" s="1" t="str">
        <f>equip.xml!C1289</f>
        <v>命运</v>
      </c>
      <c r="D1285" s="1" t="str">
        <f>equip.xml!D1289</f>
        <v>主手武器</v>
      </c>
      <c r="E1285" s="1">
        <f>equip.xml!E1289</f>
        <v>5</v>
      </c>
      <c r="F1285" s="1">
        <f>equip.xml!F1289</f>
        <v>4</v>
      </c>
      <c r="G1285" s="1">
        <f>equip.xml!G1289</f>
        <v>65</v>
      </c>
      <c r="H1285" s="1" t="str">
        <f>equip.xml!H1289</f>
        <v>1,1001</v>
      </c>
      <c r="I1285" s="1">
        <f>equip.xml!J1289</f>
        <v>50</v>
      </c>
      <c r="J1285" s="1">
        <f>equip.xml!K1289</f>
        <v>500</v>
      </c>
      <c r="K1285" s="1">
        <f>equip.xml!L1289</f>
        <v>37500</v>
      </c>
      <c r="L1285" s="1" t="str">
        <f>equip.xml!M1289</f>
        <v>103_2854_2854,104_5708_5708</v>
      </c>
      <c r="M1285" s="7" t="str">
        <f>equip.xml!Q1289</f>
        <v>equipment/1101.png</v>
      </c>
      <c r="N1285" t="str">
        <f>equip.xml!P1289</f>
        <v>10000_1002_65000,30000_30001_1,30000_30002_1,30000_30003_1</v>
      </c>
    </row>
    <row r="1286" spans="1:14">
      <c r="A1286" s="1" t="str">
        <f>equip.xml!A1290</f>
        <v>40651060</v>
      </c>
      <c r="B1286" s="1">
        <f>equip.xml!B1290</f>
        <v>1</v>
      </c>
      <c r="C1286" s="1" t="str">
        <f>equip.xml!C1290</f>
        <v>日怒之盾</v>
      </c>
      <c r="D1286" s="1" t="str">
        <f>equip.xml!D1290</f>
        <v>副手武器</v>
      </c>
      <c r="E1286" s="1">
        <f>equip.xml!E1290</f>
        <v>6</v>
      </c>
      <c r="F1286" s="1">
        <f>equip.xml!F1290</f>
        <v>4</v>
      </c>
      <c r="G1286" s="1">
        <f>equip.xml!G1290</f>
        <v>65</v>
      </c>
      <c r="H1286" s="1" t="str">
        <f>equip.xml!H1290</f>
        <v>1,1001</v>
      </c>
      <c r="I1286" s="1">
        <f>equip.xml!J1290</f>
        <v>50</v>
      </c>
      <c r="J1286" s="1">
        <f>equip.xml!K1290</f>
        <v>500</v>
      </c>
      <c r="K1286" s="1">
        <f>equip.xml!L1290</f>
        <v>35000</v>
      </c>
      <c r="L1286" s="1" t="str">
        <f>equip.xml!M1290</f>
        <v>105_2988_2988</v>
      </c>
      <c r="M1286" s="7" t="str">
        <f>equip.xml!Q1290</f>
        <v>equipment/2116.png</v>
      </c>
      <c r="N1286" t="str">
        <f>equip.xml!P1290</f>
        <v>10000_1002_65000,30000_30001_1,30000_30002_1,30000_30003_1</v>
      </c>
    </row>
    <row r="1287" spans="1:14">
      <c r="A1287" s="1" t="str">
        <f>equip.xml!A1291</f>
        <v>40651061</v>
      </c>
      <c r="B1287" s="1">
        <f>equip.xml!B1291</f>
        <v>0</v>
      </c>
      <c r="C1287" s="1" t="str">
        <f>equip.xml!C1291</f>
        <v>尖头盾</v>
      </c>
      <c r="D1287" s="1" t="str">
        <f>equip.xml!D1291</f>
        <v>副手武器</v>
      </c>
      <c r="E1287" s="1">
        <f>equip.xml!E1291</f>
        <v>6</v>
      </c>
      <c r="F1287" s="1">
        <f>equip.xml!F1291</f>
        <v>4</v>
      </c>
      <c r="G1287" s="1">
        <f>equip.xml!G1291</f>
        <v>65</v>
      </c>
      <c r="H1287" s="1" t="str">
        <f>equip.xml!H1291</f>
        <v>1,1001</v>
      </c>
      <c r="I1287" s="1">
        <f>equip.xml!J1291</f>
        <v>50</v>
      </c>
      <c r="J1287" s="1">
        <f>equip.xml!K1291</f>
        <v>500</v>
      </c>
      <c r="K1287" s="1">
        <f>equip.xml!L1291</f>
        <v>37500</v>
      </c>
      <c r="L1287" s="1" t="str">
        <f>equip.xml!M1291</f>
        <v>105_2988_2988</v>
      </c>
      <c r="M1287" s="7" t="str">
        <f>equip.xml!Q1291</f>
        <v>equipment/2101.png</v>
      </c>
      <c r="N1287" t="str">
        <f>equip.xml!P1291</f>
        <v>10000_1002_65000,30000_30001_1,30000_30002_1,30000_30003_1</v>
      </c>
    </row>
    <row r="1288" spans="1:14">
      <c r="A1288" s="1" t="str">
        <f>equip.xml!A1292</f>
        <v>40652050</v>
      </c>
      <c r="B1288" s="1">
        <f>equip.xml!B1292</f>
        <v>1</v>
      </c>
      <c r="C1288" s="1" t="str">
        <f>equip.xml!C1292</f>
        <v>憎恨之击</v>
      </c>
      <c r="D1288" s="1" t="str">
        <f>equip.xml!D1292</f>
        <v>主手武器</v>
      </c>
      <c r="E1288" s="1">
        <f>equip.xml!E1292</f>
        <v>5</v>
      </c>
      <c r="F1288" s="1">
        <f>equip.xml!F1292</f>
        <v>4</v>
      </c>
      <c r="G1288" s="1">
        <f>equip.xml!G1292</f>
        <v>65</v>
      </c>
      <c r="H1288" s="1" t="str">
        <f>equip.xml!H1292</f>
        <v>2,1002</v>
      </c>
      <c r="I1288" s="1">
        <f>equip.xml!J1292</f>
        <v>50</v>
      </c>
      <c r="J1288" s="1">
        <f>equip.xml!K1292</f>
        <v>500</v>
      </c>
      <c r="K1288" s="1">
        <f>equip.xml!L1292</f>
        <v>35000</v>
      </c>
      <c r="L1288" s="1" t="str">
        <f>equip.xml!M1292</f>
        <v>103_2619_2619,104_5238_5238</v>
      </c>
      <c r="M1288" s="7" t="str">
        <f>equip.xml!Q1292</f>
        <v>equipment/1224.png</v>
      </c>
      <c r="N1288" t="str">
        <f>equip.xml!P1292</f>
        <v>10000_1002_65000,30000_30001_1,30000_30002_1,30000_30003_1</v>
      </c>
    </row>
    <row r="1289" spans="1:14">
      <c r="A1289" s="1" t="str">
        <f>equip.xml!A1293</f>
        <v>40652051</v>
      </c>
      <c r="B1289" s="1">
        <f>equip.xml!B1293</f>
        <v>0</v>
      </c>
      <c r="C1289" s="1" t="str">
        <f>equip.xml!C1293</f>
        <v>日怒凰弓</v>
      </c>
      <c r="D1289" s="1" t="str">
        <f>equip.xml!D1293</f>
        <v>主手武器</v>
      </c>
      <c r="E1289" s="1">
        <f>equip.xml!E1293</f>
        <v>5</v>
      </c>
      <c r="F1289" s="1">
        <f>equip.xml!F1293</f>
        <v>4</v>
      </c>
      <c r="G1289" s="1">
        <f>equip.xml!G1293</f>
        <v>65</v>
      </c>
      <c r="H1289" s="1" t="str">
        <f>equip.xml!H1293</f>
        <v>2,1002</v>
      </c>
      <c r="I1289" s="1">
        <f>equip.xml!J1293</f>
        <v>50</v>
      </c>
      <c r="J1289" s="1">
        <f>equip.xml!K1293</f>
        <v>500</v>
      </c>
      <c r="K1289" s="1">
        <f>equip.xml!L1293</f>
        <v>37500</v>
      </c>
      <c r="L1289" s="1" t="str">
        <f>equip.xml!M1293</f>
        <v>103_2854_2854,104_5708_5708</v>
      </c>
      <c r="M1289" s="7" t="str">
        <f>equip.xml!Q1293</f>
        <v>equipment/1201.png</v>
      </c>
      <c r="N1289" t="str">
        <f>equip.xml!P1293</f>
        <v>10000_1002_65000,30000_30001_1,30000_30002_1,30000_30003_1</v>
      </c>
    </row>
    <row r="1290" spans="1:14">
      <c r="A1290" s="1" t="str">
        <f>equip.xml!A1294</f>
        <v>40652060</v>
      </c>
      <c r="B1290" s="1">
        <f>equip.xml!B1294</f>
        <v>1</v>
      </c>
      <c r="C1290" s="1" t="str">
        <f>equip.xml!C1294</f>
        <v>追噬之矢</v>
      </c>
      <c r="D1290" s="1" t="str">
        <f>equip.xml!D1294</f>
        <v>副手武器</v>
      </c>
      <c r="E1290" s="1">
        <f>equip.xml!E1294</f>
        <v>6</v>
      </c>
      <c r="F1290" s="1">
        <f>equip.xml!F1294</f>
        <v>4</v>
      </c>
      <c r="G1290" s="1">
        <f>equip.xml!G1294</f>
        <v>65</v>
      </c>
      <c r="H1290" s="1" t="str">
        <f>equip.xml!H1294</f>
        <v>2,1002</v>
      </c>
      <c r="I1290" s="1">
        <f>equip.xml!J1294</f>
        <v>50</v>
      </c>
      <c r="J1290" s="1">
        <f>equip.xml!K1294</f>
        <v>500</v>
      </c>
      <c r="K1290" s="1">
        <f>equip.xml!L1294</f>
        <v>35000</v>
      </c>
      <c r="L1290" s="1" t="str">
        <f>equip.xml!M1294</f>
        <v>108_2988_2988</v>
      </c>
      <c r="M1290" s="7" t="str">
        <f>equip.xml!Q1294</f>
        <v>equipment/2216.png</v>
      </c>
      <c r="N1290" t="str">
        <f>equip.xml!P1294</f>
        <v>10000_1002_65000,30000_30001_1,30000_30002_1,30000_30003_1</v>
      </c>
    </row>
    <row r="1291" spans="1:14">
      <c r="A1291" s="1" t="str">
        <f>equip.xml!A1295</f>
        <v>40652061</v>
      </c>
      <c r="B1291" s="1">
        <f>equip.xml!B1295</f>
        <v>0</v>
      </c>
      <c r="C1291" s="1" t="str">
        <f>equip.xml!C1295</f>
        <v>箭筒</v>
      </c>
      <c r="D1291" s="1" t="str">
        <f>equip.xml!D1295</f>
        <v>副手武器</v>
      </c>
      <c r="E1291" s="1">
        <f>equip.xml!E1295</f>
        <v>6</v>
      </c>
      <c r="F1291" s="1">
        <f>equip.xml!F1295</f>
        <v>4</v>
      </c>
      <c r="G1291" s="1">
        <f>equip.xml!G1295</f>
        <v>65</v>
      </c>
      <c r="H1291" s="1" t="str">
        <f>equip.xml!H1295</f>
        <v>2,1002</v>
      </c>
      <c r="I1291" s="1">
        <f>equip.xml!J1295</f>
        <v>50</v>
      </c>
      <c r="J1291" s="1">
        <f>equip.xml!K1295</f>
        <v>500</v>
      </c>
      <c r="K1291" s="1">
        <f>equip.xml!L1295</f>
        <v>37500</v>
      </c>
      <c r="L1291" s="1" t="str">
        <f>equip.xml!M1295</f>
        <v>108_2988_2988</v>
      </c>
      <c r="M1291" s="7" t="str">
        <f>equip.xml!Q1295</f>
        <v>equipment/2201.png</v>
      </c>
      <c r="N1291" t="str">
        <f>equip.xml!P1295</f>
        <v>10000_1002_65000,30000_30001_1,30000_30002_1,30000_30003_1</v>
      </c>
    </row>
    <row r="1292" spans="1:14">
      <c r="A1292" s="1" t="str">
        <f>equip.xml!A1296</f>
        <v>40653050</v>
      </c>
      <c r="B1292" s="1">
        <f>equip.xml!B1296</f>
        <v>1</v>
      </c>
      <c r="C1292" s="1" t="str">
        <f>equip.xml!C1296</f>
        <v>时轮金杖</v>
      </c>
      <c r="D1292" s="1" t="str">
        <f>equip.xml!D1296</f>
        <v>主手武器</v>
      </c>
      <c r="E1292" s="1">
        <f>equip.xml!E1296</f>
        <v>5</v>
      </c>
      <c r="F1292" s="1">
        <f>equip.xml!F1296</f>
        <v>4</v>
      </c>
      <c r="G1292" s="1">
        <f>equip.xml!G1296</f>
        <v>65</v>
      </c>
      <c r="H1292" s="1" t="str">
        <f>equip.xml!H1296</f>
        <v>3,1003</v>
      </c>
      <c r="I1292" s="1">
        <f>equip.xml!J1296</f>
        <v>50</v>
      </c>
      <c r="J1292" s="1">
        <f>equip.xml!K1296</f>
        <v>500</v>
      </c>
      <c r="K1292" s="1">
        <f>equip.xml!L1296</f>
        <v>35000</v>
      </c>
      <c r="L1292" s="1" t="str">
        <f>equip.xml!M1296</f>
        <v>103_2619_2619,104_5238_5238</v>
      </c>
      <c r="M1292" s="7" t="str">
        <f>equip.xml!Q1296</f>
        <v>equipment/1323.png</v>
      </c>
      <c r="N1292" t="str">
        <f>equip.xml!P1296</f>
        <v>10000_1002_65000,30000_30001_1,30000_30002_1,30000_30003_1</v>
      </c>
    </row>
    <row r="1293" spans="1:14">
      <c r="A1293" s="1" t="str">
        <f>equip.xml!A1297</f>
        <v>40653051</v>
      </c>
      <c r="B1293" s="1">
        <f>equip.xml!B1297</f>
        <v>0</v>
      </c>
      <c r="C1293" s="1" t="str">
        <f>equip.xml!C1297</f>
        <v>学徒法杖</v>
      </c>
      <c r="D1293" s="1" t="str">
        <f>equip.xml!D1297</f>
        <v>主手武器</v>
      </c>
      <c r="E1293" s="1">
        <f>equip.xml!E1297</f>
        <v>5</v>
      </c>
      <c r="F1293" s="1">
        <f>equip.xml!F1297</f>
        <v>4</v>
      </c>
      <c r="G1293" s="1">
        <f>equip.xml!G1297</f>
        <v>65</v>
      </c>
      <c r="H1293" s="1" t="str">
        <f>equip.xml!H1297</f>
        <v>3,1003</v>
      </c>
      <c r="I1293" s="1">
        <f>equip.xml!J1297</f>
        <v>50</v>
      </c>
      <c r="J1293" s="1">
        <f>equip.xml!K1297</f>
        <v>500</v>
      </c>
      <c r="K1293" s="1">
        <f>equip.xml!L1297</f>
        <v>37500</v>
      </c>
      <c r="L1293" s="1" t="str">
        <f>equip.xml!M1297</f>
        <v>103_2854_2854,104_5708_5708</v>
      </c>
      <c r="M1293" s="7" t="str">
        <f>equip.xml!Q1297</f>
        <v>equipment/1301.png</v>
      </c>
      <c r="N1293" t="str">
        <f>equip.xml!P1297</f>
        <v>10000_1002_65000,30000_30001_1,30000_30002_1,30000_30003_1</v>
      </c>
    </row>
    <row r="1294" spans="1:14">
      <c r="A1294" s="1" t="str">
        <f>equip.xml!A1298</f>
        <v>40653060</v>
      </c>
      <c r="B1294" s="1">
        <f>equip.xml!B1298</f>
        <v>1</v>
      </c>
      <c r="C1294" s="1" t="str">
        <f>equip.xml!C1298</f>
        <v>龙语秘典</v>
      </c>
      <c r="D1294" s="1" t="str">
        <f>equip.xml!D1298</f>
        <v>副手武器</v>
      </c>
      <c r="E1294" s="1">
        <f>equip.xml!E1298</f>
        <v>6</v>
      </c>
      <c r="F1294" s="1">
        <f>equip.xml!F1298</f>
        <v>4</v>
      </c>
      <c r="G1294" s="1">
        <f>equip.xml!G1298</f>
        <v>65</v>
      </c>
      <c r="H1294" s="1" t="str">
        <f>equip.xml!H1298</f>
        <v>3,1003</v>
      </c>
      <c r="I1294" s="1">
        <f>equip.xml!J1298</f>
        <v>50</v>
      </c>
      <c r="J1294" s="1">
        <f>equip.xml!K1298</f>
        <v>500</v>
      </c>
      <c r="K1294" s="1">
        <f>equip.xml!L1298</f>
        <v>35000</v>
      </c>
      <c r="L1294" s="1" t="str">
        <f>equip.xml!M1298</f>
        <v>102_2620_2620</v>
      </c>
      <c r="M1294" s="7" t="str">
        <f>equip.xml!Q1298</f>
        <v>equipment/2317.png</v>
      </c>
      <c r="N1294" t="str">
        <f>equip.xml!P1298</f>
        <v>10000_1002_65000,30000_30001_1,30000_30002_1,30000_30003_1</v>
      </c>
    </row>
    <row r="1295" spans="1:14">
      <c r="A1295" s="1" t="str">
        <f>equip.xml!A1299</f>
        <v>40653061</v>
      </c>
      <c r="B1295" s="1">
        <f>equip.xml!B1299</f>
        <v>0</v>
      </c>
      <c r="C1295" s="1" t="str">
        <f>equip.xml!C1299</f>
        <v>法术指南</v>
      </c>
      <c r="D1295" s="1" t="str">
        <f>equip.xml!D1299</f>
        <v>副手武器</v>
      </c>
      <c r="E1295" s="1">
        <f>equip.xml!E1299</f>
        <v>6</v>
      </c>
      <c r="F1295" s="1">
        <f>equip.xml!F1299</f>
        <v>4</v>
      </c>
      <c r="G1295" s="1">
        <f>equip.xml!G1299</f>
        <v>65</v>
      </c>
      <c r="H1295" s="1" t="str">
        <f>equip.xml!H1299</f>
        <v>3,1003</v>
      </c>
      <c r="I1295" s="1">
        <f>equip.xml!J1299</f>
        <v>50</v>
      </c>
      <c r="J1295" s="1">
        <f>equip.xml!K1299</f>
        <v>500</v>
      </c>
      <c r="K1295" s="1">
        <f>equip.xml!L1299</f>
        <v>37500</v>
      </c>
      <c r="L1295" s="1" t="str">
        <f>equip.xml!M1299</f>
        <v>102_2988_2988</v>
      </c>
      <c r="M1295" s="7" t="str">
        <f>equip.xml!Q1299</f>
        <v>equipment/2301.png</v>
      </c>
      <c r="N1295" t="str">
        <f>equip.xml!P1299</f>
        <v>10000_1002_65000,30000_30001_1,30000_30002_1,30000_30003_1</v>
      </c>
    </row>
    <row r="1296" spans="1:14">
      <c r="A1296" s="1" t="str">
        <f>equip.xml!A1300</f>
        <v>40650040</v>
      </c>
      <c r="B1296" s="1">
        <f>equip.xml!B1300</f>
        <v>1</v>
      </c>
      <c r="C1296" s="1" t="str">
        <f>equip.xml!C1300</f>
        <v>末世胸铠</v>
      </c>
      <c r="D1296" s="1" t="str">
        <f>equip.xml!D1300</f>
        <v>胸甲</v>
      </c>
      <c r="E1296" s="1">
        <f>equip.xml!E1300</f>
        <v>4</v>
      </c>
      <c r="F1296" s="1">
        <f>equip.xml!F1300</f>
        <v>4</v>
      </c>
      <c r="G1296" s="1">
        <f>equip.xml!G1300</f>
        <v>65</v>
      </c>
      <c r="H1296" s="1">
        <f>equip.xml!H1300</f>
        <v>0</v>
      </c>
      <c r="I1296" s="1">
        <f>equip.xml!J1300</f>
        <v>50</v>
      </c>
      <c r="J1296" s="1">
        <f>equip.xml!K1300</f>
        <v>500</v>
      </c>
      <c r="K1296" s="1">
        <f>equip.xml!L1300</f>
        <v>35000</v>
      </c>
      <c r="L1296" s="1" t="str">
        <f>equip.xml!M1300</f>
        <v>105_1628_1628</v>
      </c>
      <c r="M1296" s="7" t="str">
        <f>equip.xml!Q1300</f>
        <v>equipment/5017.png</v>
      </c>
      <c r="N1296" t="str">
        <f>equip.xml!P1300</f>
        <v>10000_1002_65000,30000_30001_1,30000_30002_1,30000_30003_1</v>
      </c>
    </row>
    <row r="1297" spans="1:14">
      <c r="A1297" s="1" t="str">
        <f>equip.xml!A1301</f>
        <v>40650041</v>
      </c>
      <c r="B1297" s="1">
        <f>equip.xml!B1301</f>
        <v>0</v>
      </c>
      <c r="C1297" s="1" t="str">
        <f>equip.xml!C1301</f>
        <v>新兵外套</v>
      </c>
      <c r="D1297" s="1" t="str">
        <f>equip.xml!D1301</f>
        <v>胸甲</v>
      </c>
      <c r="E1297" s="1">
        <f>equip.xml!E1301</f>
        <v>4</v>
      </c>
      <c r="F1297" s="1">
        <f>equip.xml!F1301</f>
        <v>4</v>
      </c>
      <c r="G1297" s="1">
        <f>equip.xml!G1301</f>
        <v>65</v>
      </c>
      <c r="H1297" s="1">
        <f>equip.xml!H1301</f>
        <v>0</v>
      </c>
      <c r="I1297" s="1">
        <f>equip.xml!J1301</f>
        <v>50</v>
      </c>
      <c r="J1297" s="1">
        <f>equip.xml!K1301</f>
        <v>500</v>
      </c>
      <c r="K1297" s="1">
        <f>equip.xml!L1301</f>
        <v>37500</v>
      </c>
      <c r="L1297" s="1" t="str">
        <f>equip.xml!M1301</f>
        <v>105_1628_1628</v>
      </c>
      <c r="M1297" s="7" t="str">
        <f>equip.xml!Q1301</f>
        <v>equipment/5001.png</v>
      </c>
      <c r="N1297" t="str">
        <f>equip.xml!P1301</f>
        <v>10000_1002_65000,30000_30001_1,30000_30002_1,30000_30003_1</v>
      </c>
    </row>
    <row r="1298" spans="1:14">
      <c r="A1298" s="1" t="str">
        <f>equip.xml!A1302</f>
        <v>40650070</v>
      </c>
      <c r="B1298" s="1">
        <f>equip.xml!B1302</f>
        <v>1</v>
      </c>
      <c r="C1298" s="1" t="str">
        <f>equip.xml!C1302</f>
        <v>止战腿甲</v>
      </c>
      <c r="D1298" s="1" t="str">
        <f>equip.xml!D1302</f>
        <v>护腿</v>
      </c>
      <c r="E1298" s="1">
        <f>equip.xml!E1302</f>
        <v>7</v>
      </c>
      <c r="F1298" s="1">
        <f>equip.xml!F1302</f>
        <v>4</v>
      </c>
      <c r="G1298" s="1">
        <f>equip.xml!G1302</f>
        <v>65</v>
      </c>
      <c r="H1298" s="1">
        <f>equip.xml!H1302</f>
        <v>0</v>
      </c>
      <c r="I1298" s="1">
        <f>equip.xml!J1302</f>
        <v>50</v>
      </c>
      <c r="J1298" s="1">
        <f>equip.xml!K1302</f>
        <v>500</v>
      </c>
      <c r="K1298" s="1">
        <f>equip.xml!L1302</f>
        <v>35000</v>
      </c>
      <c r="L1298" s="1" t="str">
        <f>equip.xml!M1302</f>
        <v>105_1627_1627</v>
      </c>
      <c r="M1298" s="7" t="str">
        <f>equip.xml!Q1302</f>
        <v>equipment/7017.png</v>
      </c>
      <c r="N1298" t="str">
        <f>equip.xml!P1302</f>
        <v>10000_1002_65000,30000_30001_1,30000_30002_1,30000_30003_1</v>
      </c>
    </row>
    <row r="1299" spans="1:14">
      <c r="A1299" s="1" t="str">
        <f>equip.xml!A1303</f>
        <v>40650071</v>
      </c>
      <c r="B1299" s="1">
        <f>equip.xml!B1303</f>
        <v>0</v>
      </c>
      <c r="C1299" s="1" t="str">
        <f>equip.xml!C1303</f>
        <v>学徒短裤</v>
      </c>
      <c r="D1299" s="1" t="str">
        <f>equip.xml!D1303</f>
        <v>护腿</v>
      </c>
      <c r="E1299" s="1">
        <f>equip.xml!E1303</f>
        <v>7</v>
      </c>
      <c r="F1299" s="1">
        <f>equip.xml!F1303</f>
        <v>4</v>
      </c>
      <c r="G1299" s="1">
        <f>equip.xml!G1303</f>
        <v>65</v>
      </c>
      <c r="H1299" s="1">
        <f>equip.xml!H1303</f>
        <v>0</v>
      </c>
      <c r="I1299" s="1">
        <f>equip.xml!J1303</f>
        <v>50</v>
      </c>
      <c r="J1299" s="1">
        <f>equip.xml!K1303</f>
        <v>500</v>
      </c>
      <c r="K1299" s="1">
        <f>equip.xml!L1303</f>
        <v>37500</v>
      </c>
      <c r="L1299" s="1" t="str">
        <f>equip.xml!M1303</f>
        <v>105_1627_1627</v>
      </c>
      <c r="M1299" s="7" t="str">
        <f>equip.xml!Q1303</f>
        <v>equipment/7001.png</v>
      </c>
      <c r="N1299" t="str">
        <f>equip.xml!P1303</f>
        <v>10000_1002_65000,30000_30001_1,30000_30002_1,30000_30003_1</v>
      </c>
    </row>
    <row r="1300" spans="1:14">
      <c r="A1300" s="1" t="str">
        <f>equip.xml!A1304</f>
        <v>40700010</v>
      </c>
      <c r="B1300" s="1">
        <f>equip.xml!B1304</f>
        <v>0</v>
      </c>
      <c r="C1300" s="1" t="str">
        <f>equip.xml!C1304</f>
        <v>残阳王冠</v>
      </c>
      <c r="D1300" s="1" t="str">
        <f>equip.xml!D1304</f>
        <v>头盔</v>
      </c>
      <c r="E1300" s="1">
        <f>equip.xml!E1304</f>
        <v>1</v>
      </c>
      <c r="F1300" s="1">
        <f>equip.xml!F1304</f>
        <v>4</v>
      </c>
      <c r="G1300" s="1">
        <f>equip.xml!G1304</f>
        <v>70</v>
      </c>
      <c r="H1300" s="1">
        <f>equip.xml!H1304</f>
        <v>0</v>
      </c>
      <c r="I1300" s="1">
        <f>equip.xml!J1304</f>
        <v>50</v>
      </c>
      <c r="J1300" s="1">
        <f>equip.xml!K1304</f>
        <v>500</v>
      </c>
      <c r="K1300" s="1">
        <f>equip.xml!L1304</f>
        <v>37500</v>
      </c>
      <c r="L1300" s="1" t="str">
        <f>equip.xml!M1304</f>
        <v>106_0_0</v>
      </c>
      <c r="M1300" s="7" t="str">
        <f>equip.xml!Q1304</f>
        <v>equipment/3001.png</v>
      </c>
      <c r="N1300" t="str">
        <f>equip.xml!P1304</f>
        <v>10000_1002_70000,30000_30001_1,30000_30002_1,30000_30003_1</v>
      </c>
    </row>
    <row r="1301" spans="1:14">
      <c r="A1301" s="1" t="str">
        <f>equip.xml!A1305</f>
        <v>40700020</v>
      </c>
      <c r="B1301" s="1">
        <f>equip.xml!B1305</f>
        <v>0</v>
      </c>
      <c r="C1301" s="1" t="str">
        <f>equip.xml!C1305</f>
        <v>至尊三戒</v>
      </c>
      <c r="D1301" s="1" t="str">
        <f>equip.xml!D1305</f>
        <v>戒指</v>
      </c>
      <c r="E1301" s="1">
        <f>equip.xml!E1305</f>
        <v>2</v>
      </c>
      <c r="F1301" s="1">
        <f>equip.xml!F1305</f>
        <v>4</v>
      </c>
      <c r="G1301" s="1">
        <f>equip.xml!G1305</f>
        <v>70</v>
      </c>
      <c r="H1301" s="1">
        <f>equip.xml!H1305</f>
        <v>0</v>
      </c>
      <c r="I1301" s="1">
        <f>equip.xml!J1305</f>
        <v>50</v>
      </c>
      <c r="J1301" s="1">
        <f>equip.xml!K1305</f>
        <v>500</v>
      </c>
      <c r="K1301" s="1">
        <f>equip.xml!L1305</f>
        <v>37500</v>
      </c>
      <c r="L1301" s="1" t="str">
        <f>equip.xml!M1305</f>
        <v>102_0_0</v>
      </c>
      <c r="M1301" s="7" t="str">
        <f>equip.xml!Q1305</f>
        <v>equipment/14001.png</v>
      </c>
      <c r="N1301" t="str">
        <f>equip.xml!P1305</f>
        <v>10000_1002_70000,30000_30001_1,30000_30002_1,30000_30003_1</v>
      </c>
    </row>
    <row r="1302" spans="1:14">
      <c r="A1302" s="1" t="str">
        <f>equip.xml!A1306</f>
        <v>40700030</v>
      </c>
      <c r="B1302" s="1">
        <f>equip.xml!B1306</f>
        <v>0</v>
      </c>
      <c r="C1302" s="1" t="str">
        <f>equip.xml!C1306</f>
        <v>雷神护腰</v>
      </c>
      <c r="D1302" s="1" t="str">
        <f>equip.xml!D1306</f>
        <v>腰带</v>
      </c>
      <c r="E1302" s="1">
        <f>equip.xml!E1306</f>
        <v>3</v>
      </c>
      <c r="F1302" s="1">
        <f>equip.xml!F1306</f>
        <v>4</v>
      </c>
      <c r="G1302" s="1">
        <f>equip.xml!G1306</f>
        <v>70</v>
      </c>
      <c r="H1302" s="1">
        <f>equip.xml!H1306</f>
        <v>0</v>
      </c>
      <c r="I1302" s="1">
        <f>equip.xml!J1306</f>
        <v>50</v>
      </c>
      <c r="J1302" s="1">
        <f>equip.xml!K1306</f>
        <v>500</v>
      </c>
      <c r="K1302" s="1">
        <f>equip.xml!L1306</f>
        <v>37500</v>
      </c>
      <c r="L1302" s="1" t="str">
        <f>equip.xml!M1306</f>
        <v>101_0_0</v>
      </c>
      <c r="M1302" s="7" t="str">
        <f>equip.xml!Q1306</f>
        <v>equipment/6001.png</v>
      </c>
      <c r="N1302" t="str">
        <f>equip.xml!P1306</f>
        <v>10000_1002_70000,30000_30001_1,30000_30002_1,30000_30003_1</v>
      </c>
    </row>
    <row r="1303" spans="1:14">
      <c r="A1303" s="1" t="str">
        <f>equip.xml!A1307</f>
        <v>40700080</v>
      </c>
      <c r="B1303" s="1">
        <f>equip.xml!B1307</f>
        <v>0</v>
      </c>
      <c r="C1303" s="1" t="str">
        <f>equip.xml!C1307</f>
        <v>星旅之靴</v>
      </c>
      <c r="D1303" s="1" t="str">
        <f>equip.xml!D1307</f>
        <v>鞋子</v>
      </c>
      <c r="E1303" s="1">
        <f>equip.xml!E1307</f>
        <v>8</v>
      </c>
      <c r="F1303" s="1">
        <f>equip.xml!F1307</f>
        <v>4</v>
      </c>
      <c r="G1303" s="1">
        <f>equip.xml!G1307</f>
        <v>70</v>
      </c>
      <c r="H1303" s="1">
        <f>equip.xml!H1307</f>
        <v>0</v>
      </c>
      <c r="I1303" s="1">
        <f>equip.xml!J1307</f>
        <v>50</v>
      </c>
      <c r="J1303" s="1">
        <f>equip.xml!K1307</f>
        <v>500</v>
      </c>
      <c r="K1303" s="1">
        <f>equip.xml!L1307</f>
        <v>37500</v>
      </c>
      <c r="L1303" s="1" t="str">
        <f>equip.xml!M1307</f>
        <v>110_0_0</v>
      </c>
      <c r="M1303" s="7" t="str">
        <f>equip.xml!Q1307</f>
        <v>equipment/8001.png</v>
      </c>
      <c r="N1303" t="str">
        <f>equip.xml!P1307</f>
        <v>10000_1002_70000,30000_30001_1,30000_30002_1,30000_30003_1</v>
      </c>
    </row>
    <row r="1304" spans="1:14">
      <c r="A1304" s="1" t="str">
        <f>equip.xml!A1308</f>
        <v>40700090</v>
      </c>
      <c r="B1304" s="1">
        <f>equip.xml!B1308</f>
        <v>0</v>
      </c>
      <c r="C1304" s="1" t="str">
        <f>equip.xml!C1308</f>
        <v>泰坦之拳</v>
      </c>
      <c r="D1304" s="1" t="str">
        <f>equip.xml!D1308</f>
        <v>手套</v>
      </c>
      <c r="E1304" s="1">
        <f>equip.xml!E1308</f>
        <v>9</v>
      </c>
      <c r="F1304" s="1">
        <f>equip.xml!F1308</f>
        <v>4</v>
      </c>
      <c r="G1304" s="1">
        <f>equip.xml!G1308</f>
        <v>70</v>
      </c>
      <c r="H1304" s="1">
        <f>equip.xml!H1308</f>
        <v>0</v>
      </c>
      <c r="I1304" s="1">
        <f>equip.xml!J1308</f>
        <v>50</v>
      </c>
      <c r="J1304" s="1">
        <f>equip.xml!K1308</f>
        <v>500</v>
      </c>
      <c r="K1304" s="1">
        <f>equip.xml!L1308</f>
        <v>37500</v>
      </c>
      <c r="L1304" s="1" t="str">
        <f>equip.xml!M1308</f>
        <v>108_0_0</v>
      </c>
      <c r="M1304" s="7" t="str">
        <f>equip.xml!Q1308</f>
        <v>equipment/10001.png</v>
      </c>
      <c r="N1304" t="str">
        <f>equip.xml!P1308</f>
        <v>10000_1002_70000,30000_30001_1,30000_30002_1,30000_30003_1</v>
      </c>
    </row>
    <row r="1305" spans="1:14">
      <c r="A1305" s="1" t="str">
        <f>equip.xml!A1309</f>
        <v>40700100</v>
      </c>
      <c r="B1305" s="1">
        <f>equip.xml!B1309</f>
        <v>0</v>
      </c>
      <c r="C1305" s="1" t="str">
        <f>equip.xml!C1309</f>
        <v>岁月永恒护符</v>
      </c>
      <c r="D1305" s="1" t="str">
        <f>equip.xml!D1309</f>
        <v>项链</v>
      </c>
      <c r="E1305" s="1">
        <f>equip.xml!E1309</f>
        <v>10</v>
      </c>
      <c r="F1305" s="1">
        <f>equip.xml!F1309</f>
        <v>4</v>
      </c>
      <c r="G1305" s="1">
        <f>equip.xml!G1309</f>
        <v>70</v>
      </c>
      <c r="H1305" s="1">
        <f>equip.xml!H1309</f>
        <v>0</v>
      </c>
      <c r="I1305" s="1">
        <f>equip.xml!J1309</f>
        <v>50</v>
      </c>
      <c r="J1305" s="1">
        <f>equip.xml!K1309</f>
        <v>500</v>
      </c>
      <c r="K1305" s="1">
        <f>equip.xml!L1309</f>
        <v>37500</v>
      </c>
      <c r="L1305" s="1" t="str">
        <f>equip.xml!M1309</f>
        <v>107_0_0</v>
      </c>
      <c r="M1305" s="7" t="str">
        <f>equip.xml!Q1309</f>
        <v>equipment/12001.png</v>
      </c>
      <c r="N1305" t="str">
        <f>equip.xml!P1309</f>
        <v>10000_1002_70000,30000_30001_1,30000_30002_1,30000_30003_1</v>
      </c>
    </row>
    <row r="1306" spans="1:14">
      <c r="A1306" s="1" t="str">
        <f>equip.xml!A1310</f>
        <v>40701050</v>
      </c>
      <c r="B1306" s="1">
        <f>equip.xml!B1310</f>
        <v>1</v>
      </c>
      <c r="C1306" s="1" t="str">
        <f>equip.xml!C1310</f>
        <v>命运</v>
      </c>
      <c r="D1306" s="1" t="str">
        <f>equip.xml!D1310</f>
        <v>主手武器</v>
      </c>
      <c r="E1306" s="1">
        <f>equip.xml!E1310</f>
        <v>5</v>
      </c>
      <c r="F1306" s="1">
        <f>equip.xml!F1310</f>
        <v>4</v>
      </c>
      <c r="G1306" s="1">
        <f>equip.xml!G1310</f>
        <v>70</v>
      </c>
      <c r="H1306" s="1" t="str">
        <f>equip.xml!H1310</f>
        <v>1,1001</v>
      </c>
      <c r="I1306" s="1">
        <f>equip.xml!J1310</f>
        <v>50</v>
      </c>
      <c r="J1306" s="1">
        <f>equip.xml!K1310</f>
        <v>500</v>
      </c>
      <c r="K1306" s="1">
        <f>equip.xml!L1310</f>
        <v>37500</v>
      </c>
      <c r="L1306" s="1" t="str">
        <f>equip.xml!M1310</f>
        <v>103_3269_3269,104_6538_6538</v>
      </c>
      <c r="M1306" s="7" t="str">
        <f>equip.xml!Q1310</f>
        <v>equipment/1124.png</v>
      </c>
      <c r="N1306" t="str">
        <f>equip.xml!P1310</f>
        <v>10000_1002_70000,30000_30001_1,30000_30002_1,30000_30003_1</v>
      </c>
    </row>
    <row r="1307" spans="1:14">
      <c r="A1307" s="1" t="str">
        <f>equip.xml!A1311</f>
        <v>40701051</v>
      </c>
      <c r="B1307" s="1">
        <f>equip.xml!B1311</f>
        <v>0</v>
      </c>
      <c r="C1307" s="1" t="str">
        <f>equip.xml!C1311</f>
        <v>灰烬使者</v>
      </c>
      <c r="D1307" s="1" t="str">
        <f>equip.xml!D1311</f>
        <v>主手武器</v>
      </c>
      <c r="E1307" s="1">
        <f>equip.xml!E1311</f>
        <v>5</v>
      </c>
      <c r="F1307" s="1">
        <f>equip.xml!F1311</f>
        <v>4</v>
      </c>
      <c r="G1307" s="1">
        <f>equip.xml!G1311</f>
        <v>70</v>
      </c>
      <c r="H1307" s="1" t="str">
        <f>equip.xml!H1311</f>
        <v>1,1001</v>
      </c>
      <c r="I1307" s="1">
        <f>equip.xml!J1311</f>
        <v>50</v>
      </c>
      <c r="J1307" s="1">
        <f>equip.xml!K1311</f>
        <v>500</v>
      </c>
      <c r="K1307" s="1">
        <f>equip.xml!L1311</f>
        <v>40000</v>
      </c>
      <c r="L1307" s="1" t="str">
        <f>equip.xml!M1311</f>
        <v>103_3269_3269,104_6538_6538</v>
      </c>
      <c r="M1307" s="7" t="str">
        <f>equip.xml!Q1311</f>
        <v>equipment/1101.png</v>
      </c>
      <c r="N1307" t="str">
        <f>equip.xml!P1311</f>
        <v>10000_1002_70000,30000_30001_1,30000_30002_1,30000_30003_1</v>
      </c>
    </row>
    <row r="1308" spans="1:14">
      <c r="A1308" s="1" t="str">
        <f>equip.xml!A1312</f>
        <v>40701060</v>
      </c>
      <c r="B1308" s="1">
        <f>equip.xml!B1312</f>
        <v>1</v>
      </c>
      <c r="C1308" s="1" t="str">
        <f>equip.xml!C1312</f>
        <v>永恒之盾</v>
      </c>
      <c r="D1308" s="1" t="str">
        <f>equip.xml!D1312</f>
        <v>副手武器</v>
      </c>
      <c r="E1308" s="1">
        <f>equip.xml!E1312</f>
        <v>6</v>
      </c>
      <c r="F1308" s="1">
        <f>equip.xml!F1312</f>
        <v>4</v>
      </c>
      <c r="G1308" s="1">
        <f>equip.xml!G1312</f>
        <v>70</v>
      </c>
      <c r="H1308" s="1" t="str">
        <f>equip.xml!H1312</f>
        <v>1,1001</v>
      </c>
      <c r="I1308" s="1">
        <f>equip.xml!J1312</f>
        <v>50</v>
      </c>
      <c r="J1308" s="1">
        <f>equip.xml!K1312</f>
        <v>500</v>
      </c>
      <c r="K1308" s="1">
        <f>equip.xml!L1312</f>
        <v>37500</v>
      </c>
      <c r="L1308" s="1" t="str">
        <f>equip.xml!M1312</f>
        <v>105_3522_3522</v>
      </c>
      <c r="M1308" s="7" t="str">
        <f>equip.xml!Q1312</f>
        <v>equipment/2118.png</v>
      </c>
      <c r="N1308" t="str">
        <f>equip.xml!P1312</f>
        <v>10000_1002_70000,30000_30001_1,30000_30002_1,30000_30003_1</v>
      </c>
    </row>
    <row r="1309" spans="1:14">
      <c r="A1309" s="1" t="str">
        <f>equip.xml!A1313</f>
        <v>40701061</v>
      </c>
      <c r="B1309" s="1">
        <f>equip.xml!B1313</f>
        <v>0</v>
      </c>
      <c r="C1309" s="1" t="str">
        <f>equip.xml!C1313</f>
        <v>相位壁垒</v>
      </c>
      <c r="D1309" s="1" t="str">
        <f>equip.xml!D1313</f>
        <v>副手武器</v>
      </c>
      <c r="E1309" s="1">
        <f>equip.xml!E1313</f>
        <v>6</v>
      </c>
      <c r="F1309" s="1">
        <f>equip.xml!F1313</f>
        <v>4</v>
      </c>
      <c r="G1309" s="1">
        <f>equip.xml!G1313</f>
        <v>70</v>
      </c>
      <c r="H1309" s="1" t="str">
        <f>equip.xml!H1313</f>
        <v>1,1001</v>
      </c>
      <c r="I1309" s="1">
        <f>equip.xml!J1313</f>
        <v>50</v>
      </c>
      <c r="J1309" s="1">
        <f>equip.xml!K1313</f>
        <v>500</v>
      </c>
      <c r="K1309" s="1">
        <f>equip.xml!L1313</f>
        <v>40000</v>
      </c>
      <c r="L1309" s="1" t="str">
        <f>equip.xml!M1313</f>
        <v>105_3522_3522</v>
      </c>
      <c r="M1309" s="7" t="str">
        <f>equip.xml!Q1313</f>
        <v>equipment/2101.png</v>
      </c>
      <c r="N1309" t="str">
        <f>equip.xml!P1313</f>
        <v>10000_1002_70000,30000_30001_1,30000_30002_1,30000_30003_1</v>
      </c>
    </row>
    <row r="1310" spans="1:14">
      <c r="A1310" s="1" t="str">
        <f>equip.xml!A1314</f>
        <v>40702050</v>
      </c>
      <c r="B1310" s="1">
        <f>equip.xml!B1314</f>
        <v>1</v>
      </c>
      <c r="C1310" s="1" t="str">
        <f>equip.xml!C1314</f>
        <v>日怒凰弓</v>
      </c>
      <c r="D1310" s="1" t="str">
        <f>equip.xml!D1314</f>
        <v>主手武器</v>
      </c>
      <c r="E1310" s="1">
        <f>equip.xml!E1314</f>
        <v>5</v>
      </c>
      <c r="F1310" s="1">
        <f>equip.xml!F1314</f>
        <v>4</v>
      </c>
      <c r="G1310" s="1">
        <f>equip.xml!G1314</f>
        <v>70</v>
      </c>
      <c r="H1310" s="1" t="str">
        <f>equip.xml!H1314</f>
        <v>2,1002</v>
      </c>
      <c r="I1310" s="1">
        <f>equip.xml!J1314</f>
        <v>50</v>
      </c>
      <c r="J1310" s="1">
        <f>equip.xml!K1314</f>
        <v>500</v>
      </c>
      <c r="K1310" s="1">
        <f>equip.xml!L1314</f>
        <v>37500</v>
      </c>
      <c r="L1310" s="1" t="str">
        <f>equip.xml!M1314</f>
        <v>103_3269_3269,104_6538_6538</v>
      </c>
      <c r="M1310" s="7" t="str">
        <f>equip.xml!Q1314</f>
        <v>equipment/1222.png</v>
      </c>
      <c r="N1310" t="str">
        <f>equip.xml!P1314</f>
        <v>10000_1002_70000,30000_30001_1,30000_30002_1,30000_30003_1</v>
      </c>
    </row>
    <row r="1311" spans="1:14">
      <c r="A1311" s="1" t="str">
        <f>equip.xml!A1315</f>
        <v>40702051</v>
      </c>
      <c r="B1311" s="1">
        <f>equip.xml!B1315</f>
        <v>0</v>
      </c>
      <c r="C1311" s="1" t="str">
        <f>equip.xml!C1315</f>
        <v>群星之怒</v>
      </c>
      <c r="D1311" s="1" t="str">
        <f>equip.xml!D1315</f>
        <v>主手武器</v>
      </c>
      <c r="E1311" s="1">
        <f>equip.xml!E1315</f>
        <v>5</v>
      </c>
      <c r="F1311" s="1">
        <f>equip.xml!F1315</f>
        <v>4</v>
      </c>
      <c r="G1311" s="1">
        <f>equip.xml!G1315</f>
        <v>70</v>
      </c>
      <c r="H1311" s="1" t="str">
        <f>equip.xml!H1315</f>
        <v>2,1002</v>
      </c>
      <c r="I1311" s="1">
        <f>equip.xml!J1315</f>
        <v>50</v>
      </c>
      <c r="J1311" s="1">
        <f>equip.xml!K1315</f>
        <v>500</v>
      </c>
      <c r="K1311" s="1">
        <f>equip.xml!L1315</f>
        <v>40000</v>
      </c>
      <c r="L1311" s="1" t="str">
        <f>equip.xml!M1315</f>
        <v>103_3269_3269,104_6538_6538</v>
      </c>
      <c r="M1311" s="7" t="str">
        <f>equip.xml!Q1315</f>
        <v>equipment/1201.png</v>
      </c>
      <c r="N1311" t="str">
        <f>equip.xml!P1315</f>
        <v>10000_1002_70000,30000_30001_1,30000_30002_1,30000_30003_1</v>
      </c>
    </row>
    <row r="1312" spans="1:14">
      <c r="A1312" s="1" t="str">
        <f>equip.xml!A1316</f>
        <v>40702060</v>
      </c>
      <c r="B1312" s="1">
        <f>equip.xml!B1316</f>
        <v>1</v>
      </c>
      <c r="C1312" s="1" t="str">
        <f>equip.xml!C1316</f>
        <v>逐日之矢</v>
      </c>
      <c r="D1312" s="1" t="str">
        <f>equip.xml!D1316</f>
        <v>副手武器</v>
      </c>
      <c r="E1312" s="1">
        <f>equip.xml!E1316</f>
        <v>6</v>
      </c>
      <c r="F1312" s="1">
        <f>equip.xml!F1316</f>
        <v>4</v>
      </c>
      <c r="G1312" s="1">
        <f>equip.xml!G1316</f>
        <v>70</v>
      </c>
      <c r="H1312" s="1" t="str">
        <f>equip.xml!H1316</f>
        <v>2,1002</v>
      </c>
      <c r="I1312" s="1">
        <f>equip.xml!J1316</f>
        <v>50</v>
      </c>
      <c r="J1312" s="1">
        <f>equip.xml!K1316</f>
        <v>500</v>
      </c>
      <c r="K1312" s="1">
        <f>equip.xml!L1316</f>
        <v>37500</v>
      </c>
      <c r="L1312" s="1" t="str">
        <f>equip.xml!M1316</f>
        <v>108_3522_3522</v>
      </c>
      <c r="M1312" s="7" t="str">
        <f>equip.xml!Q1316</f>
        <v>equipment/2218.png</v>
      </c>
      <c r="N1312" t="str">
        <f>equip.xml!P1316</f>
        <v>10000_1002_70000,30000_30001_1,30000_30002_1,30000_30003_1</v>
      </c>
    </row>
    <row r="1313" spans="1:14">
      <c r="A1313" s="1" t="str">
        <f>equip.xml!A1317</f>
        <v>40702061</v>
      </c>
      <c r="B1313" s="1">
        <f>equip.xml!B1317</f>
        <v>0</v>
      </c>
      <c r="C1313" s="1" t="str">
        <f>equip.xml!C1317</f>
        <v>箭筒</v>
      </c>
      <c r="D1313" s="1" t="str">
        <f>equip.xml!D1317</f>
        <v>副手武器</v>
      </c>
      <c r="E1313" s="1">
        <f>equip.xml!E1317</f>
        <v>6</v>
      </c>
      <c r="F1313" s="1">
        <f>equip.xml!F1317</f>
        <v>4</v>
      </c>
      <c r="G1313" s="1">
        <f>equip.xml!G1317</f>
        <v>70</v>
      </c>
      <c r="H1313" s="1" t="str">
        <f>equip.xml!H1317</f>
        <v>2,1002</v>
      </c>
      <c r="I1313" s="1">
        <f>equip.xml!J1317</f>
        <v>50</v>
      </c>
      <c r="J1313" s="1">
        <f>equip.xml!K1317</f>
        <v>500</v>
      </c>
      <c r="K1313" s="1">
        <f>equip.xml!L1317</f>
        <v>40000</v>
      </c>
      <c r="L1313" s="1" t="str">
        <f>equip.xml!M1317</f>
        <v>108_3522_3522</v>
      </c>
      <c r="M1313" s="7" t="str">
        <f>equip.xml!Q1317</f>
        <v>equipment/2201.png</v>
      </c>
      <c r="N1313" t="str">
        <f>equip.xml!P1317</f>
        <v>10000_1002_70000,30000_30001_1,30000_30002_1,30000_30003_1</v>
      </c>
    </row>
    <row r="1314" spans="1:14">
      <c r="A1314" s="1" t="str">
        <f>equip.xml!A1318</f>
        <v>40703050</v>
      </c>
      <c r="B1314" s="1">
        <f>equip.xml!B1318</f>
        <v>1</v>
      </c>
      <c r="C1314" s="1" t="str">
        <f>equip.xml!C1318</f>
        <v>瓦解法杖</v>
      </c>
      <c r="D1314" s="1" t="str">
        <f>equip.xml!D1318</f>
        <v>主手武器</v>
      </c>
      <c r="E1314" s="1">
        <f>equip.xml!E1318</f>
        <v>5</v>
      </c>
      <c r="F1314" s="1">
        <f>equip.xml!F1318</f>
        <v>4</v>
      </c>
      <c r="G1314" s="1">
        <f>equip.xml!G1318</f>
        <v>70</v>
      </c>
      <c r="H1314" s="1" t="str">
        <f>equip.xml!H1318</f>
        <v>3,1003</v>
      </c>
      <c r="I1314" s="1">
        <f>equip.xml!J1318</f>
        <v>50</v>
      </c>
      <c r="J1314" s="1">
        <f>equip.xml!K1318</f>
        <v>500</v>
      </c>
      <c r="K1314" s="1">
        <f>equip.xml!L1318</f>
        <v>37500</v>
      </c>
      <c r="L1314" s="1" t="str">
        <f>equip.xml!M1318</f>
        <v>103_3269_3269,104_6538_6538</v>
      </c>
      <c r="M1314" s="7" t="str">
        <f>equip.xml!Q1318</f>
        <v>equipment/1324.png</v>
      </c>
      <c r="N1314" t="str">
        <f>equip.xml!P1318</f>
        <v>10000_1002_70000,30000_30001_1,30000_30002_1,30000_30003_1</v>
      </c>
    </row>
    <row r="1315" spans="1:14">
      <c r="A1315" s="1" t="str">
        <f>equip.xml!A1319</f>
        <v>40703051</v>
      </c>
      <c r="B1315" s="1">
        <f>equip.xml!B1319</f>
        <v>0</v>
      </c>
      <c r="C1315" s="1" t="str">
        <f>equip.xml!C1319</f>
        <v>守护者之杖</v>
      </c>
      <c r="D1315" s="1" t="str">
        <f>equip.xml!D1319</f>
        <v>主手武器</v>
      </c>
      <c r="E1315" s="1">
        <f>equip.xml!E1319</f>
        <v>5</v>
      </c>
      <c r="F1315" s="1">
        <f>equip.xml!F1319</f>
        <v>4</v>
      </c>
      <c r="G1315" s="1">
        <f>equip.xml!G1319</f>
        <v>70</v>
      </c>
      <c r="H1315" s="1" t="str">
        <f>equip.xml!H1319</f>
        <v>3,1003</v>
      </c>
      <c r="I1315" s="1">
        <f>equip.xml!J1319</f>
        <v>50</v>
      </c>
      <c r="J1315" s="1">
        <f>equip.xml!K1319</f>
        <v>500</v>
      </c>
      <c r="K1315" s="1">
        <f>equip.xml!L1319</f>
        <v>40000</v>
      </c>
      <c r="L1315" s="1" t="str">
        <f>equip.xml!M1319</f>
        <v>103_3269_3269,104_6538_6538</v>
      </c>
      <c r="M1315" s="7" t="str">
        <f>equip.xml!Q1319</f>
        <v>equipment/1301.png</v>
      </c>
      <c r="N1315" t="str">
        <f>equip.xml!P1319</f>
        <v>10000_1002_70000,30000_30001_1,30000_30002_1,30000_30003_1</v>
      </c>
    </row>
    <row r="1316" spans="1:14">
      <c r="A1316" s="1" t="str">
        <f>equip.xml!A1320</f>
        <v>40703060</v>
      </c>
      <c r="B1316" s="1">
        <f>equip.xml!B1320</f>
        <v>1</v>
      </c>
      <c r="C1316" s="1" t="str">
        <f>equip.xml!C1320</f>
        <v>虚空魔典</v>
      </c>
      <c r="D1316" s="1" t="str">
        <f>equip.xml!D1320</f>
        <v>副手武器</v>
      </c>
      <c r="E1316" s="1">
        <f>equip.xml!E1320</f>
        <v>6</v>
      </c>
      <c r="F1316" s="1">
        <f>equip.xml!F1320</f>
        <v>4</v>
      </c>
      <c r="G1316" s="1">
        <f>equip.xml!G1320</f>
        <v>70</v>
      </c>
      <c r="H1316" s="1" t="str">
        <f>equip.xml!H1320</f>
        <v>3,1003</v>
      </c>
      <c r="I1316" s="1">
        <f>equip.xml!J1320</f>
        <v>50</v>
      </c>
      <c r="J1316" s="1">
        <f>equip.xml!K1320</f>
        <v>500</v>
      </c>
      <c r="K1316" s="1">
        <f>equip.xml!L1320</f>
        <v>37500</v>
      </c>
      <c r="L1316" s="1" t="str">
        <f>equip.xml!M1320</f>
        <v>102_3522_3522</v>
      </c>
      <c r="M1316" s="7" t="str">
        <f>equip.xml!Q1320</f>
        <v>equipment/2318.png</v>
      </c>
      <c r="N1316" t="str">
        <f>equip.xml!P1320</f>
        <v>10000_1002_70000,30000_30001_1,30000_30002_1,30000_30003_1</v>
      </c>
    </row>
    <row r="1317" spans="1:14">
      <c r="A1317" s="1" t="str">
        <f>equip.xml!A1321</f>
        <v>40703061</v>
      </c>
      <c r="B1317" s="1">
        <f>equip.xml!B1321</f>
        <v>0</v>
      </c>
      <c r="C1317" s="1" t="str">
        <f>equip.xml!C1321</f>
        <v>星界之书</v>
      </c>
      <c r="D1317" s="1" t="str">
        <f>equip.xml!D1321</f>
        <v>副手武器</v>
      </c>
      <c r="E1317" s="1">
        <f>equip.xml!E1321</f>
        <v>6</v>
      </c>
      <c r="F1317" s="1">
        <f>equip.xml!F1321</f>
        <v>4</v>
      </c>
      <c r="G1317" s="1">
        <f>equip.xml!G1321</f>
        <v>70</v>
      </c>
      <c r="H1317" s="1" t="str">
        <f>equip.xml!H1321</f>
        <v>3,1003</v>
      </c>
      <c r="I1317" s="1">
        <f>equip.xml!J1321</f>
        <v>50</v>
      </c>
      <c r="J1317" s="1">
        <f>equip.xml!K1321</f>
        <v>500</v>
      </c>
      <c r="K1317" s="1">
        <f>equip.xml!L1321</f>
        <v>40000</v>
      </c>
      <c r="L1317" s="1" t="str">
        <f>equip.xml!M1321</f>
        <v>102_3080_3080</v>
      </c>
      <c r="M1317" s="7" t="str">
        <f>equip.xml!Q1321</f>
        <v>equipment/2301.png</v>
      </c>
      <c r="N1317" t="str">
        <f>equip.xml!P1321</f>
        <v>10000_1002_70000,30000_30001_1,30000_30002_1,30000_30003_1</v>
      </c>
    </row>
    <row r="1318" spans="1:14">
      <c r="A1318" s="1" t="str">
        <f>equip.xml!A1322</f>
        <v>40700040</v>
      </c>
      <c r="B1318" s="1">
        <f>equip.xml!B1322</f>
        <v>0</v>
      </c>
      <c r="C1318" s="1" t="str">
        <f>equip.xml!C1322</f>
        <v>湮没胸甲</v>
      </c>
      <c r="D1318" s="1" t="str">
        <f>equip.xml!D1322</f>
        <v>胸甲</v>
      </c>
      <c r="E1318" s="1">
        <f>equip.xml!E1322</f>
        <v>4</v>
      </c>
      <c r="F1318" s="1">
        <f>equip.xml!F1322</f>
        <v>4</v>
      </c>
      <c r="G1318" s="1">
        <f>equip.xml!G1322</f>
        <v>70</v>
      </c>
      <c r="H1318" s="1">
        <f>equip.xml!H1322</f>
        <v>0</v>
      </c>
      <c r="I1318" s="1">
        <f>equip.xml!J1322</f>
        <v>50</v>
      </c>
      <c r="J1318" s="1">
        <f>equip.xml!K1322</f>
        <v>500</v>
      </c>
      <c r="K1318" s="1">
        <f>equip.xml!L1322</f>
        <v>37500</v>
      </c>
      <c r="L1318" s="1" t="str">
        <f>equip.xml!M1322</f>
        <v>105_0_0</v>
      </c>
      <c r="M1318" s="7" t="str">
        <f>equip.xml!Q1322</f>
        <v>equipment/5001.png</v>
      </c>
      <c r="N1318" t="str">
        <f>equip.xml!P1322</f>
        <v>10000_1002_70000,30000_30001_1,30000_30002_1,30000_30003_1</v>
      </c>
    </row>
    <row r="1319" spans="1:14">
      <c r="A1319" s="1" t="str">
        <f>equip.xml!A1323</f>
        <v>40700041</v>
      </c>
      <c r="B1319" s="1">
        <f>equip.xml!B1323</f>
        <v>0</v>
      </c>
      <c r="C1319" s="1" t="str">
        <f>equip.xml!C1323</f>
        <v>碎界之铠</v>
      </c>
      <c r="D1319" s="1" t="str">
        <f>equip.xml!D1323</f>
        <v>胸甲</v>
      </c>
      <c r="E1319" s="1">
        <f>equip.xml!E1323</f>
        <v>4</v>
      </c>
      <c r="F1319" s="1">
        <f>equip.xml!F1323</f>
        <v>4</v>
      </c>
      <c r="G1319" s="1">
        <f>equip.xml!G1323</f>
        <v>70</v>
      </c>
      <c r="H1319" s="1">
        <f>equip.xml!H1323</f>
        <v>0</v>
      </c>
      <c r="I1319" s="1">
        <f>equip.xml!J1323</f>
        <v>50</v>
      </c>
      <c r="J1319" s="1">
        <f>equip.xml!K1323</f>
        <v>500</v>
      </c>
      <c r="K1319" s="1">
        <f>equip.xml!L1323</f>
        <v>40000</v>
      </c>
      <c r="L1319" s="1" t="str">
        <f>equip.xml!M1323</f>
        <v>105_0_0</v>
      </c>
      <c r="M1319" s="7" t="str">
        <f>equip.xml!Q1323</f>
        <v>equipment/5001.png</v>
      </c>
      <c r="N1319" t="str">
        <f>equip.xml!P1323</f>
        <v>10000_1002_70000,30000_30001_1,30000_30002_1,30000_30003_1</v>
      </c>
    </row>
    <row r="1320" spans="1:14">
      <c r="A1320" s="1" t="str">
        <f>equip.xml!A1324</f>
        <v>40700070</v>
      </c>
      <c r="B1320" s="1">
        <f>equip.xml!B1324</f>
        <v>0</v>
      </c>
      <c r="C1320" s="1" t="str">
        <f>equip.xml!C1324</f>
        <v>魂卫护腿</v>
      </c>
      <c r="D1320" s="1" t="str">
        <f>equip.xml!D1324</f>
        <v>护腿</v>
      </c>
      <c r="E1320" s="1">
        <f>equip.xml!E1324</f>
        <v>7</v>
      </c>
      <c r="F1320" s="1">
        <f>equip.xml!F1324</f>
        <v>4</v>
      </c>
      <c r="G1320" s="1">
        <f>equip.xml!G1324</f>
        <v>70</v>
      </c>
      <c r="H1320" s="1">
        <f>equip.xml!H1324</f>
        <v>0</v>
      </c>
      <c r="I1320" s="1">
        <f>equip.xml!J1324</f>
        <v>50</v>
      </c>
      <c r="J1320" s="1">
        <f>equip.xml!K1324</f>
        <v>500</v>
      </c>
      <c r="K1320" s="1">
        <f>equip.xml!L1324</f>
        <v>37500</v>
      </c>
      <c r="L1320" s="1" t="str">
        <f>equip.xml!M1324</f>
        <v>105_0_0</v>
      </c>
      <c r="M1320" s="7" t="str">
        <f>equip.xml!Q1324</f>
        <v>equipment/7001.png</v>
      </c>
      <c r="N1320" t="str">
        <f>equip.xml!P1324</f>
        <v>10000_1002_70000,30000_30001_1,30000_30002_1,30000_30003_1</v>
      </c>
    </row>
    <row r="1321" spans="1:14">
      <c r="A1321" s="1" t="str">
        <f>equip.xml!A1325</f>
        <v>40700071</v>
      </c>
      <c r="B1321" s="1">
        <f>equip.xml!B1325</f>
        <v>0</v>
      </c>
      <c r="C1321" s="1" t="str">
        <f>equip.xml!C1325</f>
        <v>不朽护腿</v>
      </c>
      <c r="D1321" s="1" t="str">
        <f>equip.xml!D1325</f>
        <v>护腿</v>
      </c>
      <c r="E1321" s="1">
        <f>equip.xml!E1325</f>
        <v>7</v>
      </c>
      <c r="F1321" s="1">
        <f>equip.xml!F1325</f>
        <v>4</v>
      </c>
      <c r="G1321" s="1">
        <f>equip.xml!G1325</f>
        <v>70</v>
      </c>
      <c r="H1321" s="1">
        <f>equip.xml!H1325</f>
        <v>0</v>
      </c>
      <c r="I1321" s="1">
        <f>equip.xml!J1325</f>
        <v>50</v>
      </c>
      <c r="J1321" s="1">
        <f>equip.xml!K1325</f>
        <v>500</v>
      </c>
      <c r="K1321" s="1">
        <f>equip.xml!L1325</f>
        <v>40000</v>
      </c>
      <c r="L1321" s="1" t="str">
        <f>equip.xml!M1325</f>
        <v>105_0_0</v>
      </c>
      <c r="M1321" s="7" t="str">
        <f>equip.xml!Q1325</f>
        <v>equipment/7001.png</v>
      </c>
      <c r="N1321" t="str">
        <f>equip.xml!P1325</f>
        <v>10000_1002_70000,30000_30001_1,30000_30002_1,30000_30003_1</v>
      </c>
    </row>
    <row r="1322" spans="1:14">
      <c r="A1322" s="1" t="str">
        <f>equip.xml!A1326</f>
        <v>50010010</v>
      </c>
      <c r="B1322" s="1">
        <f>equip.xml!B1326</f>
        <v>0</v>
      </c>
      <c r="C1322" s="1" t="str">
        <f>equip.xml!C1326</f>
        <v>纹饰帽</v>
      </c>
      <c r="D1322" s="1" t="str">
        <f>equip.xml!D1326</f>
        <v>头盔</v>
      </c>
      <c r="E1322" s="1">
        <f>equip.xml!E1326</f>
        <v>1</v>
      </c>
      <c r="F1322" s="1">
        <f>equip.xml!F1326</f>
        <v>5</v>
      </c>
      <c r="G1322" s="1">
        <f>equip.xml!G1326</f>
        <v>1</v>
      </c>
      <c r="H1322" s="1">
        <f>equip.xml!H1326</f>
        <v>0</v>
      </c>
      <c r="I1322" s="1">
        <f>equip.xml!J1326</f>
        <v>150</v>
      </c>
      <c r="J1322" s="1">
        <f>equip.xml!K1326</f>
        <v>1500</v>
      </c>
      <c r="K1322" s="1">
        <f>equip.xml!L1326</f>
        <v>0</v>
      </c>
      <c r="L1322" s="1" t="str">
        <f>equip.xml!M1326</f>
        <v>106_0_0</v>
      </c>
      <c r="M1322" s="7" t="str">
        <f>equip.xml!Q1326</f>
        <v>equipment/3001.png</v>
      </c>
      <c r="N1322" t="str">
        <f>equip.xml!P1326</f>
        <v>10000_1002_1000,30000_30001_1,30000_30002_1,30000_30003_1</v>
      </c>
    </row>
    <row r="1323" spans="1:14">
      <c r="A1323" s="1" t="str">
        <f>equip.xml!A1327</f>
        <v>50010020</v>
      </c>
      <c r="B1323" s="1">
        <f>equip.xml!B1327</f>
        <v>0</v>
      </c>
      <c r="C1323" s="1" t="str">
        <f>equip.xml!C1327</f>
        <v>金戒指</v>
      </c>
      <c r="D1323" s="1" t="str">
        <f>equip.xml!D1327</f>
        <v>戒指</v>
      </c>
      <c r="E1323" s="1">
        <f>equip.xml!E1327</f>
        <v>2</v>
      </c>
      <c r="F1323" s="1">
        <f>equip.xml!F1327</f>
        <v>5</v>
      </c>
      <c r="G1323" s="1">
        <f>equip.xml!G1327</f>
        <v>1</v>
      </c>
      <c r="H1323" s="1">
        <f>equip.xml!H1327</f>
        <v>0</v>
      </c>
      <c r="I1323" s="1">
        <f>equip.xml!J1327</f>
        <v>150</v>
      </c>
      <c r="J1323" s="1">
        <f>equip.xml!K1327</f>
        <v>1500</v>
      </c>
      <c r="K1323" s="1">
        <f>equip.xml!L1327</f>
        <v>0</v>
      </c>
      <c r="L1323" s="1" t="str">
        <f>equip.xml!M1327</f>
        <v>102_20_20</v>
      </c>
      <c r="M1323" s="7" t="str">
        <f>equip.xml!Q1327</f>
        <v>equipment/14001.png</v>
      </c>
      <c r="N1323" t="str">
        <f>equip.xml!P1327</f>
        <v>10000_1002_1000,30000_30001_1,30000_30002_1,30000_30003_1</v>
      </c>
    </row>
    <row r="1324" spans="1:14">
      <c r="A1324" s="1" t="str">
        <f>equip.xml!A1328</f>
        <v>50010030</v>
      </c>
      <c r="B1324" s="1">
        <f>equip.xml!B1328</f>
        <v>0</v>
      </c>
      <c r="C1324" s="1" t="str">
        <f>equip.xml!C1328</f>
        <v>兽皮腰带</v>
      </c>
      <c r="D1324" s="1" t="str">
        <f>equip.xml!D1328</f>
        <v>腰带</v>
      </c>
      <c r="E1324" s="1">
        <f>equip.xml!E1328</f>
        <v>3</v>
      </c>
      <c r="F1324" s="1">
        <f>equip.xml!F1328</f>
        <v>5</v>
      </c>
      <c r="G1324" s="1">
        <f>equip.xml!G1328</f>
        <v>1</v>
      </c>
      <c r="H1324" s="1">
        <f>equip.xml!H1328</f>
        <v>0</v>
      </c>
      <c r="I1324" s="1">
        <f>equip.xml!J1328</f>
        <v>150</v>
      </c>
      <c r="J1324" s="1">
        <f>equip.xml!K1328</f>
        <v>1500</v>
      </c>
      <c r="K1324" s="1">
        <f>equip.xml!L1328</f>
        <v>0</v>
      </c>
      <c r="L1324" s="1" t="str">
        <f>equip.xml!M1328</f>
        <v>101_100_100</v>
      </c>
      <c r="M1324" s="7" t="str">
        <f>equip.xml!Q1328</f>
        <v>equipment/6001.png</v>
      </c>
      <c r="N1324" t="str">
        <f>equip.xml!P1328</f>
        <v>10000_1002_1000,30000_30001_1,30000_30002_1,30000_30003_1</v>
      </c>
    </row>
    <row r="1325" spans="1:14">
      <c r="A1325" s="1" t="str">
        <f>equip.xml!A1329</f>
        <v>50010080</v>
      </c>
      <c r="B1325" s="1">
        <f>equip.xml!B1329</f>
        <v>1</v>
      </c>
      <c r="C1325" s="1" t="str">
        <f>equip.xml!C1329</f>
        <v>皮靴</v>
      </c>
      <c r="D1325" s="1" t="str">
        <f>equip.xml!D1329</f>
        <v>鞋子</v>
      </c>
      <c r="E1325" s="1">
        <f>equip.xml!E1329</f>
        <v>8</v>
      </c>
      <c r="F1325" s="1">
        <f>equip.xml!F1329</f>
        <v>5</v>
      </c>
      <c r="G1325" s="1">
        <f>equip.xml!G1329</f>
        <v>1</v>
      </c>
      <c r="H1325" s="1">
        <f>equip.xml!H1329</f>
        <v>0</v>
      </c>
      <c r="I1325" s="1">
        <f>equip.xml!J1329</f>
        <v>150</v>
      </c>
      <c r="J1325" s="1">
        <f>equip.xml!K1329</f>
        <v>1500</v>
      </c>
      <c r="K1325" s="1">
        <f>equip.xml!L1329</f>
        <v>0</v>
      </c>
      <c r="L1325" s="1" t="str">
        <f>equip.xml!M1329</f>
        <v>110_4_4</v>
      </c>
      <c r="M1325" s="7" t="str">
        <f>equip.xml!Q1329</f>
        <v>equipment/8001.png</v>
      </c>
      <c r="N1325" t="str">
        <f>equip.xml!P1329</f>
        <v>10000_1002_1000,30000_30001_1,30000_30002_1,30000_30003_1</v>
      </c>
    </row>
    <row r="1326" spans="1:14">
      <c r="A1326" s="1" t="str">
        <f>equip.xml!A1330</f>
        <v>50010090</v>
      </c>
      <c r="B1326" s="1">
        <f>equip.xml!B1330</f>
        <v>1</v>
      </c>
      <c r="C1326" s="1" t="str">
        <f>equip.xml!C1330</f>
        <v>轻布手套</v>
      </c>
      <c r="D1326" s="1" t="str">
        <f>equip.xml!D1330</f>
        <v>手套</v>
      </c>
      <c r="E1326" s="1">
        <f>equip.xml!E1330</f>
        <v>9</v>
      </c>
      <c r="F1326" s="1">
        <f>equip.xml!F1330</f>
        <v>5</v>
      </c>
      <c r="G1326" s="1">
        <f>equip.xml!G1330</f>
        <v>1</v>
      </c>
      <c r="H1326" s="1">
        <f>equip.xml!H1330</f>
        <v>0</v>
      </c>
      <c r="I1326" s="1">
        <f>equip.xml!J1330</f>
        <v>150</v>
      </c>
      <c r="J1326" s="1">
        <f>equip.xml!K1330</f>
        <v>1500</v>
      </c>
      <c r="K1326" s="1">
        <f>equip.xml!L1330</f>
        <v>0</v>
      </c>
      <c r="L1326" s="1" t="str">
        <f>equip.xml!M1330</f>
        <v>108_9_9</v>
      </c>
      <c r="M1326" s="7" t="str">
        <f>equip.xml!Q1330</f>
        <v>equipment/10001.png</v>
      </c>
      <c r="N1326" t="str">
        <f>equip.xml!P1330</f>
        <v>10000_1002_1000,30000_30001_1,30000_30002_1,30000_30003_1</v>
      </c>
    </row>
    <row r="1327" spans="1:14">
      <c r="A1327" s="1" t="str">
        <f>equip.xml!A1331</f>
        <v>50010100</v>
      </c>
      <c r="B1327" s="1">
        <f>equip.xml!B1331</f>
        <v>0</v>
      </c>
      <c r="C1327" s="1" t="str">
        <f>equip.xml!C1331</f>
        <v>贝壳项链</v>
      </c>
      <c r="D1327" s="1" t="str">
        <f>equip.xml!D1331</f>
        <v>项链</v>
      </c>
      <c r="E1327" s="1">
        <f>equip.xml!E1331</f>
        <v>10</v>
      </c>
      <c r="F1327" s="1">
        <f>equip.xml!F1331</f>
        <v>5</v>
      </c>
      <c r="G1327" s="1">
        <f>equip.xml!G1331</f>
        <v>1</v>
      </c>
      <c r="H1327" s="1">
        <f>equip.xml!H1331</f>
        <v>0</v>
      </c>
      <c r="I1327" s="1">
        <f>equip.xml!J1331</f>
        <v>150</v>
      </c>
      <c r="J1327" s="1">
        <f>equip.xml!K1331</f>
        <v>1500</v>
      </c>
      <c r="K1327" s="1">
        <f>equip.xml!L1331</f>
        <v>0</v>
      </c>
      <c r="L1327" s="1" t="str">
        <f>equip.xml!M1331</f>
        <v>107_0_0</v>
      </c>
      <c r="M1327" s="7" t="str">
        <f>equip.xml!Q1331</f>
        <v>equipment/12001.png</v>
      </c>
      <c r="N1327" t="str">
        <f>equip.xml!P1331</f>
        <v>10000_1002_1000,30000_30001_1,30000_30002_1,30000_30003_1</v>
      </c>
    </row>
    <row r="1328" spans="1:14">
      <c r="A1328" s="1" t="str">
        <f>equip.xml!A1332</f>
        <v>50011050</v>
      </c>
      <c r="B1328" s="1">
        <f>equip.xml!B1332</f>
        <v>1</v>
      </c>
      <c r="C1328" s="1" t="str">
        <f>equip.xml!C1332</f>
        <v>短剑</v>
      </c>
      <c r="D1328" s="1" t="str">
        <f>equip.xml!D1332</f>
        <v>主手武器</v>
      </c>
      <c r="E1328" s="1">
        <f>equip.xml!E1332</f>
        <v>5</v>
      </c>
      <c r="F1328" s="1">
        <f>equip.xml!F1332</f>
        <v>5</v>
      </c>
      <c r="G1328" s="1">
        <f>equip.xml!G1332</f>
        <v>1</v>
      </c>
      <c r="H1328" s="1" t="str">
        <f>equip.xml!H1332</f>
        <v>1,1001</v>
      </c>
      <c r="I1328" s="1">
        <f>equip.xml!J1332</f>
        <v>150</v>
      </c>
      <c r="J1328" s="1">
        <f>equip.xml!K1332</f>
        <v>1500</v>
      </c>
      <c r="K1328" s="1">
        <f>equip.xml!L1332</f>
        <v>0</v>
      </c>
      <c r="L1328" s="1" t="str">
        <f>equip.xml!M1332</f>
        <v>103_2_2,104_6_6</v>
      </c>
      <c r="M1328" s="7" t="str">
        <f>equip.xml!Q1332</f>
        <v>equipment/1101.png</v>
      </c>
      <c r="N1328" t="str">
        <f>equip.xml!P1332</f>
        <v>10000_1002_1000,30000_30001_1,30000_30002_1,30000_30003_1</v>
      </c>
    </row>
    <row r="1329" spans="1:14">
      <c r="A1329" s="1" t="str">
        <f>equip.xml!A1333</f>
        <v>50011051</v>
      </c>
      <c r="B1329" s="1">
        <f>equip.xml!B1333</f>
        <v>1</v>
      </c>
      <c r="C1329" s="1" t="str">
        <f>equip.xml!C1333</f>
        <v>军刀</v>
      </c>
      <c r="D1329" s="1" t="str">
        <f>equip.xml!D1333</f>
        <v>主手武器</v>
      </c>
      <c r="E1329" s="1">
        <f>equip.xml!E1333</f>
        <v>5</v>
      </c>
      <c r="F1329" s="1">
        <f>equip.xml!F1333</f>
        <v>5</v>
      </c>
      <c r="G1329" s="1">
        <f>equip.xml!G1333</f>
        <v>1</v>
      </c>
      <c r="H1329" s="1" t="str">
        <f>equip.xml!H1333</f>
        <v>1,1001</v>
      </c>
      <c r="I1329" s="1">
        <f>equip.xml!J1333</f>
        <v>150</v>
      </c>
      <c r="J1329" s="1">
        <f>equip.xml!K1333</f>
        <v>1500</v>
      </c>
      <c r="K1329" s="1">
        <f>equip.xml!L1333</f>
        <v>0</v>
      </c>
      <c r="L1329" s="1" t="str">
        <f>equip.xml!M1333</f>
        <v>103_5_5,104_12_12</v>
      </c>
      <c r="M1329" s="7" t="str">
        <f>equip.xml!Q1333</f>
        <v>equipment/1102.png</v>
      </c>
      <c r="N1329" t="str">
        <f>equip.xml!P1333</f>
        <v>10000_1002_1000,30000_30001_1,30000_30002_1,30000_30003_1</v>
      </c>
    </row>
    <row r="1330" spans="1:14">
      <c r="A1330" s="1" t="str">
        <f>equip.xml!A1334</f>
        <v>50011060</v>
      </c>
      <c r="B1330" s="1">
        <f>equip.xml!B1334</f>
        <v>1</v>
      </c>
      <c r="C1330" s="1" t="str">
        <f>equip.xml!C1334</f>
        <v>小圆盾</v>
      </c>
      <c r="D1330" s="1" t="str">
        <f>equip.xml!D1334</f>
        <v>副手武器</v>
      </c>
      <c r="E1330" s="1">
        <f>equip.xml!E1334</f>
        <v>6</v>
      </c>
      <c r="F1330" s="1">
        <f>equip.xml!F1334</f>
        <v>5</v>
      </c>
      <c r="G1330" s="1">
        <f>equip.xml!G1334</f>
        <v>1</v>
      </c>
      <c r="H1330" s="1" t="str">
        <f>equip.xml!H1334</f>
        <v>1,1001</v>
      </c>
      <c r="I1330" s="1">
        <f>equip.xml!J1334</f>
        <v>150</v>
      </c>
      <c r="J1330" s="1">
        <f>equip.xml!K1334</f>
        <v>1500</v>
      </c>
      <c r="K1330" s="1">
        <f>equip.xml!L1334</f>
        <v>0</v>
      </c>
      <c r="L1330" s="1" t="str">
        <f>equip.xml!M1334</f>
        <v>105_4_4</v>
      </c>
      <c r="M1330" s="7" t="str">
        <f>equip.xml!Q1334</f>
        <v>equipment/2101.png</v>
      </c>
      <c r="N1330" t="str">
        <f>equip.xml!P1334</f>
        <v>10000_1002_1000,30000_30001_1,30000_30002_1,30000_30003_1</v>
      </c>
    </row>
    <row r="1331" spans="1:14">
      <c r="A1331" s="1" t="str">
        <f>equip.xml!A1335</f>
        <v>50011061</v>
      </c>
      <c r="B1331" s="1">
        <f>equip.xml!B1335</f>
        <v>0</v>
      </c>
      <c r="C1331" s="1" t="str">
        <f>equip.xml!C1335</f>
        <v>尖头盾</v>
      </c>
      <c r="D1331" s="1" t="str">
        <f>equip.xml!D1335</f>
        <v>副手武器</v>
      </c>
      <c r="E1331" s="1">
        <f>equip.xml!E1335</f>
        <v>6</v>
      </c>
      <c r="F1331" s="1">
        <f>equip.xml!F1335</f>
        <v>5</v>
      </c>
      <c r="G1331" s="1">
        <f>equip.xml!G1335</f>
        <v>1</v>
      </c>
      <c r="H1331" s="1" t="str">
        <f>equip.xml!H1335</f>
        <v>1,1001</v>
      </c>
      <c r="I1331" s="1">
        <f>equip.xml!J1335</f>
        <v>150</v>
      </c>
      <c r="J1331" s="1">
        <f>equip.xml!K1335</f>
        <v>1500</v>
      </c>
      <c r="K1331" s="1">
        <f>equip.xml!L1335</f>
        <v>0</v>
      </c>
      <c r="L1331" s="1" t="str">
        <f>equip.xml!M1335</f>
        <v>105_7_7</v>
      </c>
      <c r="M1331" s="7" t="str">
        <f>equip.xml!Q1335</f>
        <v>equipment/2101.png</v>
      </c>
      <c r="N1331" t="str">
        <f>equip.xml!P1335</f>
        <v>10000_1002_1000,30000_30001_1,30000_30002_1,30000_30003_1</v>
      </c>
    </row>
    <row r="1332" spans="1:14">
      <c r="A1332" s="1" t="str">
        <f>equip.xml!A1336</f>
        <v>50012050</v>
      </c>
      <c r="B1332" s="1">
        <f>equip.xml!B1336</f>
        <v>1</v>
      </c>
      <c r="C1332" s="1" t="str">
        <f>equip.xml!C1336</f>
        <v>短弓</v>
      </c>
      <c r="D1332" s="1" t="str">
        <f>equip.xml!D1336</f>
        <v>主手武器</v>
      </c>
      <c r="E1332" s="1">
        <f>equip.xml!E1336</f>
        <v>5</v>
      </c>
      <c r="F1332" s="1">
        <f>equip.xml!F1336</f>
        <v>5</v>
      </c>
      <c r="G1332" s="1">
        <f>equip.xml!G1336</f>
        <v>1</v>
      </c>
      <c r="H1332" s="1" t="str">
        <f>equip.xml!H1336</f>
        <v>2,1002</v>
      </c>
      <c r="I1332" s="1">
        <f>equip.xml!J1336</f>
        <v>150</v>
      </c>
      <c r="J1332" s="1">
        <f>equip.xml!K1336</f>
        <v>1500</v>
      </c>
      <c r="K1332" s="1">
        <f>equip.xml!L1336</f>
        <v>0</v>
      </c>
      <c r="L1332" s="1" t="str">
        <f>equip.xml!M1336</f>
        <v>103_2_2,104_6_6</v>
      </c>
      <c r="M1332" s="7" t="str">
        <f>equip.xml!Q1336</f>
        <v>equipment/1201.png</v>
      </c>
      <c r="N1332" t="str">
        <f>equip.xml!P1336</f>
        <v>10000_1002_1000,30000_30001_1,30000_30002_1,30000_30003_1</v>
      </c>
    </row>
    <row r="1333" spans="1:14">
      <c r="A1333" s="1" t="str">
        <f>equip.xml!A1337</f>
        <v>50012051</v>
      </c>
      <c r="B1333" s="1">
        <f>equip.xml!B1337</f>
        <v>1</v>
      </c>
      <c r="C1333" s="1" t="str">
        <f>equip.xml!C1337</f>
        <v>棘木弓</v>
      </c>
      <c r="D1333" s="1" t="str">
        <f>equip.xml!D1337</f>
        <v>主手武器</v>
      </c>
      <c r="E1333" s="1">
        <f>equip.xml!E1337</f>
        <v>5</v>
      </c>
      <c r="F1333" s="1">
        <f>equip.xml!F1337</f>
        <v>5</v>
      </c>
      <c r="G1333" s="1">
        <f>equip.xml!G1337</f>
        <v>1</v>
      </c>
      <c r="H1333" s="1" t="str">
        <f>equip.xml!H1337</f>
        <v>2,1002</v>
      </c>
      <c r="I1333" s="1">
        <f>equip.xml!J1337</f>
        <v>150</v>
      </c>
      <c r="J1333" s="1">
        <f>equip.xml!K1337</f>
        <v>1500</v>
      </c>
      <c r="K1333" s="1">
        <f>equip.xml!L1337</f>
        <v>0</v>
      </c>
      <c r="L1333" s="1" t="str">
        <f>equip.xml!M1337</f>
        <v>103_5_5,104_12_12</v>
      </c>
      <c r="M1333" s="7" t="str">
        <f>equip.xml!Q1337</f>
        <v>equipment/1202.png</v>
      </c>
      <c r="N1333" t="str">
        <f>equip.xml!P1337</f>
        <v>10000_1002_1000,30000_30001_1,30000_30002_1,30000_30003_1</v>
      </c>
    </row>
    <row r="1334" spans="1:14">
      <c r="A1334" s="1" t="str">
        <f>equip.xml!A1338</f>
        <v>50012060</v>
      </c>
      <c r="B1334" s="1">
        <f>equip.xml!B1338</f>
        <v>1</v>
      </c>
      <c r="C1334" s="1" t="str">
        <f>equip.xml!C1338</f>
        <v>小箭筒</v>
      </c>
      <c r="D1334" s="1" t="str">
        <f>equip.xml!D1338</f>
        <v>副手武器</v>
      </c>
      <c r="E1334" s="1">
        <f>equip.xml!E1338</f>
        <v>6</v>
      </c>
      <c r="F1334" s="1">
        <f>equip.xml!F1338</f>
        <v>5</v>
      </c>
      <c r="G1334" s="1">
        <f>equip.xml!G1338</f>
        <v>1</v>
      </c>
      <c r="H1334" s="1" t="str">
        <f>equip.xml!H1338</f>
        <v>2,1002</v>
      </c>
      <c r="I1334" s="1">
        <f>equip.xml!J1338</f>
        <v>150</v>
      </c>
      <c r="J1334" s="1">
        <f>equip.xml!K1338</f>
        <v>1500</v>
      </c>
      <c r="K1334" s="1">
        <f>equip.xml!L1338</f>
        <v>0</v>
      </c>
      <c r="L1334" s="1" t="str">
        <f>equip.xml!M1338</f>
        <v>108_4_4</v>
      </c>
      <c r="M1334" s="7" t="str">
        <f>equip.xml!Q1338</f>
        <v>equipment/2201.png</v>
      </c>
      <c r="N1334" t="str">
        <f>equip.xml!P1338</f>
        <v>10000_1002_1000,30000_30001_1,30000_30002_1,30000_30003_1</v>
      </c>
    </row>
    <row r="1335" spans="1:14">
      <c r="A1335" s="1" t="str">
        <f>equip.xml!A1339</f>
        <v>50012061</v>
      </c>
      <c r="B1335" s="1">
        <f>equip.xml!B1339</f>
        <v>0</v>
      </c>
      <c r="C1335" s="1" t="str">
        <f>equip.xml!C1339</f>
        <v>箭筒</v>
      </c>
      <c r="D1335" s="1" t="str">
        <f>equip.xml!D1339</f>
        <v>副手武器</v>
      </c>
      <c r="E1335" s="1">
        <f>equip.xml!E1339</f>
        <v>6</v>
      </c>
      <c r="F1335" s="1">
        <f>equip.xml!F1339</f>
        <v>5</v>
      </c>
      <c r="G1335" s="1">
        <f>equip.xml!G1339</f>
        <v>1</v>
      </c>
      <c r="H1335" s="1" t="str">
        <f>equip.xml!H1339</f>
        <v>2,1002</v>
      </c>
      <c r="I1335" s="1">
        <f>equip.xml!J1339</f>
        <v>150</v>
      </c>
      <c r="J1335" s="1">
        <f>equip.xml!K1339</f>
        <v>1500</v>
      </c>
      <c r="K1335" s="1">
        <f>equip.xml!L1339</f>
        <v>0</v>
      </c>
      <c r="L1335" s="1" t="str">
        <f>equip.xml!M1339</f>
        <v>108_7_7</v>
      </c>
      <c r="M1335" s="7" t="str">
        <f>equip.xml!Q1339</f>
        <v>equipment/2201.png</v>
      </c>
      <c r="N1335" t="str">
        <f>equip.xml!P1339</f>
        <v>10000_1002_1000,30000_30001_1,30000_30002_1,30000_30003_1</v>
      </c>
    </row>
    <row r="1336" spans="1:14">
      <c r="A1336" s="1" t="str">
        <f>equip.xml!A1340</f>
        <v>50013050</v>
      </c>
      <c r="B1336" s="1">
        <f>equip.xml!B1340</f>
        <v>1</v>
      </c>
      <c r="C1336" s="1" t="str">
        <f>equip.xml!C1340</f>
        <v>训练用杖</v>
      </c>
      <c r="D1336" s="1" t="str">
        <f>equip.xml!D1340</f>
        <v>主手武器</v>
      </c>
      <c r="E1336" s="1">
        <f>equip.xml!E1340</f>
        <v>5</v>
      </c>
      <c r="F1336" s="1">
        <f>equip.xml!F1340</f>
        <v>5</v>
      </c>
      <c r="G1336" s="1">
        <f>equip.xml!G1340</f>
        <v>1</v>
      </c>
      <c r="H1336" s="1" t="str">
        <f>equip.xml!H1340</f>
        <v>3,1003</v>
      </c>
      <c r="I1336" s="1">
        <f>equip.xml!J1340</f>
        <v>150</v>
      </c>
      <c r="J1336" s="1">
        <f>equip.xml!K1340</f>
        <v>1500</v>
      </c>
      <c r="K1336" s="1">
        <f>equip.xml!L1340</f>
        <v>0</v>
      </c>
      <c r="L1336" s="1" t="str">
        <f>equip.xml!M1340</f>
        <v>103_2_2,104_6_6</v>
      </c>
      <c r="M1336" s="7" t="str">
        <f>equip.xml!Q1340</f>
        <v>equipment/1301.png</v>
      </c>
      <c r="N1336" t="str">
        <f>equip.xml!P1340</f>
        <v>10000_1002_1000,30000_30001_1,30000_30002_1,30000_30003_1</v>
      </c>
    </row>
    <row r="1337" spans="1:14">
      <c r="A1337" s="1" t="str">
        <f>equip.xml!A1341</f>
        <v>50013051</v>
      </c>
      <c r="B1337" s="1">
        <f>equip.xml!B1341</f>
        <v>1</v>
      </c>
      <c r="C1337" s="1" t="str">
        <f>equip.xml!C1341</f>
        <v>学徒法杖</v>
      </c>
      <c r="D1337" s="1" t="str">
        <f>equip.xml!D1341</f>
        <v>主手武器</v>
      </c>
      <c r="E1337" s="1">
        <f>equip.xml!E1341</f>
        <v>5</v>
      </c>
      <c r="F1337" s="1">
        <f>equip.xml!F1341</f>
        <v>5</v>
      </c>
      <c r="G1337" s="1">
        <f>equip.xml!G1341</f>
        <v>1</v>
      </c>
      <c r="H1337" s="1" t="str">
        <f>equip.xml!H1341</f>
        <v>3,1003</v>
      </c>
      <c r="I1337" s="1">
        <f>equip.xml!J1341</f>
        <v>150</v>
      </c>
      <c r="J1337" s="1">
        <f>equip.xml!K1341</f>
        <v>1500</v>
      </c>
      <c r="K1337" s="1">
        <f>equip.xml!L1341</f>
        <v>0</v>
      </c>
      <c r="L1337" s="1" t="str">
        <f>equip.xml!M1341</f>
        <v>103_5_5,104_12_12</v>
      </c>
      <c r="M1337" s="7" t="str">
        <f>equip.xml!Q1341</f>
        <v>equipment/1302.png</v>
      </c>
      <c r="N1337" t="str">
        <f>equip.xml!P1341</f>
        <v>10000_1002_1000,30000_30001_1,30000_30002_1,30000_30003_1</v>
      </c>
    </row>
    <row r="1338" spans="1:14">
      <c r="A1338" s="1" t="str">
        <f>equip.xml!A1342</f>
        <v>50013060</v>
      </c>
      <c r="B1338" s="1">
        <f>equip.xml!B1342</f>
        <v>1</v>
      </c>
      <c r="C1338" s="1" t="str">
        <f>equip.xml!C1342</f>
        <v>学徒手册</v>
      </c>
      <c r="D1338" s="1" t="str">
        <f>equip.xml!D1342</f>
        <v>副手武器</v>
      </c>
      <c r="E1338" s="1">
        <f>equip.xml!E1342</f>
        <v>6</v>
      </c>
      <c r="F1338" s="1">
        <f>equip.xml!F1342</f>
        <v>5</v>
      </c>
      <c r="G1338" s="1">
        <f>equip.xml!G1342</f>
        <v>1</v>
      </c>
      <c r="H1338" s="1" t="str">
        <f>equip.xml!H1342</f>
        <v>3,1003</v>
      </c>
      <c r="I1338" s="1">
        <f>equip.xml!J1342</f>
        <v>150</v>
      </c>
      <c r="J1338" s="1">
        <f>equip.xml!K1342</f>
        <v>1500</v>
      </c>
      <c r="K1338" s="1">
        <f>equip.xml!L1342</f>
        <v>0</v>
      </c>
      <c r="L1338" s="1" t="str">
        <f>equip.xml!M1342</f>
        <v>102_30_30</v>
      </c>
      <c r="M1338" s="7" t="str">
        <f>equip.xml!Q1342</f>
        <v>equipment/2301.png</v>
      </c>
      <c r="N1338" t="str">
        <f>equip.xml!P1342</f>
        <v>10000_1002_1000,30000_30001_1,30000_30002_1,30000_30003_1</v>
      </c>
    </row>
    <row r="1339" spans="1:14">
      <c r="A1339" s="1" t="str">
        <f>equip.xml!A1343</f>
        <v>50013061</v>
      </c>
      <c r="B1339" s="1">
        <f>equip.xml!B1343</f>
        <v>0</v>
      </c>
      <c r="C1339" s="1" t="str">
        <f>equip.xml!C1343</f>
        <v>法术指南</v>
      </c>
      <c r="D1339" s="1" t="str">
        <f>equip.xml!D1343</f>
        <v>副手武器</v>
      </c>
      <c r="E1339" s="1">
        <f>equip.xml!E1343</f>
        <v>6</v>
      </c>
      <c r="F1339" s="1">
        <f>equip.xml!F1343</f>
        <v>5</v>
      </c>
      <c r="G1339" s="1">
        <f>equip.xml!G1343</f>
        <v>1</v>
      </c>
      <c r="H1339" s="1" t="str">
        <f>equip.xml!H1343</f>
        <v>3,1003</v>
      </c>
      <c r="I1339" s="1">
        <f>equip.xml!J1343</f>
        <v>150</v>
      </c>
      <c r="J1339" s="1">
        <f>equip.xml!K1343</f>
        <v>1500</v>
      </c>
      <c r="K1339" s="1">
        <f>equip.xml!L1343</f>
        <v>0</v>
      </c>
      <c r="L1339" s="1" t="str">
        <f>equip.xml!M1343</f>
        <v>102_7_7</v>
      </c>
      <c r="M1339" s="7" t="str">
        <f>equip.xml!Q1343</f>
        <v>equipment/2301.png</v>
      </c>
      <c r="N1339" t="str">
        <f>equip.xml!P1343</f>
        <v>10000_1002_1000,30000_30001_1,30000_30002_1,30000_30003_1</v>
      </c>
    </row>
    <row r="1340" spans="1:14">
      <c r="A1340" s="1" t="str">
        <f>equip.xml!A1344</f>
        <v>50010040</v>
      </c>
      <c r="B1340" s="1">
        <f>equip.xml!B1344</f>
        <v>1</v>
      </c>
      <c r="C1340" s="1" t="str">
        <f>equip.xml!C1344</f>
        <v>新兵外套</v>
      </c>
      <c r="D1340" s="1" t="str">
        <f>equip.xml!D1344</f>
        <v>胸甲</v>
      </c>
      <c r="E1340" s="1">
        <f>equip.xml!E1344</f>
        <v>4</v>
      </c>
      <c r="F1340" s="1">
        <f>equip.xml!F1344</f>
        <v>5</v>
      </c>
      <c r="G1340" s="1">
        <f>equip.xml!G1344</f>
        <v>1</v>
      </c>
      <c r="H1340" s="1">
        <f>equip.xml!H1344</f>
        <v>0</v>
      </c>
      <c r="I1340" s="1">
        <f>equip.xml!J1344</f>
        <v>150</v>
      </c>
      <c r="J1340" s="1">
        <f>equip.xml!K1344</f>
        <v>1500</v>
      </c>
      <c r="K1340" s="1">
        <f>equip.xml!L1344</f>
        <v>0</v>
      </c>
      <c r="L1340" s="1" t="str">
        <f>equip.xml!M1344</f>
        <v>105_3_3</v>
      </c>
      <c r="M1340" s="7" t="str">
        <f>equip.xml!Q1344</f>
        <v>equipment/5001.png</v>
      </c>
      <c r="N1340" t="str">
        <f>equip.xml!P1344</f>
        <v>10000_1002_1000,30000_30001_1,30000_30002_1,30000_30003_1</v>
      </c>
    </row>
    <row r="1341" spans="1:14">
      <c r="A1341" s="1" t="str">
        <f>equip.xml!A1345</f>
        <v>50010041</v>
      </c>
      <c r="B1341" s="1">
        <f>equip.xml!B1345</f>
        <v>0</v>
      </c>
      <c r="C1341" s="1" t="str">
        <f>equip.xml!C1345</f>
        <v>新兵外套</v>
      </c>
      <c r="D1341" s="1" t="str">
        <f>equip.xml!D1345</f>
        <v>胸甲</v>
      </c>
      <c r="E1341" s="1">
        <f>equip.xml!E1345</f>
        <v>4</v>
      </c>
      <c r="F1341" s="1">
        <f>equip.xml!F1345</f>
        <v>5</v>
      </c>
      <c r="G1341" s="1">
        <f>equip.xml!G1345</f>
        <v>1</v>
      </c>
      <c r="H1341" s="1">
        <f>equip.xml!H1345</f>
        <v>0</v>
      </c>
      <c r="I1341" s="1">
        <f>equip.xml!J1345</f>
        <v>150</v>
      </c>
      <c r="J1341" s="1">
        <f>equip.xml!K1345</f>
        <v>1500</v>
      </c>
      <c r="K1341" s="1">
        <f>equip.xml!L1345</f>
        <v>0</v>
      </c>
      <c r="L1341" s="1" t="str">
        <f>equip.xml!M1345</f>
        <v>105_5_5</v>
      </c>
      <c r="M1341" s="7" t="str">
        <f>equip.xml!Q1345</f>
        <v>equipment/5001.png</v>
      </c>
      <c r="N1341" t="str">
        <f>equip.xml!P1345</f>
        <v>10000_1002_1000,30000_30001_1,30000_30002_1,30000_30003_1</v>
      </c>
    </row>
    <row r="1342" spans="1:14">
      <c r="A1342" s="1" t="str">
        <f>equip.xml!A1346</f>
        <v>50010070</v>
      </c>
      <c r="B1342" s="1">
        <f>equip.xml!B1346</f>
        <v>0</v>
      </c>
      <c r="C1342" s="1" t="str">
        <f>equip.xml!C1346</f>
        <v>皮甲短裤</v>
      </c>
      <c r="D1342" s="1" t="str">
        <f>equip.xml!D1346</f>
        <v>护腿</v>
      </c>
      <c r="E1342" s="1">
        <f>equip.xml!E1346</f>
        <v>7</v>
      </c>
      <c r="F1342" s="1">
        <f>equip.xml!F1346</f>
        <v>5</v>
      </c>
      <c r="G1342" s="1">
        <f>equip.xml!G1346</f>
        <v>1</v>
      </c>
      <c r="H1342" s="1">
        <f>equip.xml!H1346</f>
        <v>0</v>
      </c>
      <c r="I1342" s="1">
        <f>equip.xml!J1346</f>
        <v>150</v>
      </c>
      <c r="J1342" s="1">
        <f>equip.xml!K1346</f>
        <v>1500</v>
      </c>
      <c r="K1342" s="1">
        <f>equip.xml!L1346</f>
        <v>0</v>
      </c>
      <c r="L1342" s="1" t="str">
        <f>equip.xml!M1346</f>
        <v>105_0_0</v>
      </c>
      <c r="M1342" s="7" t="str">
        <f>equip.xml!Q1346</f>
        <v>equipment/7001.png</v>
      </c>
      <c r="N1342" t="str">
        <f>equip.xml!P1346</f>
        <v>10000_1002_1000,30000_30001_1,30000_30002_1,30000_30003_1</v>
      </c>
    </row>
    <row r="1343" spans="1:14">
      <c r="A1343" s="1" t="str">
        <f>equip.xml!A1347</f>
        <v>50010071</v>
      </c>
      <c r="B1343" s="1">
        <f>equip.xml!B1347</f>
        <v>0</v>
      </c>
      <c r="C1343" s="1" t="str">
        <f>equip.xml!C1347</f>
        <v>学徒短裤</v>
      </c>
      <c r="D1343" s="1" t="str">
        <f>equip.xml!D1347</f>
        <v>护腿</v>
      </c>
      <c r="E1343" s="1">
        <f>equip.xml!E1347</f>
        <v>7</v>
      </c>
      <c r="F1343" s="1">
        <f>equip.xml!F1347</f>
        <v>5</v>
      </c>
      <c r="G1343" s="1">
        <f>equip.xml!G1347</f>
        <v>1</v>
      </c>
      <c r="H1343" s="1">
        <f>equip.xml!H1347</f>
        <v>0</v>
      </c>
      <c r="I1343" s="1">
        <f>equip.xml!J1347</f>
        <v>150</v>
      </c>
      <c r="J1343" s="1">
        <f>equip.xml!K1347</f>
        <v>1500</v>
      </c>
      <c r="K1343" s="1">
        <f>equip.xml!L1347</f>
        <v>0</v>
      </c>
      <c r="L1343" s="1" t="str">
        <f>equip.xml!M1347</f>
        <v>105_1_1</v>
      </c>
      <c r="M1343" s="7" t="str">
        <f>equip.xml!Q1347</f>
        <v>equipment/7001.png</v>
      </c>
      <c r="N1343" t="str">
        <f>equip.xml!P1347</f>
        <v>10000_1002_1000,30000_30001_1,30000_30002_1,30000_30003_1</v>
      </c>
    </row>
    <row r="1344" spans="1:14">
      <c r="A1344" s="1" t="str">
        <f>equip.xml!A1348</f>
        <v>50050010</v>
      </c>
      <c r="B1344" s="1">
        <f>equip.xml!B1348</f>
        <v>1</v>
      </c>
      <c r="C1344" s="1" t="str">
        <f>equip.xml!C1348</f>
        <v>纹饰帽</v>
      </c>
      <c r="D1344" s="1" t="str">
        <f>equip.xml!D1348</f>
        <v>头盔</v>
      </c>
      <c r="E1344" s="1">
        <f>equip.xml!E1348</f>
        <v>1</v>
      </c>
      <c r="F1344" s="1">
        <f>equip.xml!F1348</f>
        <v>5</v>
      </c>
      <c r="G1344" s="1">
        <f>equip.xml!G1348</f>
        <v>5</v>
      </c>
      <c r="H1344" s="1">
        <f>equip.xml!H1348</f>
        <v>0</v>
      </c>
      <c r="I1344" s="1">
        <f>equip.xml!J1348</f>
        <v>150</v>
      </c>
      <c r="J1344" s="1">
        <f>equip.xml!K1348</f>
        <v>1500</v>
      </c>
      <c r="K1344" s="1">
        <f>equip.xml!L1348</f>
        <v>0</v>
      </c>
      <c r="L1344" s="1" t="str">
        <f>equip.xml!M1348</f>
        <v>106_20_20</v>
      </c>
      <c r="M1344" s="7" t="str">
        <f>equip.xml!Q1348</f>
        <v>equipment/3001.png</v>
      </c>
      <c r="N1344" t="str">
        <f>equip.xml!P1348</f>
        <v>10000_1002_5000,30000_30001_1,30000_30002_1,30000_30003_1</v>
      </c>
    </row>
    <row r="1345" spans="1:14">
      <c r="A1345" s="1" t="str">
        <f>equip.xml!A1349</f>
        <v>50050020</v>
      </c>
      <c r="B1345" s="1">
        <f>equip.xml!B1349</f>
        <v>1</v>
      </c>
      <c r="C1345" s="1" t="str">
        <f>equip.xml!C1349</f>
        <v>金戒指</v>
      </c>
      <c r="D1345" s="1" t="str">
        <f>equip.xml!D1349</f>
        <v>戒指</v>
      </c>
      <c r="E1345" s="1">
        <f>equip.xml!E1349</f>
        <v>2</v>
      </c>
      <c r="F1345" s="1">
        <f>equip.xml!F1349</f>
        <v>5</v>
      </c>
      <c r="G1345" s="1">
        <f>equip.xml!G1349</f>
        <v>5</v>
      </c>
      <c r="H1345" s="1">
        <f>equip.xml!H1349</f>
        <v>0</v>
      </c>
      <c r="I1345" s="1">
        <f>equip.xml!J1349</f>
        <v>150</v>
      </c>
      <c r="J1345" s="1">
        <f>equip.xml!K1349</f>
        <v>1500</v>
      </c>
      <c r="K1345" s="1">
        <f>equip.xml!L1349</f>
        <v>0</v>
      </c>
      <c r="L1345" s="1" t="str">
        <f>equip.xml!M1349</f>
        <v>102_80_80</v>
      </c>
      <c r="M1345" s="7" t="str">
        <f>equip.xml!Q1349</f>
        <v>equipment/14001.png</v>
      </c>
      <c r="N1345" t="str">
        <f>equip.xml!P1349</f>
        <v>10000_1002_5000,30000_30001_1,30000_30002_1,30000_30003_1</v>
      </c>
    </row>
    <row r="1346" spans="1:14">
      <c r="A1346" s="1" t="str">
        <f>equip.xml!A1350</f>
        <v>50050030</v>
      </c>
      <c r="B1346" s="1">
        <f>equip.xml!B1350</f>
        <v>1</v>
      </c>
      <c r="C1346" s="1" t="str">
        <f>equip.xml!C1350</f>
        <v>兽皮腰带</v>
      </c>
      <c r="D1346" s="1" t="str">
        <f>equip.xml!D1350</f>
        <v>腰带</v>
      </c>
      <c r="E1346" s="1">
        <f>equip.xml!E1350</f>
        <v>3</v>
      </c>
      <c r="F1346" s="1">
        <f>equip.xml!F1350</f>
        <v>5</v>
      </c>
      <c r="G1346" s="1">
        <f>equip.xml!G1350</f>
        <v>5</v>
      </c>
      <c r="H1346" s="1">
        <f>equip.xml!H1350</f>
        <v>0</v>
      </c>
      <c r="I1346" s="1">
        <f>equip.xml!J1350</f>
        <v>150</v>
      </c>
      <c r="J1346" s="1">
        <f>equip.xml!K1350</f>
        <v>1500</v>
      </c>
      <c r="K1346" s="1">
        <f>equip.xml!L1350</f>
        <v>0</v>
      </c>
      <c r="L1346" s="1" t="str">
        <f>equip.xml!M1350</f>
        <v>101_100_100</v>
      </c>
      <c r="M1346" s="7" t="str">
        <f>equip.xml!Q1350</f>
        <v>equipment/6001.png</v>
      </c>
      <c r="N1346" t="str">
        <f>equip.xml!P1350</f>
        <v>10000_1002_5000,30000_30001_1,30000_30002_1,30000_30003_1</v>
      </c>
    </row>
    <row r="1347" spans="1:14">
      <c r="A1347" s="1" t="str">
        <f>equip.xml!A1351</f>
        <v>50050080</v>
      </c>
      <c r="B1347" s="1">
        <f>equip.xml!B1351</f>
        <v>0</v>
      </c>
      <c r="C1347" s="1" t="str">
        <f>equip.xml!C1351</f>
        <v>皮靴</v>
      </c>
      <c r="D1347" s="1" t="str">
        <f>equip.xml!D1351</f>
        <v>鞋子</v>
      </c>
      <c r="E1347" s="1">
        <f>equip.xml!E1351</f>
        <v>8</v>
      </c>
      <c r="F1347" s="1">
        <f>equip.xml!F1351</f>
        <v>5</v>
      </c>
      <c r="G1347" s="1">
        <f>equip.xml!G1351</f>
        <v>5</v>
      </c>
      <c r="H1347" s="1">
        <f>equip.xml!H1351</f>
        <v>0</v>
      </c>
      <c r="I1347" s="1">
        <f>equip.xml!J1351</f>
        <v>150</v>
      </c>
      <c r="J1347" s="1">
        <f>equip.xml!K1351</f>
        <v>1500</v>
      </c>
      <c r="K1347" s="1">
        <f>equip.xml!L1351</f>
        <v>0</v>
      </c>
      <c r="L1347" s="1" t="str">
        <f>equip.xml!M1351</f>
        <v>110_7_7</v>
      </c>
      <c r="M1347" s="7" t="str">
        <f>equip.xml!Q1351</f>
        <v>equipment/8001.png</v>
      </c>
      <c r="N1347" t="str">
        <f>equip.xml!P1351</f>
        <v>10000_1002_5000,30000_30001_1,30000_30002_1,30000_30003_1</v>
      </c>
    </row>
    <row r="1348" spans="1:14">
      <c r="A1348" s="1" t="str">
        <f>equip.xml!A1352</f>
        <v>50050090</v>
      </c>
      <c r="B1348" s="1">
        <f>equip.xml!B1352</f>
        <v>0</v>
      </c>
      <c r="C1348" s="1" t="str">
        <f>equip.xml!C1352</f>
        <v>轻布手套</v>
      </c>
      <c r="D1348" s="1" t="str">
        <f>equip.xml!D1352</f>
        <v>手套</v>
      </c>
      <c r="E1348" s="1">
        <f>equip.xml!E1352</f>
        <v>9</v>
      </c>
      <c r="F1348" s="1">
        <f>equip.xml!F1352</f>
        <v>5</v>
      </c>
      <c r="G1348" s="1">
        <f>equip.xml!G1352</f>
        <v>5</v>
      </c>
      <c r="H1348" s="1">
        <f>equip.xml!H1352</f>
        <v>0</v>
      </c>
      <c r="I1348" s="1">
        <f>equip.xml!J1352</f>
        <v>150</v>
      </c>
      <c r="J1348" s="1">
        <f>equip.xml!K1352</f>
        <v>1500</v>
      </c>
      <c r="K1348" s="1">
        <f>equip.xml!L1352</f>
        <v>0</v>
      </c>
      <c r="L1348" s="1" t="str">
        <f>equip.xml!M1352</f>
        <v>108_23_23</v>
      </c>
      <c r="M1348" s="7" t="str">
        <f>equip.xml!Q1352</f>
        <v>equipment/10001.png</v>
      </c>
      <c r="N1348" t="str">
        <f>equip.xml!P1352</f>
        <v>10000_1002_5000,30000_30001_1,30000_30002_1,30000_30003_1</v>
      </c>
    </row>
    <row r="1349" spans="1:14">
      <c r="A1349" s="1" t="str">
        <f>equip.xml!A1353</f>
        <v>50050100</v>
      </c>
      <c r="B1349" s="1">
        <f>equip.xml!B1353</f>
        <v>1</v>
      </c>
      <c r="C1349" s="1" t="str">
        <f>equip.xml!C1353</f>
        <v>贝壳项链</v>
      </c>
      <c r="D1349" s="1" t="str">
        <f>equip.xml!D1353</f>
        <v>项链</v>
      </c>
      <c r="E1349" s="1">
        <f>equip.xml!E1353</f>
        <v>10</v>
      </c>
      <c r="F1349" s="1">
        <f>equip.xml!F1353</f>
        <v>5</v>
      </c>
      <c r="G1349" s="1">
        <f>equip.xml!G1353</f>
        <v>5</v>
      </c>
      <c r="H1349" s="1">
        <f>equip.xml!H1353</f>
        <v>0</v>
      </c>
      <c r="I1349" s="1">
        <f>equip.xml!J1353</f>
        <v>150</v>
      </c>
      <c r="J1349" s="1">
        <f>equip.xml!K1353</f>
        <v>1500</v>
      </c>
      <c r="K1349" s="1">
        <f>equip.xml!L1353</f>
        <v>0</v>
      </c>
      <c r="L1349" s="1" t="str">
        <f>equip.xml!M1353</f>
        <v>107_20_20</v>
      </c>
      <c r="M1349" s="7" t="str">
        <f>equip.xml!Q1353</f>
        <v>equipment/12001.png</v>
      </c>
      <c r="N1349" t="str">
        <f>equip.xml!P1353</f>
        <v>10000_1002_5000,30000_30001_1,30000_30002_1,30000_30003_1</v>
      </c>
    </row>
    <row r="1350" spans="1:14">
      <c r="A1350" s="1" t="str">
        <f>equip.xml!A1354</f>
        <v>50051050</v>
      </c>
      <c r="B1350" s="1">
        <f>equip.xml!B1354</f>
        <v>1</v>
      </c>
      <c r="C1350" s="1" t="str">
        <f>equip.xml!C1354</f>
        <v>长剑</v>
      </c>
      <c r="D1350" s="1" t="str">
        <f>equip.xml!D1354</f>
        <v>主手武器</v>
      </c>
      <c r="E1350" s="1">
        <f>equip.xml!E1354</f>
        <v>5</v>
      </c>
      <c r="F1350" s="1">
        <f>equip.xml!F1354</f>
        <v>5</v>
      </c>
      <c r="G1350" s="1">
        <f>equip.xml!G1354</f>
        <v>5</v>
      </c>
      <c r="H1350" s="1" t="str">
        <f>equip.xml!H1354</f>
        <v>1,1001</v>
      </c>
      <c r="I1350" s="1">
        <f>equip.xml!J1354</f>
        <v>150</v>
      </c>
      <c r="J1350" s="1">
        <f>equip.xml!K1354</f>
        <v>1500</v>
      </c>
      <c r="K1350" s="1">
        <f>equip.xml!L1354</f>
        <v>0</v>
      </c>
      <c r="L1350" s="1" t="str">
        <f>equip.xml!M1354</f>
        <v>103_10_10,104_20_20</v>
      </c>
      <c r="M1350" s="7" t="str">
        <f>equip.xml!Q1354</f>
        <v>equipment/1103.png</v>
      </c>
      <c r="N1350" t="str">
        <f>equip.xml!P1354</f>
        <v>10000_1002_5000,30000_30001_1,30000_30002_1,30000_30003_1</v>
      </c>
    </row>
    <row r="1351" spans="1:14">
      <c r="A1351" s="1" t="str">
        <f>equip.xml!A1355</f>
        <v>50051051</v>
      </c>
      <c r="B1351" s="1">
        <f>equip.xml!B1355</f>
        <v>1</v>
      </c>
      <c r="C1351" s="1" t="str">
        <f>equip.xml!C1355</f>
        <v>双刃剑</v>
      </c>
      <c r="D1351" s="1" t="str">
        <f>equip.xml!D1355</f>
        <v>主手武器</v>
      </c>
      <c r="E1351" s="1">
        <f>equip.xml!E1355</f>
        <v>5</v>
      </c>
      <c r="F1351" s="1">
        <f>equip.xml!F1355</f>
        <v>5</v>
      </c>
      <c r="G1351" s="1">
        <f>equip.xml!G1355</f>
        <v>5</v>
      </c>
      <c r="H1351" s="1" t="str">
        <f>equip.xml!H1355</f>
        <v>1,1001</v>
      </c>
      <c r="I1351" s="1">
        <f>equip.xml!J1355</f>
        <v>150</v>
      </c>
      <c r="J1351" s="1">
        <f>equip.xml!K1355</f>
        <v>1500</v>
      </c>
      <c r="K1351" s="1">
        <f>equip.xml!L1355</f>
        <v>0</v>
      </c>
      <c r="L1351" s="1" t="str">
        <f>equip.xml!M1355</f>
        <v>103_18_18,104_38_38</v>
      </c>
      <c r="M1351" s="7" t="str">
        <f>equip.xml!Q1355</f>
        <v>equipment/1104.png</v>
      </c>
      <c r="N1351" t="str">
        <f>equip.xml!P1355</f>
        <v>10000_1002_5000,30000_30001_1,30000_30002_1,30000_30003_1</v>
      </c>
    </row>
    <row r="1352" spans="1:14">
      <c r="A1352" s="1" t="str">
        <f>equip.xml!A1356</f>
        <v>50051060</v>
      </c>
      <c r="B1352" s="1">
        <f>equip.xml!B1356</f>
        <v>1</v>
      </c>
      <c r="C1352" s="1" t="str">
        <f>equip.xml!C1356</f>
        <v>尖头盾</v>
      </c>
      <c r="D1352" s="1" t="str">
        <f>equip.xml!D1356</f>
        <v>副手武器</v>
      </c>
      <c r="E1352" s="1">
        <f>equip.xml!E1356</f>
        <v>6</v>
      </c>
      <c r="F1352" s="1">
        <f>equip.xml!F1356</f>
        <v>5</v>
      </c>
      <c r="G1352" s="1">
        <f>equip.xml!G1356</f>
        <v>5</v>
      </c>
      <c r="H1352" s="1" t="str">
        <f>equip.xml!H1356</f>
        <v>1,1001</v>
      </c>
      <c r="I1352" s="1">
        <f>equip.xml!J1356</f>
        <v>150</v>
      </c>
      <c r="J1352" s="1">
        <f>equip.xml!K1356</f>
        <v>1500</v>
      </c>
      <c r="K1352" s="1">
        <f>equip.xml!L1356</f>
        <v>0</v>
      </c>
      <c r="L1352" s="1" t="str">
        <f>equip.xml!M1356</f>
        <v>105_12_12</v>
      </c>
      <c r="M1352" s="7" t="str">
        <f>equip.xml!Q1356</f>
        <v>equipment/2102.png</v>
      </c>
      <c r="N1352" t="str">
        <f>equip.xml!P1356</f>
        <v>10000_1002_5000,30000_30001_1,30000_30002_1,30000_30003_1</v>
      </c>
    </row>
    <row r="1353" spans="1:14">
      <c r="A1353" s="1" t="str">
        <f>equip.xml!A1357</f>
        <v>50051061</v>
      </c>
      <c r="B1353" s="1">
        <f>equip.xml!B1357</f>
        <v>0</v>
      </c>
      <c r="C1353" s="1" t="str">
        <f>equip.xml!C1357</f>
        <v>尖头盾</v>
      </c>
      <c r="D1353" s="1" t="str">
        <f>equip.xml!D1357</f>
        <v>副手武器</v>
      </c>
      <c r="E1353" s="1">
        <f>equip.xml!E1357</f>
        <v>6</v>
      </c>
      <c r="F1353" s="1">
        <f>equip.xml!F1357</f>
        <v>5</v>
      </c>
      <c r="G1353" s="1">
        <f>equip.xml!G1357</f>
        <v>5</v>
      </c>
      <c r="H1353" s="1" t="str">
        <f>equip.xml!H1357</f>
        <v>1,1001</v>
      </c>
      <c r="I1353" s="1">
        <f>equip.xml!J1357</f>
        <v>150</v>
      </c>
      <c r="J1353" s="1">
        <f>equip.xml!K1357</f>
        <v>1500</v>
      </c>
      <c r="K1353" s="1">
        <f>equip.xml!L1357</f>
        <v>0</v>
      </c>
      <c r="L1353" s="1" t="str">
        <f>equip.xml!M1357</f>
        <v>105_19_19</v>
      </c>
      <c r="M1353" s="7" t="str">
        <f>equip.xml!Q1357</f>
        <v>equipment/2101.png</v>
      </c>
      <c r="N1353" t="str">
        <f>equip.xml!P1357</f>
        <v>10000_1002_5000,30000_30001_1,30000_30002_1,30000_30003_1</v>
      </c>
    </row>
    <row r="1354" spans="1:14">
      <c r="A1354" s="1" t="str">
        <f>equip.xml!A1358</f>
        <v>50052050</v>
      </c>
      <c r="B1354" s="1">
        <f>equip.xml!B1358</f>
        <v>1</v>
      </c>
      <c r="C1354" s="1" t="str">
        <f>equip.xml!C1358</f>
        <v>硬弓</v>
      </c>
      <c r="D1354" s="1" t="str">
        <f>equip.xml!D1358</f>
        <v>主手武器</v>
      </c>
      <c r="E1354" s="1">
        <f>equip.xml!E1358</f>
        <v>5</v>
      </c>
      <c r="F1354" s="1">
        <f>equip.xml!F1358</f>
        <v>5</v>
      </c>
      <c r="G1354" s="1">
        <f>equip.xml!G1358</f>
        <v>5</v>
      </c>
      <c r="H1354" s="1" t="str">
        <f>equip.xml!H1358</f>
        <v>2,1002</v>
      </c>
      <c r="I1354" s="1">
        <f>equip.xml!J1358</f>
        <v>150</v>
      </c>
      <c r="J1354" s="1">
        <f>equip.xml!K1358</f>
        <v>1500</v>
      </c>
      <c r="K1354" s="1">
        <f>equip.xml!L1358</f>
        <v>0</v>
      </c>
      <c r="L1354" s="1" t="str">
        <f>equip.xml!M1358</f>
        <v>103_10_10,104_20_20</v>
      </c>
      <c r="M1354" s="7" t="str">
        <f>equip.xml!Q1358</f>
        <v>equipment/1204.png</v>
      </c>
      <c r="N1354" t="str">
        <f>equip.xml!P1358</f>
        <v>10000_1002_5000,30000_30001_1,30000_30002_1,30000_30003_1</v>
      </c>
    </row>
    <row r="1355" spans="1:14">
      <c r="A1355" s="1" t="str">
        <f>equip.xml!A1359</f>
        <v>50052051</v>
      </c>
      <c r="B1355" s="1">
        <f>equip.xml!B1359</f>
        <v>1</v>
      </c>
      <c r="C1355" s="1" t="str">
        <f>equip.xml!C1359</f>
        <v>反曲弓</v>
      </c>
      <c r="D1355" s="1" t="str">
        <f>equip.xml!D1359</f>
        <v>主手武器</v>
      </c>
      <c r="E1355" s="1">
        <f>equip.xml!E1359</f>
        <v>5</v>
      </c>
      <c r="F1355" s="1">
        <f>equip.xml!F1359</f>
        <v>5</v>
      </c>
      <c r="G1355" s="1">
        <f>equip.xml!G1359</f>
        <v>5</v>
      </c>
      <c r="H1355" s="1" t="str">
        <f>equip.xml!H1359</f>
        <v>2,1002</v>
      </c>
      <c r="I1355" s="1">
        <f>equip.xml!J1359</f>
        <v>150</v>
      </c>
      <c r="J1355" s="1">
        <f>equip.xml!K1359</f>
        <v>1500</v>
      </c>
      <c r="K1355" s="1">
        <f>equip.xml!L1359</f>
        <v>0</v>
      </c>
      <c r="L1355" s="1" t="str">
        <f>equip.xml!M1359</f>
        <v>103_18_18,104_38_38</v>
      </c>
      <c r="M1355" s="7" t="str">
        <f>equip.xml!Q1359</f>
        <v>equipment/1203.png</v>
      </c>
      <c r="N1355" t="str">
        <f>equip.xml!P1359</f>
        <v>10000_1002_5000,30000_30001_1,30000_30002_1,30000_30003_1</v>
      </c>
    </row>
    <row r="1356" spans="1:14">
      <c r="A1356" s="1" t="str">
        <f>equip.xml!A1360</f>
        <v>50052060</v>
      </c>
      <c r="B1356" s="1">
        <f>equip.xml!B1360</f>
        <v>1</v>
      </c>
      <c r="C1356" s="1" t="str">
        <f>equip.xml!C1360</f>
        <v>箭筒</v>
      </c>
      <c r="D1356" s="1" t="str">
        <f>equip.xml!D1360</f>
        <v>副手武器</v>
      </c>
      <c r="E1356" s="1">
        <f>equip.xml!E1360</f>
        <v>6</v>
      </c>
      <c r="F1356" s="1">
        <f>equip.xml!F1360</f>
        <v>5</v>
      </c>
      <c r="G1356" s="1">
        <f>equip.xml!G1360</f>
        <v>5</v>
      </c>
      <c r="H1356" s="1" t="str">
        <f>equip.xml!H1360</f>
        <v>2,1002</v>
      </c>
      <c r="I1356" s="1">
        <f>equip.xml!J1360</f>
        <v>150</v>
      </c>
      <c r="J1356" s="1">
        <f>equip.xml!K1360</f>
        <v>1500</v>
      </c>
      <c r="K1356" s="1">
        <f>equip.xml!L1360</f>
        <v>0</v>
      </c>
      <c r="L1356" s="1" t="str">
        <f>equip.xml!M1360</f>
        <v>108_12_12</v>
      </c>
      <c r="M1356" s="7" t="str">
        <f>equip.xml!Q1360</f>
        <v>equipment/2202.png</v>
      </c>
      <c r="N1356" t="str">
        <f>equip.xml!P1360</f>
        <v>10000_1002_5000,30000_30001_1,30000_30002_1,30000_30003_1</v>
      </c>
    </row>
    <row r="1357" spans="1:14">
      <c r="A1357" s="1" t="str">
        <f>equip.xml!A1361</f>
        <v>50052061</v>
      </c>
      <c r="B1357" s="1">
        <f>equip.xml!B1361</f>
        <v>0</v>
      </c>
      <c r="C1357" s="1" t="str">
        <f>equip.xml!C1361</f>
        <v>箭筒</v>
      </c>
      <c r="D1357" s="1" t="str">
        <f>equip.xml!D1361</f>
        <v>副手武器</v>
      </c>
      <c r="E1357" s="1">
        <f>equip.xml!E1361</f>
        <v>6</v>
      </c>
      <c r="F1357" s="1">
        <f>equip.xml!F1361</f>
        <v>5</v>
      </c>
      <c r="G1357" s="1">
        <f>equip.xml!G1361</f>
        <v>5</v>
      </c>
      <c r="H1357" s="1" t="str">
        <f>equip.xml!H1361</f>
        <v>2,1002</v>
      </c>
      <c r="I1357" s="1">
        <f>equip.xml!J1361</f>
        <v>150</v>
      </c>
      <c r="J1357" s="1">
        <f>equip.xml!K1361</f>
        <v>1500</v>
      </c>
      <c r="K1357" s="1">
        <f>equip.xml!L1361</f>
        <v>0</v>
      </c>
      <c r="L1357" s="1" t="str">
        <f>equip.xml!M1361</f>
        <v>108_19_19</v>
      </c>
      <c r="M1357" s="7" t="str">
        <f>equip.xml!Q1361</f>
        <v>equipment/2201.png</v>
      </c>
      <c r="N1357" t="str">
        <f>equip.xml!P1361</f>
        <v>10000_1002_5000,30000_30001_1,30000_30002_1,30000_30003_1</v>
      </c>
    </row>
    <row r="1358" spans="1:14">
      <c r="A1358" s="1" t="str">
        <f>equip.xml!A1362</f>
        <v>50053050</v>
      </c>
      <c r="B1358" s="1">
        <f>equip.xml!B1362</f>
        <v>1</v>
      </c>
      <c r="C1358" s="1" t="str">
        <f>equip.xml!C1362</f>
        <v>巫术之杖</v>
      </c>
      <c r="D1358" s="1" t="str">
        <f>equip.xml!D1362</f>
        <v>主手武器</v>
      </c>
      <c r="E1358" s="1">
        <f>equip.xml!E1362</f>
        <v>5</v>
      </c>
      <c r="F1358" s="1">
        <f>equip.xml!F1362</f>
        <v>5</v>
      </c>
      <c r="G1358" s="1">
        <f>equip.xml!G1362</f>
        <v>5</v>
      </c>
      <c r="H1358" s="1" t="str">
        <f>equip.xml!H1362</f>
        <v>3,1003</v>
      </c>
      <c r="I1358" s="1">
        <f>equip.xml!J1362</f>
        <v>150</v>
      </c>
      <c r="J1358" s="1">
        <f>equip.xml!K1362</f>
        <v>1500</v>
      </c>
      <c r="K1358" s="1">
        <f>equip.xml!L1362</f>
        <v>0</v>
      </c>
      <c r="L1358" s="1" t="str">
        <f>equip.xml!M1362</f>
        <v>103_10_10,104_20_20</v>
      </c>
      <c r="M1358" s="7" t="str">
        <f>equip.xml!Q1362</f>
        <v>equipment/1303.png</v>
      </c>
      <c r="N1358" t="str">
        <f>equip.xml!P1362</f>
        <v>10000_1002_5000,30000_30001_1,30000_30002_1,30000_30003_1</v>
      </c>
    </row>
    <row r="1359" spans="1:14">
      <c r="A1359" s="1" t="str">
        <f>equip.xml!A1363</f>
        <v>50053051</v>
      </c>
      <c r="B1359" s="1">
        <f>equip.xml!B1363</f>
        <v>1</v>
      </c>
      <c r="C1359" s="1" t="str">
        <f>equip.xml!C1363</f>
        <v>秘术法杖</v>
      </c>
      <c r="D1359" s="1" t="str">
        <f>equip.xml!D1363</f>
        <v>主手武器</v>
      </c>
      <c r="E1359" s="1">
        <f>equip.xml!E1363</f>
        <v>5</v>
      </c>
      <c r="F1359" s="1">
        <f>equip.xml!F1363</f>
        <v>5</v>
      </c>
      <c r="G1359" s="1">
        <f>equip.xml!G1363</f>
        <v>5</v>
      </c>
      <c r="H1359" s="1" t="str">
        <f>equip.xml!H1363</f>
        <v>3,1003</v>
      </c>
      <c r="I1359" s="1">
        <f>equip.xml!J1363</f>
        <v>150</v>
      </c>
      <c r="J1359" s="1">
        <f>equip.xml!K1363</f>
        <v>1500</v>
      </c>
      <c r="K1359" s="1">
        <f>equip.xml!L1363</f>
        <v>0</v>
      </c>
      <c r="L1359" s="1" t="str">
        <f>equip.xml!M1363</f>
        <v>103_18_18,104_38_38</v>
      </c>
      <c r="M1359" s="7" t="str">
        <f>equip.xml!Q1363</f>
        <v>equipment/1304.png</v>
      </c>
      <c r="N1359" t="str">
        <f>equip.xml!P1363</f>
        <v>10000_1002_5000,30000_30001_1,30000_30002_1,30000_30003_1</v>
      </c>
    </row>
    <row r="1360" spans="1:14">
      <c r="A1360" s="1" t="str">
        <f>equip.xml!A1364</f>
        <v>50053060</v>
      </c>
      <c r="B1360" s="1">
        <f>equip.xml!B1364</f>
        <v>1</v>
      </c>
      <c r="C1360" s="1" t="str">
        <f>equip.xml!C1364</f>
        <v>法术指南</v>
      </c>
      <c r="D1360" s="1" t="str">
        <f>equip.xml!D1364</f>
        <v>副手武器</v>
      </c>
      <c r="E1360" s="1">
        <f>equip.xml!E1364</f>
        <v>6</v>
      </c>
      <c r="F1360" s="1">
        <f>equip.xml!F1364</f>
        <v>5</v>
      </c>
      <c r="G1360" s="1">
        <f>equip.xml!G1364</f>
        <v>5</v>
      </c>
      <c r="H1360" s="1" t="str">
        <f>equip.xml!H1364</f>
        <v>3,1003</v>
      </c>
      <c r="I1360" s="1">
        <f>equip.xml!J1364</f>
        <v>150</v>
      </c>
      <c r="J1360" s="1">
        <f>equip.xml!K1364</f>
        <v>1500</v>
      </c>
      <c r="K1360" s="1">
        <f>equip.xml!L1364</f>
        <v>0</v>
      </c>
      <c r="L1360" s="1" t="str">
        <f>equip.xml!M1364</f>
        <v>102_110_110</v>
      </c>
      <c r="M1360" s="7" t="str">
        <f>equip.xml!Q1364</f>
        <v>equipment/2302.png</v>
      </c>
      <c r="N1360" t="str">
        <f>equip.xml!P1364</f>
        <v>10000_1002_5000,30000_30001_1,30000_30002_1,30000_30003_1</v>
      </c>
    </row>
    <row r="1361" spans="1:14">
      <c r="A1361" s="1" t="str">
        <f>equip.xml!A1365</f>
        <v>50053061</v>
      </c>
      <c r="B1361" s="1">
        <f>equip.xml!B1365</f>
        <v>0</v>
      </c>
      <c r="C1361" s="1" t="str">
        <f>equip.xml!C1365</f>
        <v>法术指南</v>
      </c>
      <c r="D1361" s="1" t="str">
        <f>equip.xml!D1365</f>
        <v>副手武器</v>
      </c>
      <c r="E1361" s="1">
        <f>equip.xml!E1365</f>
        <v>6</v>
      </c>
      <c r="F1361" s="1">
        <f>equip.xml!F1365</f>
        <v>5</v>
      </c>
      <c r="G1361" s="1">
        <f>equip.xml!G1365</f>
        <v>5</v>
      </c>
      <c r="H1361" s="1" t="str">
        <f>equip.xml!H1365</f>
        <v>3,1003</v>
      </c>
      <c r="I1361" s="1">
        <f>equip.xml!J1365</f>
        <v>150</v>
      </c>
      <c r="J1361" s="1">
        <f>equip.xml!K1365</f>
        <v>1500</v>
      </c>
      <c r="K1361" s="1">
        <f>equip.xml!L1365</f>
        <v>0</v>
      </c>
      <c r="L1361" s="1" t="str">
        <f>equip.xml!M1365</f>
        <v>102_19_19</v>
      </c>
      <c r="M1361" s="7" t="str">
        <f>equip.xml!Q1365</f>
        <v>equipment/2301.png</v>
      </c>
      <c r="N1361" t="str">
        <f>equip.xml!P1365</f>
        <v>10000_1002_5000,30000_30001_1,30000_30002_1,30000_30003_1</v>
      </c>
    </row>
    <row r="1362" spans="1:14">
      <c r="A1362" s="1" t="str">
        <f>equip.xml!A1366</f>
        <v>50050040</v>
      </c>
      <c r="B1362" s="1">
        <f>equip.xml!B1366</f>
        <v>1</v>
      </c>
      <c r="C1362" s="1" t="str">
        <f>equip.xml!C1366</f>
        <v>锁甲外套</v>
      </c>
      <c r="D1362" s="1" t="str">
        <f>equip.xml!D1366</f>
        <v>胸甲</v>
      </c>
      <c r="E1362" s="1">
        <f>equip.xml!E1366</f>
        <v>4</v>
      </c>
      <c r="F1362" s="1">
        <f>equip.xml!F1366</f>
        <v>5</v>
      </c>
      <c r="G1362" s="1">
        <f>equip.xml!G1366</f>
        <v>5</v>
      </c>
      <c r="H1362" s="1">
        <f>equip.xml!H1366</f>
        <v>0</v>
      </c>
      <c r="I1362" s="1">
        <f>equip.xml!J1366</f>
        <v>150</v>
      </c>
      <c r="J1362" s="1">
        <f>equip.xml!K1366</f>
        <v>1500</v>
      </c>
      <c r="K1362" s="1">
        <f>equip.xml!L1366</f>
        <v>0</v>
      </c>
      <c r="L1362" s="1" t="str">
        <f>equip.xml!M1366</f>
        <v>105_9_9</v>
      </c>
      <c r="M1362" s="7" t="str">
        <f>equip.xml!Q1366</f>
        <v>equipment/5002.png</v>
      </c>
      <c r="N1362" t="str">
        <f>equip.xml!P1366</f>
        <v>10000_1002_5000,30000_30001_1,30000_30002_1,30000_30003_1</v>
      </c>
    </row>
    <row r="1363" spans="1:14">
      <c r="A1363" s="1" t="str">
        <f>equip.xml!A1367</f>
        <v>50050041</v>
      </c>
      <c r="B1363" s="1">
        <f>equip.xml!B1367</f>
        <v>1</v>
      </c>
      <c r="C1363" s="1" t="str">
        <f>equip.xml!C1367</f>
        <v>战士胸甲</v>
      </c>
      <c r="D1363" s="1" t="str">
        <f>equip.xml!D1367</f>
        <v>胸甲</v>
      </c>
      <c r="E1363" s="1">
        <f>equip.xml!E1367</f>
        <v>4</v>
      </c>
      <c r="F1363" s="1">
        <f>equip.xml!F1367</f>
        <v>5</v>
      </c>
      <c r="G1363" s="1">
        <f>equip.xml!G1367</f>
        <v>5</v>
      </c>
      <c r="H1363" s="1">
        <f>equip.xml!H1367</f>
        <v>0</v>
      </c>
      <c r="I1363" s="1">
        <f>equip.xml!J1367</f>
        <v>150</v>
      </c>
      <c r="J1363" s="1">
        <f>equip.xml!K1367</f>
        <v>1500</v>
      </c>
      <c r="K1363" s="1">
        <f>equip.xml!L1367</f>
        <v>0</v>
      </c>
      <c r="L1363" s="1" t="str">
        <f>equip.xml!M1367</f>
        <v>105_13_13</v>
      </c>
      <c r="M1363" s="7" t="str">
        <f>equip.xml!Q1367</f>
        <v>equipment/5003.png</v>
      </c>
      <c r="N1363" t="str">
        <f>equip.xml!P1367</f>
        <v>10000_1002_5000,30000_30001_1,30000_30002_1,30000_30003_1</v>
      </c>
    </row>
    <row r="1364" spans="1:14">
      <c r="A1364" s="1" t="str">
        <f>equip.xml!A1368</f>
        <v>50050070</v>
      </c>
      <c r="B1364" s="1">
        <f>equip.xml!B1368</f>
        <v>1</v>
      </c>
      <c r="C1364" s="1" t="str">
        <f>equip.xml!C1368</f>
        <v>皮甲短裤</v>
      </c>
      <c r="D1364" s="1" t="str">
        <f>equip.xml!D1368</f>
        <v>护腿</v>
      </c>
      <c r="E1364" s="1">
        <f>equip.xml!E1368</f>
        <v>7</v>
      </c>
      <c r="F1364" s="1">
        <f>equip.xml!F1368</f>
        <v>5</v>
      </c>
      <c r="G1364" s="1">
        <f>equip.xml!G1368</f>
        <v>5</v>
      </c>
      <c r="H1364" s="1">
        <f>equip.xml!H1368</f>
        <v>0</v>
      </c>
      <c r="I1364" s="1">
        <f>equip.xml!J1368</f>
        <v>150</v>
      </c>
      <c r="J1364" s="1">
        <f>equip.xml!K1368</f>
        <v>1500</v>
      </c>
      <c r="K1364" s="1">
        <f>equip.xml!L1368</f>
        <v>0</v>
      </c>
      <c r="L1364" s="1" t="str">
        <f>equip.xml!M1368</f>
        <v>105_3_3</v>
      </c>
      <c r="M1364" s="7" t="str">
        <f>equip.xml!Q1368</f>
        <v>equipment/7001.png</v>
      </c>
      <c r="N1364" t="str">
        <f>equip.xml!P1368</f>
        <v>10000_1002_5000,30000_30001_1,30000_30002_1,30000_30003_1</v>
      </c>
    </row>
    <row r="1365" spans="1:14">
      <c r="A1365" s="1" t="str">
        <f>equip.xml!A1369</f>
        <v>50050071</v>
      </c>
      <c r="B1365" s="1">
        <f>equip.xml!B1369</f>
        <v>1</v>
      </c>
      <c r="C1365" s="1" t="str">
        <f>equip.xml!C1369</f>
        <v>学徒短裤</v>
      </c>
      <c r="D1365" s="1" t="str">
        <f>equip.xml!D1369</f>
        <v>护腿</v>
      </c>
      <c r="E1365" s="1">
        <f>equip.xml!E1369</f>
        <v>7</v>
      </c>
      <c r="F1365" s="1">
        <f>equip.xml!F1369</f>
        <v>5</v>
      </c>
      <c r="G1365" s="1">
        <f>equip.xml!G1369</f>
        <v>5</v>
      </c>
      <c r="H1365" s="1">
        <f>equip.xml!H1369</f>
        <v>0</v>
      </c>
      <c r="I1365" s="1">
        <f>equip.xml!J1369</f>
        <v>150</v>
      </c>
      <c r="J1365" s="1">
        <f>equip.xml!K1369</f>
        <v>1500</v>
      </c>
      <c r="K1365" s="1">
        <f>equip.xml!L1369</f>
        <v>0</v>
      </c>
      <c r="L1365" s="1" t="str">
        <f>equip.xml!M1369</f>
        <v>105_10_10</v>
      </c>
      <c r="M1365" s="7" t="str">
        <f>equip.xml!Q1369</f>
        <v>equipment/7002.png</v>
      </c>
      <c r="N1365" t="str">
        <f>equip.xml!P1369</f>
        <v>10000_1002_5000,30000_30001_1,30000_30002_1,30000_30003_1</v>
      </c>
    </row>
    <row r="1366" spans="1:14">
      <c r="A1366" s="1" t="str">
        <f>equip.xml!A1370</f>
        <v>50100010</v>
      </c>
      <c r="B1366" s="1">
        <f>equip.xml!B1370</f>
        <v>1</v>
      </c>
      <c r="C1366" s="1" t="str">
        <f>equip.xml!C1370</f>
        <v>轻便头盔</v>
      </c>
      <c r="D1366" s="1" t="str">
        <f>equip.xml!D1370</f>
        <v>头盔</v>
      </c>
      <c r="E1366" s="1">
        <f>equip.xml!E1370</f>
        <v>1</v>
      </c>
      <c r="F1366" s="1">
        <f>equip.xml!F1370</f>
        <v>5</v>
      </c>
      <c r="G1366" s="1">
        <f>equip.xml!G1370</f>
        <v>10</v>
      </c>
      <c r="H1366" s="1">
        <f>equip.xml!H1370</f>
        <v>0</v>
      </c>
      <c r="I1366" s="1">
        <f>equip.xml!J1370</f>
        <v>150</v>
      </c>
      <c r="J1366" s="1">
        <f>equip.xml!K1370</f>
        <v>1500</v>
      </c>
      <c r="K1366" s="1">
        <f>equip.xml!L1370</f>
        <v>7500</v>
      </c>
      <c r="L1366" s="1" t="str">
        <f>equip.xml!M1370</f>
        <v>106_64_64</v>
      </c>
      <c r="M1366" s="7" t="str">
        <f>equip.xml!Q1370</f>
        <v>equipment/3002.png</v>
      </c>
      <c r="N1366" t="str">
        <f>equip.xml!P1370</f>
        <v>10000_1002_10000,30000_30001_1,30000_30002_1,30000_30003_1</v>
      </c>
    </row>
    <row r="1367" spans="1:14">
      <c r="A1367" s="1" t="str">
        <f>equip.xml!A1371</f>
        <v>50100020</v>
      </c>
      <c r="B1367" s="1">
        <f>equip.xml!B1371</f>
        <v>1</v>
      </c>
      <c r="C1367" s="1" t="str">
        <f>equip.xml!C1371</f>
        <v>宝石戒指</v>
      </c>
      <c r="D1367" s="1" t="str">
        <f>equip.xml!D1371</f>
        <v>戒指</v>
      </c>
      <c r="E1367" s="1">
        <f>equip.xml!E1371</f>
        <v>2</v>
      </c>
      <c r="F1367" s="1">
        <f>equip.xml!F1371</f>
        <v>5</v>
      </c>
      <c r="G1367" s="1">
        <f>equip.xml!G1371</f>
        <v>10</v>
      </c>
      <c r="H1367" s="1">
        <f>equip.xml!H1371</f>
        <v>0</v>
      </c>
      <c r="I1367" s="1">
        <f>equip.xml!J1371</f>
        <v>150</v>
      </c>
      <c r="J1367" s="1">
        <f>equip.xml!K1371</f>
        <v>1500</v>
      </c>
      <c r="K1367" s="1">
        <f>equip.xml!L1371</f>
        <v>7500</v>
      </c>
      <c r="L1367" s="1" t="str">
        <f>equip.xml!M1371</f>
        <v>102_150_150</v>
      </c>
      <c r="M1367" s="7" t="str">
        <f>equip.xml!Q1371</f>
        <v>equipment/14002.png</v>
      </c>
      <c r="N1367" t="str">
        <f>equip.xml!P1371</f>
        <v>10000_1002_10000,30000_30001_1,30000_30002_1,30000_30003_1</v>
      </c>
    </row>
    <row r="1368" spans="1:14">
      <c r="A1368" s="1" t="str">
        <f>equip.xml!A1372</f>
        <v>50100030</v>
      </c>
      <c r="B1368" s="1">
        <f>equip.xml!B1372</f>
        <v>1</v>
      </c>
      <c r="C1368" s="1" t="str">
        <f>equip.xml!C1372</f>
        <v>坚硬皮带</v>
      </c>
      <c r="D1368" s="1" t="str">
        <f>equip.xml!D1372</f>
        <v>腰带</v>
      </c>
      <c r="E1368" s="1">
        <f>equip.xml!E1372</f>
        <v>3</v>
      </c>
      <c r="F1368" s="1">
        <f>equip.xml!F1372</f>
        <v>5</v>
      </c>
      <c r="G1368" s="1">
        <f>equip.xml!G1372</f>
        <v>10</v>
      </c>
      <c r="H1368" s="1">
        <f>equip.xml!H1372</f>
        <v>0</v>
      </c>
      <c r="I1368" s="1">
        <f>equip.xml!J1372</f>
        <v>150</v>
      </c>
      <c r="J1368" s="1">
        <f>equip.xml!K1372</f>
        <v>1500</v>
      </c>
      <c r="K1368" s="1">
        <f>equip.xml!L1372</f>
        <v>7500</v>
      </c>
      <c r="L1368" s="1" t="str">
        <f>equip.xml!M1372</f>
        <v>101_480_480</v>
      </c>
      <c r="M1368" s="7" t="str">
        <f>equip.xml!Q1372</f>
        <v>equipment/6002.png</v>
      </c>
      <c r="N1368" t="str">
        <f>equip.xml!P1372</f>
        <v>10000_1002_10000,30000_30001_1,30000_30002_1,30000_30003_1</v>
      </c>
    </row>
    <row r="1369" spans="1:14">
      <c r="A1369" s="1" t="str">
        <f>equip.xml!A1373</f>
        <v>50100080</v>
      </c>
      <c r="B1369" s="1">
        <f>equip.xml!B1373</f>
        <v>1</v>
      </c>
      <c r="C1369" s="1" t="str">
        <f>equip.xml!C1373</f>
        <v>软垫靴</v>
      </c>
      <c r="D1369" s="1" t="str">
        <f>equip.xml!D1373</f>
        <v>鞋子</v>
      </c>
      <c r="E1369" s="1">
        <f>equip.xml!E1373</f>
        <v>8</v>
      </c>
      <c r="F1369" s="1">
        <f>equip.xml!F1373</f>
        <v>5</v>
      </c>
      <c r="G1369" s="1">
        <f>equip.xml!G1373</f>
        <v>10</v>
      </c>
      <c r="H1369" s="1">
        <f>equip.xml!H1373</f>
        <v>0</v>
      </c>
      <c r="I1369" s="1">
        <f>equip.xml!J1373</f>
        <v>150</v>
      </c>
      <c r="J1369" s="1">
        <f>equip.xml!K1373</f>
        <v>1500</v>
      </c>
      <c r="K1369" s="1">
        <f>equip.xml!L1373</f>
        <v>7500</v>
      </c>
      <c r="L1369" s="1" t="str">
        <f>equip.xml!M1373</f>
        <v>110_12_12</v>
      </c>
      <c r="M1369" s="7" t="str">
        <f>equip.xml!Q1373</f>
        <v>equipment/8002.png</v>
      </c>
      <c r="N1369" t="str">
        <f>equip.xml!P1373</f>
        <v>10000_1002_10000,30000_30001_1,30000_30002_1,30000_30003_1</v>
      </c>
    </row>
    <row r="1370" spans="1:14">
      <c r="A1370" s="1" t="str">
        <f>equip.xml!A1374</f>
        <v>50100090</v>
      </c>
      <c r="B1370" s="1">
        <f>equip.xml!B1374</f>
        <v>1</v>
      </c>
      <c r="C1370" s="1" t="str">
        <f>equip.xml!C1374</f>
        <v>步兵护手</v>
      </c>
      <c r="D1370" s="1" t="str">
        <f>equip.xml!D1374</f>
        <v>手套</v>
      </c>
      <c r="E1370" s="1">
        <f>equip.xml!E1374</f>
        <v>9</v>
      </c>
      <c r="F1370" s="1">
        <f>equip.xml!F1374</f>
        <v>5</v>
      </c>
      <c r="G1370" s="1">
        <f>equip.xml!G1374</f>
        <v>10</v>
      </c>
      <c r="H1370" s="1">
        <f>equip.xml!H1374</f>
        <v>0</v>
      </c>
      <c r="I1370" s="1">
        <f>equip.xml!J1374</f>
        <v>150</v>
      </c>
      <c r="J1370" s="1">
        <f>equip.xml!K1374</f>
        <v>1500</v>
      </c>
      <c r="K1370" s="1">
        <f>equip.xml!L1374</f>
        <v>7500</v>
      </c>
      <c r="L1370" s="1" t="str">
        <f>equip.xml!M1374</f>
        <v>108_43_43</v>
      </c>
      <c r="M1370" s="7" t="str">
        <f>equip.xml!Q1374</f>
        <v>equipment/10002.png</v>
      </c>
      <c r="N1370" t="str">
        <f>equip.xml!P1374</f>
        <v>10000_1002_10000,30000_30001_1,30000_30002_1,30000_30003_1</v>
      </c>
    </row>
    <row r="1371" spans="1:14">
      <c r="A1371" s="1" t="str">
        <f>equip.xml!A1375</f>
        <v>50100100</v>
      </c>
      <c r="B1371" s="1">
        <f>equip.xml!B1375</f>
        <v>0</v>
      </c>
      <c r="C1371" s="1" t="str">
        <f>equip.xml!C1375</f>
        <v>贝壳项链</v>
      </c>
      <c r="D1371" s="1" t="str">
        <f>equip.xml!D1375</f>
        <v>项链</v>
      </c>
      <c r="E1371" s="1">
        <f>equip.xml!E1375</f>
        <v>10</v>
      </c>
      <c r="F1371" s="1">
        <f>equip.xml!F1375</f>
        <v>5</v>
      </c>
      <c r="G1371" s="1">
        <f>equip.xml!G1375</f>
        <v>10</v>
      </c>
      <c r="H1371" s="1">
        <f>equip.xml!H1375</f>
        <v>0</v>
      </c>
      <c r="I1371" s="1">
        <f>equip.xml!J1375</f>
        <v>150</v>
      </c>
      <c r="J1371" s="1">
        <f>equip.xml!K1375</f>
        <v>1500</v>
      </c>
      <c r="K1371" s="1">
        <f>equip.xml!L1375</f>
        <v>7500</v>
      </c>
      <c r="L1371" s="1" t="str">
        <f>equip.xml!M1375</f>
        <v>107_20_20</v>
      </c>
      <c r="M1371" s="7" t="str">
        <f>equip.xml!Q1375</f>
        <v>equipment/12001.png</v>
      </c>
      <c r="N1371" t="str">
        <f>equip.xml!P1375</f>
        <v>10000_1002_10000,30000_30001_1,30000_30002_1,30000_30003_1</v>
      </c>
    </row>
    <row r="1372" spans="1:14">
      <c r="A1372" s="1" t="str">
        <f>equip.xml!A1376</f>
        <v>50101050</v>
      </c>
      <c r="B1372" s="1">
        <f>equip.xml!B1376</f>
        <v>1</v>
      </c>
      <c r="C1372" s="1" t="str">
        <f>equip.xml!C1376</f>
        <v>护卫之刃</v>
      </c>
      <c r="D1372" s="1" t="str">
        <f>equip.xml!D1376</f>
        <v>主手武器</v>
      </c>
      <c r="E1372" s="1">
        <f>equip.xml!E1376</f>
        <v>5</v>
      </c>
      <c r="F1372" s="1">
        <f>equip.xml!F1376</f>
        <v>5</v>
      </c>
      <c r="G1372" s="1">
        <f>equip.xml!G1376</f>
        <v>10</v>
      </c>
      <c r="H1372" s="1" t="str">
        <f>equip.xml!H1376</f>
        <v>1,1001</v>
      </c>
      <c r="I1372" s="1">
        <f>equip.xml!J1376</f>
        <v>150</v>
      </c>
      <c r="J1372" s="1">
        <f>equip.xml!K1376</f>
        <v>1500</v>
      </c>
      <c r="K1372" s="1">
        <f>equip.xml!L1376</f>
        <v>7500</v>
      </c>
      <c r="L1372" s="1" t="str">
        <f>equip.xml!M1376</f>
        <v>103_32_32,104_64_64</v>
      </c>
      <c r="M1372" s="7" t="str">
        <f>equip.xml!Q1376</f>
        <v>equipment/1105.png</v>
      </c>
      <c r="N1372" t="str">
        <f>equip.xml!P1376</f>
        <v>10000_1002_10000,30000_30001_1,30000_30002_1,30000_30003_1</v>
      </c>
    </row>
    <row r="1373" spans="1:14">
      <c r="A1373" s="1" t="str">
        <f>equip.xml!A1377</f>
        <v>50101051</v>
      </c>
      <c r="B1373" s="1">
        <f>equip.xml!B1377</f>
        <v>1</v>
      </c>
      <c r="C1373" s="1" t="str">
        <f>equip.xml!C1377</f>
        <v>铜铸重剑</v>
      </c>
      <c r="D1373" s="1" t="str">
        <f>equip.xml!D1377</f>
        <v>主手武器</v>
      </c>
      <c r="E1373" s="1">
        <f>equip.xml!E1377</f>
        <v>5</v>
      </c>
      <c r="F1373" s="1">
        <f>equip.xml!F1377</f>
        <v>5</v>
      </c>
      <c r="G1373" s="1">
        <f>equip.xml!G1377</f>
        <v>10</v>
      </c>
      <c r="H1373" s="1" t="str">
        <f>equip.xml!H1377</f>
        <v>1,1001</v>
      </c>
      <c r="I1373" s="1">
        <f>equip.xml!J1377</f>
        <v>150</v>
      </c>
      <c r="J1373" s="1">
        <f>equip.xml!K1377</f>
        <v>1500</v>
      </c>
      <c r="K1373" s="1">
        <f>equip.xml!L1377</f>
        <v>10000</v>
      </c>
      <c r="L1373" s="1" t="str">
        <f>equip.xml!M1377</f>
        <v>103_40_40,104_80_80</v>
      </c>
      <c r="M1373" s="7" t="str">
        <f>equip.xml!Q1377</f>
        <v>equipment/1106.png</v>
      </c>
      <c r="N1373" t="str">
        <f>equip.xml!P1377</f>
        <v>10000_1002_10000,30000_30001_1,30000_30002_1,30000_30003_1</v>
      </c>
    </row>
    <row r="1374" spans="1:14">
      <c r="A1374" s="1" t="str">
        <f>equip.xml!A1378</f>
        <v>50101060</v>
      </c>
      <c r="B1374" s="1">
        <f>equip.xml!B1378</f>
        <v>1</v>
      </c>
      <c r="C1374" s="1" t="str">
        <f>equip.xml!C1378</f>
        <v>金属大盾</v>
      </c>
      <c r="D1374" s="1" t="str">
        <f>equip.xml!D1378</f>
        <v>副手武器</v>
      </c>
      <c r="E1374" s="1">
        <f>equip.xml!E1378</f>
        <v>6</v>
      </c>
      <c r="F1374" s="1">
        <f>equip.xml!F1378</f>
        <v>5</v>
      </c>
      <c r="G1374" s="1">
        <f>equip.xml!G1378</f>
        <v>10</v>
      </c>
      <c r="H1374" s="1" t="str">
        <f>equip.xml!H1378</f>
        <v>1,1001</v>
      </c>
      <c r="I1374" s="1">
        <f>equip.xml!J1378</f>
        <v>150</v>
      </c>
      <c r="J1374" s="1">
        <f>equip.xml!K1378</f>
        <v>1500</v>
      </c>
      <c r="K1374" s="1">
        <f>equip.xml!L1378</f>
        <v>7500</v>
      </c>
      <c r="L1374" s="1" t="str">
        <f>equip.xml!M1378</f>
        <v>105_30_30</v>
      </c>
      <c r="M1374" s="7" t="str">
        <f>equip.xml!Q1378</f>
        <v>equipment/2103.png</v>
      </c>
      <c r="N1374" t="str">
        <f>equip.xml!P1378</f>
        <v>10000_1002_10000,30000_30001_1,30000_30002_1,30000_30003_1</v>
      </c>
    </row>
    <row r="1375" spans="1:14">
      <c r="A1375" s="1" t="str">
        <f>equip.xml!A1379</f>
        <v>50101061</v>
      </c>
      <c r="B1375" s="1">
        <f>equip.xml!B1379</f>
        <v>0</v>
      </c>
      <c r="C1375" s="1" t="str">
        <f>equip.xml!C1379</f>
        <v>尖头盾</v>
      </c>
      <c r="D1375" s="1" t="str">
        <f>equip.xml!D1379</f>
        <v>副手武器</v>
      </c>
      <c r="E1375" s="1">
        <f>equip.xml!E1379</f>
        <v>6</v>
      </c>
      <c r="F1375" s="1">
        <f>equip.xml!F1379</f>
        <v>5</v>
      </c>
      <c r="G1375" s="1">
        <f>equip.xml!G1379</f>
        <v>10</v>
      </c>
      <c r="H1375" s="1" t="str">
        <f>equip.xml!H1379</f>
        <v>1,1001</v>
      </c>
      <c r="I1375" s="1">
        <f>equip.xml!J1379</f>
        <v>150</v>
      </c>
      <c r="J1375" s="1">
        <f>equip.xml!K1379</f>
        <v>1500</v>
      </c>
      <c r="K1375" s="1">
        <f>equip.xml!L1379</f>
        <v>10000</v>
      </c>
      <c r="L1375" s="1" t="str">
        <f>equip.xml!M1379</f>
        <v>105_59_59</v>
      </c>
      <c r="M1375" s="7" t="str">
        <f>equip.xml!Q1379</f>
        <v>equipment/2101.png</v>
      </c>
      <c r="N1375" t="str">
        <f>equip.xml!P1379</f>
        <v>10000_1002_10000,30000_30001_1,30000_30002_1,30000_30003_1</v>
      </c>
    </row>
    <row r="1376" spans="1:14">
      <c r="A1376" s="1" t="str">
        <f>equip.xml!A1380</f>
        <v>50102050</v>
      </c>
      <c r="B1376" s="1">
        <f>equip.xml!B1380</f>
        <v>1</v>
      </c>
      <c r="C1376" s="1" t="str">
        <f>equip.xml!C1380</f>
        <v>猎手强弓</v>
      </c>
      <c r="D1376" s="1" t="str">
        <f>equip.xml!D1380</f>
        <v>主手武器</v>
      </c>
      <c r="E1376" s="1">
        <f>equip.xml!E1380</f>
        <v>5</v>
      </c>
      <c r="F1376" s="1">
        <f>equip.xml!F1380</f>
        <v>5</v>
      </c>
      <c r="G1376" s="1">
        <f>equip.xml!G1380</f>
        <v>10</v>
      </c>
      <c r="H1376" s="1" t="str">
        <f>equip.xml!H1380</f>
        <v>2,1002</v>
      </c>
      <c r="I1376" s="1">
        <f>equip.xml!J1380</f>
        <v>150</v>
      </c>
      <c r="J1376" s="1">
        <f>equip.xml!K1380</f>
        <v>1500</v>
      </c>
      <c r="K1376" s="1">
        <f>equip.xml!L1380</f>
        <v>7500</v>
      </c>
      <c r="L1376" s="1" t="str">
        <f>equip.xml!M1380</f>
        <v>103_32_32,104_64_64</v>
      </c>
      <c r="M1376" s="7" t="str">
        <f>equip.xml!Q1380</f>
        <v>equipment/1205.png</v>
      </c>
      <c r="N1376" t="str">
        <f>equip.xml!P1380</f>
        <v>10000_1002_10000,30000_30001_1,30000_30002_1,30000_30003_1</v>
      </c>
    </row>
    <row r="1377" spans="1:14">
      <c r="A1377" s="1" t="str">
        <f>equip.xml!A1381</f>
        <v>50102051</v>
      </c>
      <c r="B1377" s="1">
        <f>equip.xml!B1381</f>
        <v>1</v>
      </c>
      <c r="C1377" s="1" t="str">
        <f>equip.xml!C1381</f>
        <v>灰木弓</v>
      </c>
      <c r="D1377" s="1" t="str">
        <f>equip.xml!D1381</f>
        <v>主手武器</v>
      </c>
      <c r="E1377" s="1">
        <f>equip.xml!E1381</f>
        <v>5</v>
      </c>
      <c r="F1377" s="1">
        <f>equip.xml!F1381</f>
        <v>5</v>
      </c>
      <c r="G1377" s="1">
        <f>equip.xml!G1381</f>
        <v>10</v>
      </c>
      <c r="H1377" s="1" t="str">
        <f>equip.xml!H1381</f>
        <v>2,1002</v>
      </c>
      <c r="I1377" s="1">
        <f>equip.xml!J1381</f>
        <v>150</v>
      </c>
      <c r="J1377" s="1">
        <f>equip.xml!K1381</f>
        <v>1500</v>
      </c>
      <c r="K1377" s="1">
        <f>equip.xml!L1381</f>
        <v>10000</v>
      </c>
      <c r="L1377" s="1" t="str">
        <f>equip.xml!M1381</f>
        <v>103_40_40,104_80_80</v>
      </c>
      <c r="M1377" s="7" t="str">
        <f>equip.xml!Q1381</f>
        <v>equipment/1206.png</v>
      </c>
      <c r="N1377" t="str">
        <f>equip.xml!P1381</f>
        <v>10000_1002_10000,30000_30001_1,30000_30002_1,30000_30003_1</v>
      </c>
    </row>
    <row r="1378" spans="1:14">
      <c r="A1378" s="1" t="str">
        <f>equip.xml!A1382</f>
        <v>50102060</v>
      </c>
      <c r="B1378" s="1">
        <f>equip.xml!B1382</f>
        <v>1</v>
      </c>
      <c r="C1378" s="1" t="str">
        <f>equip.xml!C1382</f>
        <v>帆布箭筒</v>
      </c>
      <c r="D1378" s="1" t="str">
        <f>equip.xml!D1382</f>
        <v>副手武器</v>
      </c>
      <c r="E1378" s="1">
        <f>equip.xml!E1382</f>
        <v>6</v>
      </c>
      <c r="F1378" s="1">
        <f>equip.xml!F1382</f>
        <v>5</v>
      </c>
      <c r="G1378" s="1">
        <f>equip.xml!G1382</f>
        <v>10</v>
      </c>
      <c r="H1378" s="1" t="str">
        <f>equip.xml!H1382</f>
        <v>2,1002</v>
      </c>
      <c r="I1378" s="1">
        <f>equip.xml!J1382</f>
        <v>150</v>
      </c>
      <c r="J1378" s="1">
        <f>equip.xml!K1382</f>
        <v>1500</v>
      </c>
      <c r="K1378" s="1">
        <f>equip.xml!L1382</f>
        <v>7500</v>
      </c>
      <c r="L1378" s="1" t="str">
        <f>equip.xml!M1382</f>
        <v>108_30_30</v>
      </c>
      <c r="M1378" s="7" t="str">
        <f>equip.xml!Q1382</f>
        <v>equipment/2203.png</v>
      </c>
      <c r="N1378" t="str">
        <f>equip.xml!P1382</f>
        <v>10000_1002_10000,30000_30001_1,30000_30002_1,30000_30003_1</v>
      </c>
    </row>
    <row r="1379" spans="1:14">
      <c r="A1379" s="1" t="str">
        <f>equip.xml!A1383</f>
        <v>50102061</v>
      </c>
      <c r="B1379" s="1">
        <f>equip.xml!B1383</f>
        <v>0</v>
      </c>
      <c r="C1379" s="1" t="str">
        <f>equip.xml!C1383</f>
        <v>箭筒</v>
      </c>
      <c r="D1379" s="1" t="str">
        <f>equip.xml!D1383</f>
        <v>副手武器</v>
      </c>
      <c r="E1379" s="1">
        <f>equip.xml!E1383</f>
        <v>6</v>
      </c>
      <c r="F1379" s="1">
        <f>equip.xml!F1383</f>
        <v>5</v>
      </c>
      <c r="G1379" s="1">
        <f>equip.xml!G1383</f>
        <v>10</v>
      </c>
      <c r="H1379" s="1" t="str">
        <f>equip.xml!H1383</f>
        <v>2,1002</v>
      </c>
      <c r="I1379" s="1">
        <f>equip.xml!J1383</f>
        <v>150</v>
      </c>
      <c r="J1379" s="1">
        <f>equip.xml!K1383</f>
        <v>1500</v>
      </c>
      <c r="K1379" s="1">
        <f>equip.xml!L1383</f>
        <v>10000</v>
      </c>
      <c r="L1379" s="1" t="str">
        <f>equip.xml!M1383</f>
        <v>108_59_59</v>
      </c>
      <c r="M1379" s="7" t="str">
        <f>equip.xml!Q1383</f>
        <v>equipment/2201.png</v>
      </c>
      <c r="N1379" t="str">
        <f>equip.xml!P1383</f>
        <v>10000_1002_10000,30000_30001_1,30000_30002_1,30000_30003_1</v>
      </c>
    </row>
    <row r="1380" spans="1:14">
      <c r="A1380" s="1" t="str">
        <f>equip.xml!A1384</f>
        <v>50103050</v>
      </c>
      <c r="B1380" s="1">
        <f>equip.xml!B1384</f>
        <v>1</v>
      </c>
      <c r="C1380" s="1" t="str">
        <f>equip.xml!C1384</f>
        <v>附魔银棒</v>
      </c>
      <c r="D1380" s="1" t="str">
        <f>equip.xml!D1384</f>
        <v>主手武器</v>
      </c>
      <c r="E1380" s="1">
        <f>equip.xml!E1384</f>
        <v>5</v>
      </c>
      <c r="F1380" s="1">
        <f>equip.xml!F1384</f>
        <v>5</v>
      </c>
      <c r="G1380" s="1">
        <f>equip.xml!G1384</f>
        <v>10</v>
      </c>
      <c r="H1380" s="1" t="str">
        <f>equip.xml!H1384</f>
        <v>3,1003</v>
      </c>
      <c r="I1380" s="1">
        <f>equip.xml!J1384</f>
        <v>150</v>
      </c>
      <c r="J1380" s="1">
        <f>equip.xml!K1384</f>
        <v>1500</v>
      </c>
      <c r="K1380" s="1">
        <f>equip.xml!L1384</f>
        <v>7500</v>
      </c>
      <c r="L1380" s="1" t="str">
        <f>equip.xml!M1384</f>
        <v>103_32_32,104_64_64</v>
      </c>
      <c r="M1380" s="7" t="str">
        <f>equip.xml!Q1384</f>
        <v>equipment/1305.png</v>
      </c>
      <c r="N1380" t="str">
        <f>equip.xml!P1384</f>
        <v>10000_1002_10000,30000_30001_1,30000_30002_1,30000_30003_1</v>
      </c>
    </row>
    <row r="1381" spans="1:14">
      <c r="A1381" s="1" t="str">
        <f>equip.xml!A1385</f>
        <v>50103051</v>
      </c>
      <c r="B1381" s="1">
        <f>equip.xml!B1385</f>
        <v>1</v>
      </c>
      <c r="C1381" s="1" t="str">
        <f>equip.xml!C1385</f>
        <v>魔导法杖</v>
      </c>
      <c r="D1381" s="1" t="str">
        <f>equip.xml!D1385</f>
        <v>主手武器</v>
      </c>
      <c r="E1381" s="1">
        <f>equip.xml!E1385</f>
        <v>5</v>
      </c>
      <c r="F1381" s="1">
        <f>equip.xml!F1385</f>
        <v>5</v>
      </c>
      <c r="G1381" s="1">
        <f>equip.xml!G1385</f>
        <v>10</v>
      </c>
      <c r="H1381" s="1" t="str">
        <f>equip.xml!H1385</f>
        <v>3,1003</v>
      </c>
      <c r="I1381" s="1">
        <f>equip.xml!J1385</f>
        <v>150</v>
      </c>
      <c r="J1381" s="1">
        <f>equip.xml!K1385</f>
        <v>1500</v>
      </c>
      <c r="K1381" s="1">
        <f>equip.xml!L1385</f>
        <v>10000</v>
      </c>
      <c r="L1381" s="1" t="str">
        <f>equip.xml!M1385</f>
        <v>103_40_40,104_80_80</v>
      </c>
      <c r="M1381" s="7" t="str">
        <f>equip.xml!Q1385</f>
        <v>equipment/1306.png</v>
      </c>
      <c r="N1381" t="str">
        <f>equip.xml!P1385</f>
        <v>10000_1002_10000,30000_30001_1,30000_30002_1,30000_30003_1</v>
      </c>
    </row>
    <row r="1382" spans="1:14">
      <c r="A1382" s="1" t="str">
        <f>equip.xml!A1386</f>
        <v>50103060</v>
      </c>
      <c r="B1382" s="1">
        <f>equip.xml!B1386</f>
        <v>1</v>
      </c>
      <c r="C1382" s="1" t="str">
        <f>equip.xml!C1386</f>
        <v>奥术典籍</v>
      </c>
      <c r="D1382" s="1" t="str">
        <f>equip.xml!D1386</f>
        <v>副手武器</v>
      </c>
      <c r="E1382" s="1">
        <f>equip.xml!E1386</f>
        <v>6</v>
      </c>
      <c r="F1382" s="1">
        <f>equip.xml!F1386</f>
        <v>5</v>
      </c>
      <c r="G1382" s="1">
        <f>equip.xml!G1386</f>
        <v>10</v>
      </c>
      <c r="H1382" s="1" t="str">
        <f>equip.xml!H1386</f>
        <v>3,1003</v>
      </c>
      <c r="I1382" s="1">
        <f>equip.xml!J1386</f>
        <v>150</v>
      </c>
      <c r="J1382" s="1">
        <f>equip.xml!K1386</f>
        <v>1500</v>
      </c>
      <c r="K1382" s="1">
        <f>equip.xml!L1386</f>
        <v>7500</v>
      </c>
      <c r="L1382" s="1" t="str">
        <f>equip.xml!M1386</f>
        <v>102_240_240</v>
      </c>
      <c r="M1382" s="7" t="str">
        <f>equip.xml!Q1386</f>
        <v>equipment/2303.png</v>
      </c>
      <c r="N1382" t="str">
        <f>equip.xml!P1386</f>
        <v>10000_1002_10000,30000_30001_1,30000_30002_1,30000_30003_1</v>
      </c>
    </row>
    <row r="1383" spans="1:14">
      <c r="A1383" s="1" t="str">
        <f>equip.xml!A1387</f>
        <v>50103061</v>
      </c>
      <c r="B1383" s="1">
        <f>equip.xml!B1387</f>
        <v>0</v>
      </c>
      <c r="C1383" s="1" t="str">
        <f>equip.xml!C1387</f>
        <v>法术指南</v>
      </c>
      <c r="D1383" s="1" t="str">
        <f>equip.xml!D1387</f>
        <v>副手武器</v>
      </c>
      <c r="E1383" s="1">
        <f>equip.xml!E1387</f>
        <v>6</v>
      </c>
      <c r="F1383" s="1">
        <f>equip.xml!F1387</f>
        <v>5</v>
      </c>
      <c r="G1383" s="1">
        <f>equip.xml!G1387</f>
        <v>10</v>
      </c>
      <c r="H1383" s="1" t="str">
        <f>equip.xml!H1387</f>
        <v>3,1003</v>
      </c>
      <c r="I1383" s="1">
        <f>equip.xml!J1387</f>
        <v>150</v>
      </c>
      <c r="J1383" s="1">
        <f>equip.xml!K1387</f>
        <v>1500</v>
      </c>
      <c r="K1383" s="1">
        <f>equip.xml!L1387</f>
        <v>10000</v>
      </c>
      <c r="L1383" s="1" t="str">
        <f>equip.xml!M1387</f>
        <v>102_59_59</v>
      </c>
      <c r="M1383" s="7" t="str">
        <f>equip.xml!Q1387</f>
        <v>equipment/2301.png</v>
      </c>
      <c r="N1383" t="str">
        <f>equip.xml!P1387</f>
        <v>10000_1002_10000,30000_30001_1,30000_30002_1,30000_30003_1</v>
      </c>
    </row>
    <row r="1384" spans="1:14">
      <c r="A1384" s="1" t="str">
        <f>equip.xml!A1388</f>
        <v>50100040</v>
      </c>
      <c r="B1384" s="1">
        <f>equip.xml!B1388</f>
        <v>1</v>
      </c>
      <c r="C1384" s="1" t="str">
        <f>equip.xml!C1388</f>
        <v>硬皮外套</v>
      </c>
      <c r="D1384" s="1" t="str">
        <f>equip.xml!D1388</f>
        <v>胸甲</v>
      </c>
      <c r="E1384" s="1">
        <f>equip.xml!E1388</f>
        <v>4</v>
      </c>
      <c r="F1384" s="1">
        <f>equip.xml!F1388</f>
        <v>5</v>
      </c>
      <c r="G1384" s="1">
        <f>equip.xml!G1388</f>
        <v>10</v>
      </c>
      <c r="H1384" s="1">
        <f>equip.xml!H1388</f>
        <v>0</v>
      </c>
      <c r="I1384" s="1">
        <f>equip.xml!J1388</f>
        <v>150</v>
      </c>
      <c r="J1384" s="1">
        <f>equip.xml!K1388</f>
        <v>1500</v>
      </c>
      <c r="K1384" s="1">
        <f>equip.xml!L1388</f>
        <v>7500</v>
      </c>
      <c r="L1384" s="1" t="str">
        <f>equip.xml!M1388</f>
        <v>105_20_20</v>
      </c>
      <c r="M1384" s="7" t="str">
        <f>equip.xml!Q1388</f>
        <v>equipment/5003.png</v>
      </c>
      <c r="N1384" t="str">
        <f>equip.xml!P1388</f>
        <v>10000_1002_10000,30000_30001_1,30000_30002_1,30000_30003_1</v>
      </c>
    </row>
    <row r="1385" spans="1:14">
      <c r="A1385" s="1" t="str">
        <f>equip.xml!A1389</f>
        <v>50100041</v>
      </c>
      <c r="B1385" s="1">
        <f>equip.xml!B1389</f>
        <v>0</v>
      </c>
      <c r="C1385" s="1" t="str">
        <f>equip.xml!C1389</f>
        <v>新兵外套</v>
      </c>
      <c r="D1385" s="1" t="str">
        <f>equip.xml!D1389</f>
        <v>胸甲</v>
      </c>
      <c r="E1385" s="1">
        <f>equip.xml!E1389</f>
        <v>4</v>
      </c>
      <c r="F1385" s="1">
        <f>equip.xml!F1389</f>
        <v>5</v>
      </c>
      <c r="G1385" s="1">
        <f>equip.xml!G1389</f>
        <v>10</v>
      </c>
      <c r="H1385" s="1">
        <f>equip.xml!H1389</f>
        <v>0</v>
      </c>
      <c r="I1385" s="1">
        <f>equip.xml!J1389</f>
        <v>150</v>
      </c>
      <c r="J1385" s="1">
        <f>equip.xml!K1389</f>
        <v>1500</v>
      </c>
      <c r="K1385" s="1">
        <f>equip.xml!L1389</f>
        <v>10000</v>
      </c>
      <c r="L1385" s="1" t="str">
        <f>equip.xml!M1389</f>
        <v>105_28_28</v>
      </c>
      <c r="M1385" s="7" t="str">
        <f>equip.xml!Q1389</f>
        <v>equipment/5001.png</v>
      </c>
      <c r="N1385" t="str">
        <f>equip.xml!P1389</f>
        <v>10000_1002_10000,30000_30001_1,30000_30002_1,30000_30003_1</v>
      </c>
    </row>
    <row r="1386" spans="1:14">
      <c r="A1386" s="1" t="str">
        <f>equip.xml!A1390</f>
        <v>50100070</v>
      </c>
      <c r="B1386" s="1">
        <f>equip.xml!B1390</f>
        <v>1</v>
      </c>
      <c r="C1386" s="1" t="str">
        <f>equip.xml!C1390</f>
        <v>护卫短裤</v>
      </c>
      <c r="D1386" s="1" t="str">
        <f>equip.xml!D1390</f>
        <v>护腿</v>
      </c>
      <c r="E1386" s="1">
        <f>equip.xml!E1390</f>
        <v>7</v>
      </c>
      <c r="F1386" s="1">
        <f>equip.xml!F1390</f>
        <v>5</v>
      </c>
      <c r="G1386" s="1">
        <f>equip.xml!G1390</f>
        <v>10</v>
      </c>
      <c r="H1386" s="1">
        <f>equip.xml!H1390</f>
        <v>0</v>
      </c>
      <c r="I1386" s="1">
        <f>equip.xml!J1390</f>
        <v>150</v>
      </c>
      <c r="J1386" s="1">
        <f>equip.xml!K1390</f>
        <v>1500</v>
      </c>
      <c r="K1386" s="1">
        <f>equip.xml!L1390</f>
        <v>7500</v>
      </c>
      <c r="L1386" s="1" t="str">
        <f>equip.xml!M1390</f>
        <v>105_20_20</v>
      </c>
      <c r="M1386" s="7" t="str">
        <f>equip.xml!Q1390</f>
        <v>equipment/7003.png</v>
      </c>
      <c r="N1386" t="str">
        <f>equip.xml!P1390</f>
        <v>10000_1002_10000,30000_30001_1,30000_30002_1,30000_30003_1</v>
      </c>
    </row>
    <row r="1387" spans="1:14">
      <c r="A1387" s="1" t="str">
        <f>equip.xml!A1391</f>
        <v>50100071</v>
      </c>
      <c r="B1387" s="1">
        <f>equip.xml!B1391</f>
        <v>0</v>
      </c>
      <c r="C1387" s="1" t="str">
        <f>equip.xml!C1391</f>
        <v>学徒短裤</v>
      </c>
      <c r="D1387" s="1" t="str">
        <f>equip.xml!D1391</f>
        <v>护腿</v>
      </c>
      <c r="E1387" s="1">
        <f>equip.xml!E1391</f>
        <v>7</v>
      </c>
      <c r="F1387" s="1">
        <f>equip.xml!F1391</f>
        <v>5</v>
      </c>
      <c r="G1387" s="1">
        <f>equip.xml!G1391</f>
        <v>10</v>
      </c>
      <c r="H1387" s="1">
        <f>equip.xml!H1391</f>
        <v>0</v>
      </c>
      <c r="I1387" s="1">
        <f>equip.xml!J1391</f>
        <v>150</v>
      </c>
      <c r="J1387" s="1">
        <f>equip.xml!K1391</f>
        <v>1500</v>
      </c>
      <c r="K1387" s="1">
        <f>equip.xml!L1391</f>
        <v>10000</v>
      </c>
      <c r="L1387" s="1" t="str">
        <f>equip.xml!M1391</f>
        <v>105_28_28</v>
      </c>
      <c r="M1387" s="7" t="str">
        <f>equip.xml!Q1391</f>
        <v>equipment/7001.png</v>
      </c>
      <c r="N1387" t="str">
        <f>equip.xml!P1391</f>
        <v>10000_1002_10000,30000_30001_1,30000_30002_1,30000_30003_1</v>
      </c>
    </row>
    <row r="1388" spans="1:14">
      <c r="A1388" s="1" t="str">
        <f>equip.xml!A1392</f>
        <v>50150010</v>
      </c>
      <c r="B1388" s="1">
        <f>equip.xml!B1392</f>
        <v>0</v>
      </c>
      <c r="C1388" s="1" t="str">
        <f>equip.xml!C1392</f>
        <v>纹饰帽</v>
      </c>
      <c r="D1388" s="1" t="str">
        <f>equip.xml!D1392</f>
        <v>头盔</v>
      </c>
      <c r="E1388" s="1">
        <f>equip.xml!E1392</f>
        <v>1</v>
      </c>
      <c r="F1388" s="1">
        <f>equip.xml!F1392</f>
        <v>5</v>
      </c>
      <c r="G1388" s="1">
        <f>equip.xml!G1392</f>
        <v>15</v>
      </c>
      <c r="H1388" s="1">
        <f>equip.xml!H1392</f>
        <v>0</v>
      </c>
      <c r="I1388" s="1">
        <f>equip.xml!J1392</f>
        <v>150</v>
      </c>
      <c r="J1388" s="1">
        <f>equip.xml!K1392</f>
        <v>1500</v>
      </c>
      <c r="K1388" s="1">
        <f>equip.xml!L1392</f>
        <v>10000</v>
      </c>
      <c r="L1388" s="1" t="str">
        <f>equip.xml!M1392</f>
        <v>106_64_64</v>
      </c>
      <c r="M1388" s="7" t="str">
        <f>equip.xml!Q1392</f>
        <v>equipment/3001.png</v>
      </c>
      <c r="N1388" t="str">
        <f>equip.xml!P1392</f>
        <v>10000_1002_15000,30000_30001_1,30000_30002_1,30000_30003_1</v>
      </c>
    </row>
    <row r="1389" spans="1:14">
      <c r="A1389" s="1" t="str">
        <f>equip.xml!A1393</f>
        <v>50150020</v>
      </c>
      <c r="B1389" s="1">
        <f>equip.xml!B1393</f>
        <v>0</v>
      </c>
      <c r="C1389" s="1" t="str">
        <f>equip.xml!C1393</f>
        <v>金戒指</v>
      </c>
      <c r="D1389" s="1" t="str">
        <f>equip.xml!D1393</f>
        <v>戒指</v>
      </c>
      <c r="E1389" s="1">
        <f>equip.xml!E1393</f>
        <v>2</v>
      </c>
      <c r="F1389" s="1">
        <f>equip.xml!F1393</f>
        <v>5</v>
      </c>
      <c r="G1389" s="1">
        <f>equip.xml!G1393</f>
        <v>15</v>
      </c>
      <c r="H1389" s="1">
        <f>equip.xml!H1393</f>
        <v>0</v>
      </c>
      <c r="I1389" s="1">
        <f>equip.xml!J1393</f>
        <v>150</v>
      </c>
      <c r="J1389" s="1">
        <f>equip.xml!K1393</f>
        <v>1500</v>
      </c>
      <c r="K1389" s="1">
        <f>equip.xml!L1393</f>
        <v>10000</v>
      </c>
      <c r="L1389" s="1" t="str">
        <f>equip.xml!M1393</f>
        <v>102_185_185</v>
      </c>
      <c r="M1389" s="7" t="str">
        <f>equip.xml!Q1393</f>
        <v>equipment/14001.png</v>
      </c>
      <c r="N1389" t="str">
        <f>equip.xml!P1393</f>
        <v>10000_1002_15000,30000_30001_1,30000_30002_1,30000_30003_1</v>
      </c>
    </row>
    <row r="1390" spans="1:14">
      <c r="A1390" s="1" t="str">
        <f>equip.xml!A1394</f>
        <v>50150030</v>
      </c>
      <c r="B1390" s="1">
        <f>equip.xml!B1394</f>
        <v>1</v>
      </c>
      <c r="C1390" s="1" t="str">
        <f>equip.xml!C1394</f>
        <v>铁锁腰带</v>
      </c>
      <c r="D1390" s="1" t="str">
        <f>equip.xml!D1394</f>
        <v>腰带</v>
      </c>
      <c r="E1390" s="1">
        <f>equip.xml!E1394</f>
        <v>3</v>
      </c>
      <c r="F1390" s="1">
        <f>equip.xml!F1394</f>
        <v>5</v>
      </c>
      <c r="G1390" s="1">
        <f>equip.xml!G1394</f>
        <v>15</v>
      </c>
      <c r="H1390" s="1">
        <f>equip.xml!H1394</f>
        <v>0</v>
      </c>
      <c r="I1390" s="1">
        <f>equip.xml!J1394</f>
        <v>150</v>
      </c>
      <c r="J1390" s="1">
        <f>equip.xml!K1394</f>
        <v>1500</v>
      </c>
      <c r="K1390" s="1">
        <f>equip.xml!L1394</f>
        <v>10000</v>
      </c>
      <c r="L1390" s="1" t="str">
        <f>equip.xml!M1394</f>
        <v>101_1160_1160</v>
      </c>
      <c r="M1390" s="7" t="str">
        <f>equip.xml!Q1394</f>
        <v>equipment/6003.png</v>
      </c>
      <c r="N1390" t="str">
        <f>equip.xml!P1394</f>
        <v>10000_1002_15000,30000_30001_1,30000_30002_1,30000_30003_1</v>
      </c>
    </row>
    <row r="1391" spans="1:14">
      <c r="A1391" s="1" t="str">
        <f>equip.xml!A1395</f>
        <v>50150080</v>
      </c>
      <c r="B1391" s="1">
        <f>equip.xml!B1395</f>
        <v>1</v>
      </c>
      <c r="C1391" s="1" t="str">
        <f>equip.xml!C1395</f>
        <v>链甲战靴</v>
      </c>
      <c r="D1391" s="1" t="str">
        <f>equip.xml!D1395</f>
        <v>鞋子</v>
      </c>
      <c r="E1391" s="1">
        <f>equip.xml!E1395</f>
        <v>8</v>
      </c>
      <c r="F1391" s="1">
        <f>equip.xml!F1395</f>
        <v>5</v>
      </c>
      <c r="G1391" s="1">
        <f>equip.xml!G1395</f>
        <v>15</v>
      </c>
      <c r="H1391" s="1">
        <f>equip.xml!H1395</f>
        <v>0</v>
      </c>
      <c r="I1391" s="1">
        <f>equip.xml!J1395</f>
        <v>150</v>
      </c>
      <c r="J1391" s="1">
        <f>equip.xml!K1395</f>
        <v>1500</v>
      </c>
      <c r="K1391" s="1">
        <f>equip.xml!L1395</f>
        <v>10000</v>
      </c>
      <c r="L1391" s="1" t="str">
        <f>equip.xml!M1395</f>
        <v>110_27_27</v>
      </c>
      <c r="M1391" s="7" t="str">
        <f>equip.xml!Q1395</f>
        <v>equipment/8003.png</v>
      </c>
      <c r="N1391" t="str">
        <f>equip.xml!P1395</f>
        <v>10000_1002_15000,30000_30001_1,30000_30002_1,30000_30003_1</v>
      </c>
    </row>
    <row r="1392" spans="1:14">
      <c r="A1392" s="1" t="str">
        <f>equip.xml!A1396</f>
        <v>50150090</v>
      </c>
      <c r="B1392" s="1">
        <f>equip.xml!B1396</f>
        <v>1</v>
      </c>
      <c r="C1392" s="1" t="str">
        <f>equip.xml!C1396</f>
        <v>战痕手套</v>
      </c>
      <c r="D1392" s="1" t="str">
        <f>equip.xml!D1396</f>
        <v>手套</v>
      </c>
      <c r="E1392" s="1">
        <f>equip.xml!E1396</f>
        <v>9</v>
      </c>
      <c r="F1392" s="1">
        <f>equip.xml!F1396</f>
        <v>5</v>
      </c>
      <c r="G1392" s="1">
        <f>equip.xml!G1396</f>
        <v>15</v>
      </c>
      <c r="H1392" s="1">
        <f>equip.xml!H1396</f>
        <v>0</v>
      </c>
      <c r="I1392" s="1">
        <f>equip.xml!J1396</f>
        <v>150</v>
      </c>
      <c r="J1392" s="1">
        <f>equip.xml!K1396</f>
        <v>1500</v>
      </c>
      <c r="K1392" s="1">
        <f>equip.xml!L1396</f>
        <v>10000</v>
      </c>
      <c r="L1392" s="1" t="str">
        <f>equip.xml!M1396</f>
        <v>108_106_106</v>
      </c>
      <c r="M1392" s="7" t="str">
        <f>equip.xml!Q1396</f>
        <v>equipment/10003.png</v>
      </c>
      <c r="N1392" t="str">
        <f>equip.xml!P1396</f>
        <v>10000_1002_15000,30000_30001_1,30000_30002_1,30000_30003_1</v>
      </c>
    </row>
    <row r="1393" spans="1:14">
      <c r="A1393" s="1" t="str">
        <f>equip.xml!A1397</f>
        <v>50150100</v>
      </c>
      <c r="B1393" s="1">
        <f>equip.xml!B1397</f>
        <v>1</v>
      </c>
      <c r="C1393" s="1" t="str">
        <f>equip.xml!C1397</f>
        <v>使者项链</v>
      </c>
      <c r="D1393" s="1" t="str">
        <f>equip.xml!D1397</f>
        <v>项链</v>
      </c>
      <c r="E1393" s="1">
        <f>equip.xml!E1397</f>
        <v>10</v>
      </c>
      <c r="F1393" s="1">
        <f>equip.xml!F1397</f>
        <v>5</v>
      </c>
      <c r="G1393" s="1">
        <f>equip.xml!G1397</f>
        <v>15</v>
      </c>
      <c r="H1393" s="1">
        <f>equip.xml!H1397</f>
        <v>0</v>
      </c>
      <c r="I1393" s="1">
        <f>equip.xml!J1397</f>
        <v>150</v>
      </c>
      <c r="J1393" s="1">
        <f>equip.xml!K1397</f>
        <v>1500</v>
      </c>
      <c r="K1393" s="1">
        <f>equip.xml!L1397</f>
        <v>10000</v>
      </c>
      <c r="L1393" s="1" t="str">
        <f>equip.xml!M1397</f>
        <v>107_64_64</v>
      </c>
      <c r="M1393" s="7" t="str">
        <f>equip.xml!Q1397</f>
        <v>equipment/12002.png</v>
      </c>
      <c r="N1393" t="str">
        <f>equip.xml!P1397</f>
        <v>10000_1002_15000,30000_30001_1,30000_30002_1,30000_30003_1</v>
      </c>
    </row>
    <row r="1394" spans="1:14">
      <c r="A1394" s="1" t="str">
        <f>equip.xml!A1398</f>
        <v>50151050</v>
      </c>
      <c r="B1394" s="1">
        <f>equip.xml!B1398</f>
        <v>1</v>
      </c>
      <c r="C1394" s="1" t="str">
        <f>equip.xml!C1398</f>
        <v>宽刃剑</v>
      </c>
      <c r="D1394" s="1" t="str">
        <f>equip.xml!D1398</f>
        <v>主手武器</v>
      </c>
      <c r="E1394" s="1">
        <f>equip.xml!E1398</f>
        <v>5</v>
      </c>
      <c r="F1394" s="1">
        <f>equip.xml!F1398</f>
        <v>5</v>
      </c>
      <c r="G1394" s="1">
        <f>equip.xml!G1398</f>
        <v>15</v>
      </c>
      <c r="H1394" s="1" t="str">
        <f>equip.xml!H1398</f>
        <v>1,1001</v>
      </c>
      <c r="I1394" s="1">
        <f>equip.xml!J1398</f>
        <v>150</v>
      </c>
      <c r="J1394" s="1">
        <f>equip.xml!K1398</f>
        <v>1500</v>
      </c>
      <c r="K1394" s="1">
        <f>equip.xml!L1398</f>
        <v>10000</v>
      </c>
      <c r="L1394" s="1" t="str">
        <f>equip.xml!M1398</f>
        <v>103_52_52,104_104_104</v>
      </c>
      <c r="M1394" s="7" t="str">
        <f>equip.xml!Q1398</f>
        <v>equipment/1108.png</v>
      </c>
      <c r="N1394" t="str">
        <f>equip.xml!P1398</f>
        <v>10000_1002_15000,30000_30001_1,30000_30002_1,30000_30003_1</v>
      </c>
    </row>
    <row r="1395" spans="1:14">
      <c r="A1395" s="1" t="str">
        <f>equip.xml!A1399</f>
        <v>50151051</v>
      </c>
      <c r="B1395" s="1">
        <f>equip.xml!B1399</f>
        <v>1</v>
      </c>
      <c r="C1395" s="1" t="str">
        <f>equip.xml!C1399</f>
        <v>游侠之刃</v>
      </c>
      <c r="D1395" s="1" t="str">
        <f>equip.xml!D1399</f>
        <v>主手武器</v>
      </c>
      <c r="E1395" s="1">
        <f>equip.xml!E1399</f>
        <v>5</v>
      </c>
      <c r="F1395" s="1">
        <f>equip.xml!F1399</f>
        <v>5</v>
      </c>
      <c r="G1395" s="1">
        <f>equip.xml!G1399</f>
        <v>15</v>
      </c>
      <c r="H1395" s="1" t="str">
        <f>equip.xml!H1399</f>
        <v>1,1001</v>
      </c>
      <c r="I1395" s="1">
        <f>equip.xml!J1399</f>
        <v>150</v>
      </c>
      <c r="J1395" s="1">
        <f>equip.xml!K1399</f>
        <v>1500</v>
      </c>
      <c r="K1395" s="1">
        <f>equip.xml!L1399</f>
        <v>12500</v>
      </c>
      <c r="L1395" s="1" t="str">
        <f>equip.xml!M1399</f>
        <v>103_76_76,104_152_152</v>
      </c>
      <c r="M1395" s="7" t="str">
        <f>equip.xml!Q1399</f>
        <v>equipment/1107.png</v>
      </c>
      <c r="N1395" t="str">
        <f>equip.xml!P1399</f>
        <v>10000_1002_15000,30000_30001_1,30000_30002_1,30000_30003_1</v>
      </c>
    </row>
    <row r="1396" spans="1:14">
      <c r="A1396" s="1" t="str">
        <f>equip.xml!A1400</f>
        <v>50151060</v>
      </c>
      <c r="B1396" s="1">
        <f>equip.xml!B1400</f>
        <v>1</v>
      </c>
      <c r="C1396" s="1" t="str">
        <f>equip.xml!C1400</f>
        <v>鸢盾</v>
      </c>
      <c r="D1396" s="1" t="str">
        <f>equip.xml!D1400</f>
        <v>副手武器</v>
      </c>
      <c r="E1396" s="1">
        <f>equip.xml!E1400</f>
        <v>6</v>
      </c>
      <c r="F1396" s="1">
        <f>equip.xml!F1400</f>
        <v>5</v>
      </c>
      <c r="G1396" s="1">
        <f>equip.xml!G1400</f>
        <v>15</v>
      </c>
      <c r="H1396" s="1" t="str">
        <f>equip.xml!H1400</f>
        <v>1,1001</v>
      </c>
      <c r="I1396" s="1">
        <f>equip.xml!J1400</f>
        <v>150</v>
      </c>
      <c r="J1396" s="1">
        <f>equip.xml!K1400</f>
        <v>1500</v>
      </c>
      <c r="K1396" s="1">
        <f>equip.xml!L1400</f>
        <v>10000</v>
      </c>
      <c r="L1396" s="1" t="str">
        <f>equip.xml!M1400</f>
        <v>105_103_103</v>
      </c>
      <c r="M1396" s="7" t="str">
        <f>equip.xml!Q1400</f>
        <v>equipment/2105.png</v>
      </c>
      <c r="N1396" t="str">
        <f>equip.xml!P1400</f>
        <v>10000_1002_15000,30000_30001_1,30000_30002_1,30000_30003_1</v>
      </c>
    </row>
    <row r="1397" spans="1:14">
      <c r="A1397" s="1" t="str">
        <f>equip.xml!A1401</f>
        <v>50151061</v>
      </c>
      <c r="B1397" s="1">
        <f>equip.xml!B1401</f>
        <v>0</v>
      </c>
      <c r="C1397" s="1" t="str">
        <f>equip.xml!C1401</f>
        <v>尖头盾</v>
      </c>
      <c r="D1397" s="1" t="str">
        <f>equip.xml!D1401</f>
        <v>副手武器</v>
      </c>
      <c r="E1397" s="1">
        <f>equip.xml!E1401</f>
        <v>6</v>
      </c>
      <c r="F1397" s="1">
        <f>equip.xml!F1401</f>
        <v>5</v>
      </c>
      <c r="G1397" s="1">
        <f>equip.xml!G1401</f>
        <v>15</v>
      </c>
      <c r="H1397" s="1" t="str">
        <f>equip.xml!H1401</f>
        <v>1,1001</v>
      </c>
      <c r="I1397" s="1">
        <f>equip.xml!J1401</f>
        <v>150</v>
      </c>
      <c r="J1397" s="1">
        <f>equip.xml!K1401</f>
        <v>1500</v>
      </c>
      <c r="K1397" s="1">
        <f>equip.xml!L1401</f>
        <v>12500</v>
      </c>
      <c r="L1397" s="1" t="str">
        <f>equip.xml!M1401</f>
        <v>105_130_130</v>
      </c>
      <c r="M1397" s="7" t="str">
        <f>equip.xml!Q1401</f>
        <v>equipment/2101.png</v>
      </c>
      <c r="N1397" t="str">
        <f>equip.xml!P1401</f>
        <v>10000_1002_15000,30000_30001_1,30000_30002_1,30000_30003_1</v>
      </c>
    </row>
    <row r="1398" spans="1:14">
      <c r="A1398" s="1" t="str">
        <f>equip.xml!A1402</f>
        <v>50152050</v>
      </c>
      <c r="B1398" s="1">
        <f>equip.xml!B1402</f>
        <v>1</v>
      </c>
      <c r="C1398" s="1" t="str">
        <f>equip.xml!C1402</f>
        <v>狩猎之弓</v>
      </c>
      <c r="D1398" s="1" t="str">
        <f>equip.xml!D1402</f>
        <v>主手武器</v>
      </c>
      <c r="E1398" s="1">
        <f>equip.xml!E1402</f>
        <v>5</v>
      </c>
      <c r="F1398" s="1">
        <f>equip.xml!F1402</f>
        <v>5</v>
      </c>
      <c r="G1398" s="1">
        <f>equip.xml!G1402</f>
        <v>15</v>
      </c>
      <c r="H1398" s="1" t="str">
        <f>equip.xml!H1402</f>
        <v>2,1002</v>
      </c>
      <c r="I1398" s="1">
        <f>equip.xml!J1402</f>
        <v>150</v>
      </c>
      <c r="J1398" s="1">
        <f>equip.xml!K1402</f>
        <v>1500</v>
      </c>
      <c r="K1398" s="1">
        <f>equip.xml!L1402</f>
        <v>10000</v>
      </c>
      <c r="L1398" s="1" t="str">
        <f>equip.xml!M1402</f>
        <v>103_52_52,104_104_104</v>
      </c>
      <c r="M1398" s="7" t="str">
        <f>equip.xml!Q1402</f>
        <v>equipment/1207.png</v>
      </c>
      <c r="N1398" t="str">
        <f>equip.xml!P1402</f>
        <v>10000_1002_15000,30000_30001_1,30000_30002_1,30000_30003_1</v>
      </c>
    </row>
    <row r="1399" spans="1:14">
      <c r="A1399" s="1" t="str">
        <f>equip.xml!A1403</f>
        <v>50152051</v>
      </c>
      <c r="B1399" s="1">
        <f>equip.xml!B1403</f>
        <v>1</v>
      </c>
      <c r="C1399" s="1" t="str">
        <f>equip.xml!C1403</f>
        <v>半人马长弓</v>
      </c>
      <c r="D1399" s="1" t="str">
        <f>equip.xml!D1403</f>
        <v>主手武器</v>
      </c>
      <c r="E1399" s="1">
        <f>equip.xml!E1403</f>
        <v>5</v>
      </c>
      <c r="F1399" s="1">
        <f>equip.xml!F1403</f>
        <v>5</v>
      </c>
      <c r="G1399" s="1">
        <f>equip.xml!G1403</f>
        <v>15</v>
      </c>
      <c r="H1399" s="1" t="str">
        <f>equip.xml!H1403</f>
        <v>2,1002</v>
      </c>
      <c r="I1399" s="1">
        <f>equip.xml!J1403</f>
        <v>150</v>
      </c>
      <c r="J1399" s="1">
        <f>equip.xml!K1403</f>
        <v>1500</v>
      </c>
      <c r="K1399" s="1">
        <f>equip.xml!L1403</f>
        <v>12500</v>
      </c>
      <c r="L1399" s="1" t="str">
        <f>equip.xml!M1403</f>
        <v>103_76_76,104_152_152</v>
      </c>
      <c r="M1399" s="7" t="str">
        <f>equip.xml!Q1403</f>
        <v>equipment/1208.png</v>
      </c>
      <c r="N1399" t="str">
        <f>equip.xml!P1403</f>
        <v>10000_1002_15000,30000_30001_1,30000_30002_1,30000_30003_1</v>
      </c>
    </row>
    <row r="1400" spans="1:14">
      <c r="A1400" s="1" t="str">
        <f>equip.xml!A1404</f>
        <v>50152060</v>
      </c>
      <c r="B1400" s="1">
        <f>equip.xml!B1404</f>
        <v>1</v>
      </c>
      <c r="C1400" s="1" t="str">
        <f>equip.xml!C1404</f>
        <v>皮革箭筒</v>
      </c>
      <c r="D1400" s="1" t="str">
        <f>equip.xml!D1404</f>
        <v>副手武器</v>
      </c>
      <c r="E1400" s="1">
        <f>equip.xml!E1404</f>
        <v>6</v>
      </c>
      <c r="F1400" s="1">
        <f>equip.xml!F1404</f>
        <v>5</v>
      </c>
      <c r="G1400" s="1">
        <f>equip.xml!G1404</f>
        <v>15</v>
      </c>
      <c r="H1400" s="1" t="str">
        <f>equip.xml!H1404</f>
        <v>2,1002</v>
      </c>
      <c r="I1400" s="1">
        <f>equip.xml!J1404</f>
        <v>150</v>
      </c>
      <c r="J1400" s="1">
        <f>equip.xml!K1404</f>
        <v>1500</v>
      </c>
      <c r="K1400" s="1">
        <f>equip.xml!L1404</f>
        <v>10000</v>
      </c>
      <c r="L1400" s="1" t="str">
        <f>equip.xml!M1404</f>
        <v>108_103_103</v>
      </c>
      <c r="M1400" s="7" t="str">
        <f>equip.xml!Q1404</f>
        <v>equipment/2204.png</v>
      </c>
      <c r="N1400" t="str">
        <f>equip.xml!P1404</f>
        <v>10000_1002_15000,30000_30001_1,30000_30002_1,30000_30003_1</v>
      </c>
    </row>
    <row r="1401" spans="1:14">
      <c r="A1401" s="1" t="str">
        <f>equip.xml!A1405</f>
        <v>50152061</v>
      </c>
      <c r="B1401" s="1">
        <f>equip.xml!B1405</f>
        <v>0</v>
      </c>
      <c r="C1401" s="1" t="str">
        <f>equip.xml!C1405</f>
        <v>箭筒</v>
      </c>
      <c r="D1401" s="1" t="str">
        <f>equip.xml!D1405</f>
        <v>副手武器</v>
      </c>
      <c r="E1401" s="1">
        <f>equip.xml!E1405</f>
        <v>6</v>
      </c>
      <c r="F1401" s="1">
        <f>equip.xml!F1405</f>
        <v>5</v>
      </c>
      <c r="G1401" s="1">
        <f>equip.xml!G1405</f>
        <v>15</v>
      </c>
      <c r="H1401" s="1" t="str">
        <f>equip.xml!H1405</f>
        <v>2,1002</v>
      </c>
      <c r="I1401" s="1">
        <f>equip.xml!J1405</f>
        <v>150</v>
      </c>
      <c r="J1401" s="1">
        <f>equip.xml!K1405</f>
        <v>1500</v>
      </c>
      <c r="K1401" s="1">
        <f>equip.xml!L1405</f>
        <v>12500</v>
      </c>
      <c r="L1401" s="1" t="str">
        <f>equip.xml!M1405</f>
        <v>108_130_130</v>
      </c>
      <c r="M1401" s="7" t="str">
        <f>equip.xml!Q1405</f>
        <v>equipment/2201.png</v>
      </c>
      <c r="N1401" t="str">
        <f>equip.xml!P1405</f>
        <v>10000_1002_15000,30000_30001_1,30000_30002_1,30000_30003_1</v>
      </c>
    </row>
    <row r="1402" spans="1:14">
      <c r="A1402" s="1" t="str">
        <f>equip.xml!A1406</f>
        <v>50153050</v>
      </c>
      <c r="B1402" s="1">
        <f>equip.xml!B1406</f>
        <v>1</v>
      </c>
      <c r="C1402" s="1" t="str">
        <f>equip.xml!C1406</f>
        <v>风灵法杖</v>
      </c>
      <c r="D1402" s="1" t="str">
        <f>equip.xml!D1406</f>
        <v>主手武器</v>
      </c>
      <c r="E1402" s="1">
        <f>equip.xml!E1406</f>
        <v>5</v>
      </c>
      <c r="F1402" s="1">
        <f>equip.xml!F1406</f>
        <v>5</v>
      </c>
      <c r="G1402" s="1">
        <f>equip.xml!G1406</f>
        <v>15</v>
      </c>
      <c r="H1402" s="1" t="str">
        <f>equip.xml!H1406</f>
        <v>3,1003</v>
      </c>
      <c r="I1402" s="1">
        <f>equip.xml!J1406</f>
        <v>150</v>
      </c>
      <c r="J1402" s="1">
        <f>equip.xml!K1406</f>
        <v>1500</v>
      </c>
      <c r="K1402" s="1">
        <f>equip.xml!L1406</f>
        <v>10000</v>
      </c>
      <c r="L1402" s="1" t="str">
        <f>equip.xml!M1406</f>
        <v>103_52_52,104_104_104</v>
      </c>
      <c r="M1402" s="7" t="str">
        <f>equip.xml!Q1406</f>
        <v>equipment/1307.png</v>
      </c>
      <c r="N1402" t="str">
        <f>equip.xml!P1406</f>
        <v>10000_1002_15000,30000_30001_1,30000_30002_1,30000_30003_1</v>
      </c>
    </row>
    <row r="1403" spans="1:14">
      <c r="A1403" s="1" t="str">
        <f>equip.xml!A1407</f>
        <v>50153051</v>
      </c>
      <c r="B1403" s="1">
        <f>equip.xml!B1407</f>
        <v>1</v>
      </c>
      <c r="C1403" s="1" t="str">
        <f>equip.xml!C1407</f>
        <v>禁锢之杖</v>
      </c>
      <c r="D1403" s="1" t="str">
        <f>equip.xml!D1407</f>
        <v>主手武器</v>
      </c>
      <c r="E1403" s="1">
        <f>equip.xml!E1407</f>
        <v>5</v>
      </c>
      <c r="F1403" s="1">
        <f>equip.xml!F1407</f>
        <v>5</v>
      </c>
      <c r="G1403" s="1">
        <f>equip.xml!G1407</f>
        <v>15</v>
      </c>
      <c r="H1403" s="1" t="str">
        <f>equip.xml!H1407</f>
        <v>3,1003</v>
      </c>
      <c r="I1403" s="1">
        <f>equip.xml!J1407</f>
        <v>150</v>
      </c>
      <c r="J1403" s="1">
        <f>equip.xml!K1407</f>
        <v>1500</v>
      </c>
      <c r="K1403" s="1">
        <f>equip.xml!L1407</f>
        <v>12500</v>
      </c>
      <c r="L1403" s="1" t="str">
        <f>equip.xml!M1407</f>
        <v>103_76_76,104_152_152</v>
      </c>
      <c r="M1403" s="7" t="str">
        <f>equip.xml!Q1407</f>
        <v>equipment/1308.png</v>
      </c>
      <c r="N1403" t="str">
        <f>equip.xml!P1407</f>
        <v>10000_1002_15000,30000_30001_1,30000_30002_1,30000_30003_1</v>
      </c>
    </row>
    <row r="1404" spans="1:14">
      <c r="A1404" s="1" t="str">
        <f>equip.xml!A1408</f>
        <v>50153060</v>
      </c>
      <c r="B1404" s="1">
        <f>equip.xml!B1408</f>
        <v>1</v>
      </c>
      <c r="C1404" s="1" t="str">
        <f>equip.xml!C1408</f>
        <v>秘法之书</v>
      </c>
      <c r="D1404" s="1" t="str">
        <f>equip.xml!D1408</f>
        <v>副手武器</v>
      </c>
      <c r="E1404" s="1">
        <f>equip.xml!E1408</f>
        <v>6</v>
      </c>
      <c r="F1404" s="1">
        <f>equip.xml!F1408</f>
        <v>5</v>
      </c>
      <c r="G1404" s="1">
        <f>equip.xml!G1408</f>
        <v>15</v>
      </c>
      <c r="H1404" s="1" t="str">
        <f>equip.xml!H1408</f>
        <v>3,1003</v>
      </c>
      <c r="I1404" s="1">
        <f>equip.xml!J1408</f>
        <v>150</v>
      </c>
      <c r="J1404" s="1">
        <f>equip.xml!K1408</f>
        <v>1500</v>
      </c>
      <c r="K1404" s="1">
        <f>equip.xml!L1408</f>
        <v>10000</v>
      </c>
      <c r="L1404" s="1" t="str">
        <f>equip.xml!M1408</f>
        <v>102_420_420</v>
      </c>
      <c r="M1404" s="7" t="str">
        <f>equip.xml!Q1408</f>
        <v>equipment/2304.png</v>
      </c>
      <c r="N1404" t="str">
        <f>equip.xml!P1408</f>
        <v>10000_1002_15000,30000_30001_1,30000_30002_1,30000_30003_1</v>
      </c>
    </row>
    <row r="1405" spans="1:14">
      <c r="A1405" s="1" t="str">
        <f>equip.xml!A1409</f>
        <v>50153061</v>
      </c>
      <c r="B1405" s="1">
        <f>equip.xml!B1409</f>
        <v>0</v>
      </c>
      <c r="C1405" s="1" t="str">
        <f>equip.xml!C1409</f>
        <v>法术指南</v>
      </c>
      <c r="D1405" s="1" t="str">
        <f>equip.xml!D1409</f>
        <v>副手武器</v>
      </c>
      <c r="E1405" s="1">
        <f>equip.xml!E1409</f>
        <v>6</v>
      </c>
      <c r="F1405" s="1">
        <f>equip.xml!F1409</f>
        <v>5</v>
      </c>
      <c r="G1405" s="1">
        <f>equip.xml!G1409</f>
        <v>15</v>
      </c>
      <c r="H1405" s="1" t="str">
        <f>equip.xml!H1409</f>
        <v>3,1003</v>
      </c>
      <c r="I1405" s="1">
        <f>equip.xml!J1409</f>
        <v>150</v>
      </c>
      <c r="J1405" s="1">
        <f>equip.xml!K1409</f>
        <v>1500</v>
      </c>
      <c r="K1405" s="1">
        <f>equip.xml!L1409</f>
        <v>12500</v>
      </c>
      <c r="L1405" s="1" t="str">
        <f>equip.xml!M1409</f>
        <v>102_472_472</v>
      </c>
      <c r="M1405" s="7" t="str">
        <f>equip.xml!Q1409</f>
        <v>equipment/2301.png</v>
      </c>
      <c r="N1405" t="str">
        <f>equip.xml!P1409</f>
        <v>10000_1002_15000,30000_30001_1,30000_30002_1,30000_30003_1</v>
      </c>
    </row>
    <row r="1406" spans="1:14">
      <c r="A1406" s="1" t="str">
        <f>equip.xml!A1410</f>
        <v>50150040</v>
      </c>
      <c r="B1406" s="1">
        <f>equip.xml!B1410</f>
        <v>1</v>
      </c>
      <c r="C1406" s="1" t="str">
        <f>equip.xml!C1410</f>
        <v>暗石胸甲</v>
      </c>
      <c r="D1406" s="1" t="str">
        <f>equip.xml!D1410</f>
        <v>胸甲</v>
      </c>
      <c r="E1406" s="1">
        <f>equip.xml!E1410</f>
        <v>4</v>
      </c>
      <c r="F1406" s="1">
        <f>equip.xml!F1410</f>
        <v>5</v>
      </c>
      <c r="G1406" s="1">
        <f>equip.xml!G1410</f>
        <v>15</v>
      </c>
      <c r="H1406" s="1">
        <f>equip.xml!H1410</f>
        <v>0</v>
      </c>
      <c r="I1406" s="1">
        <f>equip.xml!J1410</f>
        <v>150</v>
      </c>
      <c r="J1406" s="1">
        <f>equip.xml!K1410</f>
        <v>1500</v>
      </c>
      <c r="K1406" s="1">
        <f>equip.xml!L1410</f>
        <v>10000</v>
      </c>
      <c r="L1406" s="1" t="str">
        <f>equip.xml!M1410</f>
        <v>105_39_39</v>
      </c>
      <c r="M1406" s="7" t="str">
        <f>equip.xml!Q1410</f>
        <v>equipment/5005.png</v>
      </c>
      <c r="N1406" t="str">
        <f>equip.xml!P1410</f>
        <v>10000_1002_15000,30000_30001_1,30000_30002_1,30000_30003_1</v>
      </c>
    </row>
    <row r="1407" spans="1:14">
      <c r="A1407" s="1" t="str">
        <f>equip.xml!A1411</f>
        <v>50150041</v>
      </c>
      <c r="B1407" s="1">
        <f>equip.xml!B1411</f>
        <v>0</v>
      </c>
      <c r="C1407" s="1" t="str">
        <f>equip.xml!C1411</f>
        <v>新兵外套</v>
      </c>
      <c r="D1407" s="1" t="str">
        <f>equip.xml!D1411</f>
        <v>胸甲</v>
      </c>
      <c r="E1407" s="1">
        <f>equip.xml!E1411</f>
        <v>4</v>
      </c>
      <c r="F1407" s="1">
        <f>equip.xml!F1411</f>
        <v>5</v>
      </c>
      <c r="G1407" s="1">
        <f>equip.xml!G1411</f>
        <v>15</v>
      </c>
      <c r="H1407" s="1">
        <f>equip.xml!H1411</f>
        <v>0</v>
      </c>
      <c r="I1407" s="1">
        <f>equip.xml!J1411</f>
        <v>150</v>
      </c>
      <c r="J1407" s="1">
        <f>equip.xml!K1411</f>
        <v>1500</v>
      </c>
      <c r="K1407" s="1">
        <f>equip.xml!L1411</f>
        <v>12500</v>
      </c>
      <c r="L1407" s="1" t="str">
        <f>equip.xml!M1411</f>
        <v>105_64_64</v>
      </c>
      <c r="M1407" s="7" t="str">
        <f>equip.xml!Q1411</f>
        <v>equipment/5001.png</v>
      </c>
      <c r="N1407" t="str">
        <f>equip.xml!P1411</f>
        <v>10000_1002_15000,30000_30001_1,30000_30002_1,30000_30003_1</v>
      </c>
    </row>
    <row r="1408" spans="1:14">
      <c r="A1408" s="1" t="str">
        <f>equip.xml!A1412</f>
        <v>50150070</v>
      </c>
      <c r="B1408" s="1">
        <f>equip.xml!B1412</f>
        <v>1</v>
      </c>
      <c r="C1408" s="1" t="str">
        <f>equip.xml!C1412</f>
        <v>荒野马裤</v>
      </c>
      <c r="D1408" s="1" t="str">
        <f>equip.xml!D1412</f>
        <v>护腿</v>
      </c>
      <c r="E1408" s="1">
        <f>equip.xml!E1412</f>
        <v>7</v>
      </c>
      <c r="F1408" s="1">
        <f>equip.xml!F1412</f>
        <v>5</v>
      </c>
      <c r="G1408" s="1">
        <f>equip.xml!G1412</f>
        <v>15</v>
      </c>
      <c r="H1408" s="1">
        <f>equip.xml!H1412</f>
        <v>0</v>
      </c>
      <c r="I1408" s="1">
        <f>equip.xml!J1412</f>
        <v>150</v>
      </c>
      <c r="J1408" s="1">
        <f>equip.xml!K1412</f>
        <v>1500</v>
      </c>
      <c r="K1408" s="1">
        <f>equip.xml!L1412</f>
        <v>10000</v>
      </c>
      <c r="L1408" s="1" t="str">
        <f>equip.xml!M1412</f>
        <v>105_39_39</v>
      </c>
      <c r="M1408" s="7" t="str">
        <f>equip.xml!Q1412</f>
        <v>equipment/7003.png</v>
      </c>
      <c r="N1408" t="str">
        <f>equip.xml!P1412</f>
        <v>10000_1002_15000,30000_30001_1,30000_30002_1,30000_30003_1</v>
      </c>
    </row>
    <row r="1409" spans="1:14">
      <c r="A1409" s="1" t="str">
        <f>equip.xml!A1413</f>
        <v>50150071</v>
      </c>
      <c r="B1409" s="1">
        <f>equip.xml!B1413</f>
        <v>0</v>
      </c>
      <c r="C1409" s="1" t="str">
        <f>equip.xml!C1413</f>
        <v>学徒短裤</v>
      </c>
      <c r="D1409" s="1" t="str">
        <f>equip.xml!D1413</f>
        <v>护腿</v>
      </c>
      <c r="E1409" s="1">
        <f>equip.xml!E1413</f>
        <v>7</v>
      </c>
      <c r="F1409" s="1">
        <f>equip.xml!F1413</f>
        <v>5</v>
      </c>
      <c r="G1409" s="1">
        <f>equip.xml!G1413</f>
        <v>15</v>
      </c>
      <c r="H1409" s="1">
        <f>equip.xml!H1413</f>
        <v>0</v>
      </c>
      <c r="I1409" s="1">
        <f>equip.xml!J1413</f>
        <v>150</v>
      </c>
      <c r="J1409" s="1">
        <f>equip.xml!K1413</f>
        <v>1500</v>
      </c>
      <c r="K1409" s="1">
        <f>equip.xml!L1413</f>
        <v>12500</v>
      </c>
      <c r="L1409" s="1" t="str">
        <f>equip.xml!M1413</f>
        <v>105_50_50</v>
      </c>
      <c r="M1409" s="7" t="str">
        <f>equip.xml!Q1413</f>
        <v>equipment/7001.png</v>
      </c>
      <c r="N1409" t="str">
        <f>equip.xml!P1413</f>
        <v>10000_1002_15000,30000_30001_1,30000_30002_1,30000_30003_1</v>
      </c>
    </row>
    <row r="1410" spans="1:14">
      <c r="A1410" s="1" t="str">
        <f>equip.xml!A1414</f>
        <v>50200010</v>
      </c>
      <c r="B1410" s="1">
        <f>equip.xml!B1414</f>
        <v>1</v>
      </c>
      <c r="C1410" s="1" t="str">
        <f>equip.xml!C1414</f>
        <v>卫士头盔</v>
      </c>
      <c r="D1410" s="1" t="str">
        <f>equip.xml!D1414</f>
        <v>头盔</v>
      </c>
      <c r="E1410" s="1">
        <f>equip.xml!E1414</f>
        <v>1</v>
      </c>
      <c r="F1410" s="1">
        <f>equip.xml!F1414</f>
        <v>5</v>
      </c>
      <c r="G1410" s="1">
        <f>equip.xml!G1414</f>
        <v>20</v>
      </c>
      <c r="H1410" s="1">
        <f>equip.xml!H1414</f>
        <v>0</v>
      </c>
      <c r="I1410" s="1">
        <f>equip.xml!J1414</f>
        <v>150</v>
      </c>
      <c r="J1410" s="1">
        <f>equip.xml!K1414</f>
        <v>1500</v>
      </c>
      <c r="K1410" s="1">
        <f>equip.xml!L1414</f>
        <v>12500</v>
      </c>
      <c r="L1410" s="1" t="str">
        <f>equip.xml!M1414</f>
        <v>106_136_136</v>
      </c>
      <c r="M1410" s="7" t="str">
        <f>equip.xml!Q1414</f>
        <v>equipment/3003.png</v>
      </c>
      <c r="N1410" t="str">
        <f>equip.xml!P1414</f>
        <v>10000_1002_20000,30000_30001_1,30000_30002_1,30000_30003_1</v>
      </c>
    </row>
    <row r="1411" spans="1:14">
      <c r="A1411" s="1" t="str">
        <f>equip.xml!A1415</f>
        <v>50200020</v>
      </c>
      <c r="B1411" s="1">
        <f>equip.xml!B1415</f>
        <v>1</v>
      </c>
      <c r="C1411" s="1" t="str">
        <f>equip.xml!C1415</f>
        <v>石岩指环</v>
      </c>
      <c r="D1411" s="1" t="str">
        <f>equip.xml!D1415</f>
        <v>戒指</v>
      </c>
      <c r="E1411" s="1">
        <f>equip.xml!E1415</f>
        <v>2</v>
      </c>
      <c r="F1411" s="1">
        <f>equip.xml!F1415</f>
        <v>5</v>
      </c>
      <c r="G1411" s="1">
        <f>equip.xml!G1415</f>
        <v>20</v>
      </c>
      <c r="H1411" s="1">
        <f>equip.xml!H1415</f>
        <v>0</v>
      </c>
      <c r="I1411" s="1">
        <f>equip.xml!J1415</f>
        <v>150</v>
      </c>
      <c r="J1411" s="1">
        <f>equip.xml!K1415</f>
        <v>1500</v>
      </c>
      <c r="K1411" s="1">
        <f>equip.xml!L1415</f>
        <v>12500</v>
      </c>
      <c r="L1411" s="1" t="str">
        <f>equip.xml!M1415</f>
        <v>102_240_240</v>
      </c>
      <c r="M1411" s="7" t="str">
        <f>equip.xml!Q1415</f>
        <v>equipment/14003.png</v>
      </c>
      <c r="N1411" t="str">
        <f>equip.xml!P1415</f>
        <v>10000_1002_20000,30000_30001_1,30000_30002_1,30000_30003_1</v>
      </c>
    </row>
    <row r="1412" spans="1:14">
      <c r="A1412" s="1" t="str">
        <f>equip.xml!A1416</f>
        <v>50200030</v>
      </c>
      <c r="B1412" s="1">
        <f>equip.xml!B1416</f>
        <v>1</v>
      </c>
      <c r="C1412" s="1" t="str">
        <f>equip.xml!C1416</f>
        <v>战士束带</v>
      </c>
      <c r="D1412" s="1" t="str">
        <f>equip.xml!D1416</f>
        <v>腰带</v>
      </c>
      <c r="E1412" s="1">
        <f>equip.xml!E1416</f>
        <v>3</v>
      </c>
      <c r="F1412" s="1">
        <f>equip.xml!F1416</f>
        <v>5</v>
      </c>
      <c r="G1412" s="1">
        <f>equip.xml!G1416</f>
        <v>20</v>
      </c>
      <c r="H1412" s="1">
        <f>equip.xml!H1416</f>
        <v>0</v>
      </c>
      <c r="I1412" s="1">
        <f>equip.xml!J1416</f>
        <v>150</v>
      </c>
      <c r="J1412" s="1">
        <f>equip.xml!K1416</f>
        <v>1500</v>
      </c>
      <c r="K1412" s="1">
        <f>equip.xml!L1416</f>
        <v>12500</v>
      </c>
      <c r="L1412" s="1" t="str">
        <f>equip.xml!M1416</f>
        <v>101_2120_2120</v>
      </c>
      <c r="M1412" s="7" t="str">
        <f>equip.xml!Q1416</f>
        <v>equipment/6004.png</v>
      </c>
      <c r="N1412" t="str">
        <f>equip.xml!P1416</f>
        <v>10000_1002_20000,30000_30001_1,30000_30002_1,30000_30003_1</v>
      </c>
    </row>
    <row r="1413" spans="1:14">
      <c r="A1413" s="1" t="str">
        <f>equip.xml!A1417</f>
        <v>50200080</v>
      </c>
      <c r="B1413" s="1">
        <f>equip.xml!B1417</f>
        <v>0</v>
      </c>
      <c r="C1413" s="1" t="str">
        <f>equip.xml!C1417</f>
        <v>皮靴</v>
      </c>
      <c r="D1413" s="1" t="str">
        <f>equip.xml!D1417</f>
        <v>鞋子</v>
      </c>
      <c r="E1413" s="1">
        <f>equip.xml!E1417</f>
        <v>8</v>
      </c>
      <c r="F1413" s="1">
        <f>equip.xml!F1417</f>
        <v>5</v>
      </c>
      <c r="G1413" s="1">
        <f>equip.xml!G1417</f>
        <v>20</v>
      </c>
      <c r="H1413" s="1">
        <f>equip.xml!H1417</f>
        <v>0</v>
      </c>
      <c r="I1413" s="1">
        <f>equip.xml!J1417</f>
        <v>150</v>
      </c>
      <c r="J1413" s="1">
        <f>equip.xml!K1417</f>
        <v>1500</v>
      </c>
      <c r="K1413" s="1">
        <f>equip.xml!L1417</f>
        <v>12500</v>
      </c>
      <c r="L1413" s="1" t="str">
        <f>equip.xml!M1417</f>
        <v>110_40_40</v>
      </c>
      <c r="M1413" s="7" t="str">
        <f>equip.xml!Q1417</f>
        <v>equipment/8001.png</v>
      </c>
      <c r="N1413" t="str">
        <f>equip.xml!P1417</f>
        <v>10000_1002_20000,30000_30001_1,30000_30002_1,30000_30003_1</v>
      </c>
    </row>
    <row r="1414" spans="1:14">
      <c r="A1414" s="1" t="str">
        <f>equip.xml!A1418</f>
        <v>50200090</v>
      </c>
      <c r="B1414" s="1">
        <f>equip.xml!B1418</f>
        <v>1</v>
      </c>
      <c r="C1414" s="1" t="str">
        <f>equip.xml!C1418</f>
        <v>工程手套</v>
      </c>
      <c r="D1414" s="1" t="str">
        <f>equip.xml!D1418</f>
        <v>手套</v>
      </c>
      <c r="E1414" s="1">
        <f>equip.xml!E1418</f>
        <v>9</v>
      </c>
      <c r="F1414" s="1">
        <f>equip.xml!F1418</f>
        <v>5</v>
      </c>
      <c r="G1414" s="1">
        <f>equip.xml!G1418</f>
        <v>20</v>
      </c>
      <c r="H1414" s="1">
        <f>equip.xml!H1418</f>
        <v>0</v>
      </c>
      <c r="I1414" s="1">
        <f>equip.xml!J1418</f>
        <v>150</v>
      </c>
      <c r="J1414" s="1">
        <f>equip.xml!K1418</f>
        <v>1500</v>
      </c>
      <c r="K1414" s="1">
        <f>equip.xml!L1418</f>
        <v>12500</v>
      </c>
      <c r="L1414" s="1" t="str">
        <f>equip.xml!M1418</f>
        <v>108_211_211</v>
      </c>
      <c r="M1414" s="7" t="str">
        <f>equip.xml!Q1418</f>
        <v>equipment/10004.png</v>
      </c>
      <c r="N1414" t="str">
        <f>equip.xml!P1418</f>
        <v>10000_1002_20000,30000_30001_1,30000_30002_1,30000_30003_1</v>
      </c>
    </row>
    <row r="1415" spans="1:14">
      <c r="A1415" s="1" t="str">
        <f>equip.xml!A1419</f>
        <v>50200100</v>
      </c>
      <c r="B1415" s="1">
        <f>equip.xml!B1419</f>
        <v>1</v>
      </c>
      <c r="C1415" s="1" t="str">
        <f>equip.xml!C1419</f>
        <v>翡翠项链</v>
      </c>
      <c r="D1415" s="1" t="str">
        <f>equip.xml!D1419</f>
        <v>项链</v>
      </c>
      <c r="E1415" s="1">
        <f>equip.xml!E1419</f>
        <v>10</v>
      </c>
      <c r="F1415" s="1">
        <f>equip.xml!F1419</f>
        <v>5</v>
      </c>
      <c r="G1415" s="1">
        <f>equip.xml!G1419</f>
        <v>20</v>
      </c>
      <c r="H1415" s="1">
        <f>equip.xml!H1419</f>
        <v>0</v>
      </c>
      <c r="I1415" s="1">
        <f>equip.xml!J1419</f>
        <v>150</v>
      </c>
      <c r="J1415" s="1">
        <f>equip.xml!K1419</f>
        <v>1500</v>
      </c>
      <c r="K1415" s="1">
        <f>equip.xml!L1419</f>
        <v>12500</v>
      </c>
      <c r="L1415" s="1" t="str">
        <f>equip.xml!M1419</f>
        <v>107_136_136</v>
      </c>
      <c r="M1415" s="7" t="str">
        <f>equip.xml!Q1419</f>
        <v>equipment/12003.png</v>
      </c>
      <c r="N1415" t="str">
        <f>equip.xml!P1419</f>
        <v>10000_1002_20000,30000_30001_1,30000_30002_1,30000_30003_1</v>
      </c>
    </row>
    <row r="1416" spans="1:14">
      <c r="A1416" s="1">
        <f>equip.xml!A1420</f>
        <v>50201050</v>
      </c>
      <c r="B1416" s="1">
        <f>equip.xml!B1420</f>
        <v>1</v>
      </c>
      <c r="C1416" s="1" t="str">
        <f>equip.xml!C1420</f>
        <v>勇者长剑</v>
      </c>
      <c r="D1416" s="1" t="str">
        <f>equip.xml!D1420</f>
        <v>主手武器</v>
      </c>
      <c r="E1416" s="1">
        <f>equip.xml!E1420</f>
        <v>5</v>
      </c>
      <c r="F1416" s="1">
        <f>equip.xml!F1420</f>
        <v>5</v>
      </c>
      <c r="G1416" s="1">
        <f>equip.xml!G1420</f>
        <v>20</v>
      </c>
      <c r="H1416" s="1" t="str">
        <f>equip.xml!H1420</f>
        <v>1,1001</v>
      </c>
      <c r="I1416" s="1">
        <f>equip.xml!J1420</f>
        <v>150</v>
      </c>
      <c r="J1416" s="1">
        <f>equip.xml!K1420</f>
        <v>1500</v>
      </c>
      <c r="K1416" s="1">
        <f>equip.xml!L1420</f>
        <v>12500</v>
      </c>
      <c r="L1416" s="1" t="str">
        <f>equip.xml!M1420</f>
        <v>103_113_113,104_226_226</v>
      </c>
      <c r="M1416" s="7" t="str">
        <f>equip.xml!Q1420</f>
        <v>equipment/1109.png</v>
      </c>
      <c r="N1416" t="str">
        <f>equip.xml!P1420</f>
        <v>10000_1002_20000,30000_30001_1,30000_30002_1,30000_30003_1</v>
      </c>
    </row>
    <row r="1417" spans="1:14">
      <c r="A1417" s="1" t="str">
        <f>equip.xml!A1421</f>
        <v>50201051</v>
      </c>
      <c r="B1417" s="1">
        <f>equip.xml!B1421</f>
        <v>0</v>
      </c>
      <c r="C1417" s="1" t="str">
        <f>equip.xml!C1421</f>
        <v>军刀</v>
      </c>
      <c r="D1417" s="1" t="str">
        <f>equip.xml!D1421</f>
        <v>主手武器</v>
      </c>
      <c r="E1417" s="1">
        <f>equip.xml!E1421</f>
        <v>5</v>
      </c>
      <c r="F1417" s="1">
        <f>equip.xml!F1421</f>
        <v>5</v>
      </c>
      <c r="G1417" s="1">
        <f>equip.xml!G1421</f>
        <v>20</v>
      </c>
      <c r="H1417" s="1" t="str">
        <f>equip.xml!H1421</f>
        <v>1,1001</v>
      </c>
      <c r="I1417" s="1">
        <f>equip.xml!J1421</f>
        <v>150</v>
      </c>
      <c r="J1417" s="1">
        <f>equip.xml!K1421</f>
        <v>1500</v>
      </c>
      <c r="K1417" s="1">
        <f>equip.xml!L1421</f>
        <v>15000</v>
      </c>
      <c r="L1417" s="1" t="str">
        <f>equip.xml!M1421</f>
        <v>103_138_138,104_276_276</v>
      </c>
      <c r="M1417" s="7" t="str">
        <f>equip.xml!Q1421</f>
        <v>equipment/1101.png</v>
      </c>
      <c r="N1417" t="str">
        <f>equip.xml!P1421</f>
        <v>10000_1002_20000,30000_30001_1,30000_30002_1,30000_30003_1</v>
      </c>
    </row>
    <row r="1418" spans="1:14">
      <c r="A1418" s="1" t="str">
        <f>equip.xml!A1422</f>
        <v>50201060</v>
      </c>
      <c r="B1418" s="1">
        <f>equip.xml!B1422</f>
        <v>1</v>
      </c>
      <c r="C1418" s="1" t="str">
        <f>equip.xml!C1422</f>
        <v>护卫之盾</v>
      </c>
      <c r="D1418" s="1" t="str">
        <f>equip.xml!D1422</f>
        <v>副手武器</v>
      </c>
      <c r="E1418" s="1">
        <f>equip.xml!E1422</f>
        <v>6</v>
      </c>
      <c r="F1418" s="1">
        <f>equip.xml!F1422</f>
        <v>5</v>
      </c>
      <c r="G1418" s="1">
        <f>equip.xml!G1422</f>
        <v>20</v>
      </c>
      <c r="H1418" s="1" t="str">
        <f>equip.xml!H1422</f>
        <v>1,1001</v>
      </c>
      <c r="I1418" s="1">
        <f>equip.xml!J1422</f>
        <v>150</v>
      </c>
      <c r="J1418" s="1">
        <f>equip.xml!K1422</f>
        <v>1500</v>
      </c>
      <c r="K1418" s="1">
        <f>equip.xml!L1422</f>
        <v>12500</v>
      </c>
      <c r="L1418" s="1" t="str">
        <f>equip.xml!M1422</f>
        <v>105_171_171</v>
      </c>
      <c r="M1418" s="7" t="str">
        <f>equip.xml!Q1422</f>
        <v>equipment/2104.png</v>
      </c>
      <c r="N1418" t="str">
        <f>equip.xml!P1422</f>
        <v>10000_1002_20000,30000_30001_1,30000_30002_1,30000_30003_1</v>
      </c>
    </row>
    <row r="1419" spans="1:14">
      <c r="A1419" s="1" t="str">
        <f>equip.xml!A1423</f>
        <v>50201061</v>
      </c>
      <c r="B1419" s="1">
        <f>equip.xml!B1423</f>
        <v>0</v>
      </c>
      <c r="C1419" s="1" t="str">
        <f>equip.xml!C1423</f>
        <v>尖头盾</v>
      </c>
      <c r="D1419" s="1" t="str">
        <f>equip.xml!D1423</f>
        <v>副手武器</v>
      </c>
      <c r="E1419" s="1">
        <f>equip.xml!E1423</f>
        <v>6</v>
      </c>
      <c r="F1419" s="1">
        <f>equip.xml!F1423</f>
        <v>5</v>
      </c>
      <c r="G1419" s="1">
        <f>equip.xml!G1423</f>
        <v>20</v>
      </c>
      <c r="H1419" s="1" t="str">
        <f>equip.xml!H1423</f>
        <v>1,1001</v>
      </c>
      <c r="I1419" s="1">
        <f>equip.xml!J1423</f>
        <v>150</v>
      </c>
      <c r="J1419" s="1">
        <f>equip.xml!K1423</f>
        <v>1500</v>
      </c>
      <c r="K1419" s="1">
        <f>equip.xml!L1423</f>
        <v>15000</v>
      </c>
      <c r="L1419" s="1" t="str">
        <f>equip.xml!M1423</f>
        <v>105_205_205</v>
      </c>
      <c r="M1419" s="7" t="str">
        <f>equip.xml!Q1423</f>
        <v>equipment/2101.png</v>
      </c>
      <c r="N1419" t="str">
        <f>equip.xml!P1423</f>
        <v>10000_1002_20000,30000_30001_1,30000_30002_1,30000_30003_1</v>
      </c>
    </row>
    <row r="1420" spans="1:14">
      <c r="A1420" s="1">
        <f>equip.xml!A1424</f>
        <v>50202050</v>
      </c>
      <c r="B1420" s="1">
        <f>equip.xml!B1424</f>
        <v>1</v>
      </c>
      <c r="C1420" s="1" t="str">
        <f>equip.xml!C1424</f>
        <v>护卫之弓</v>
      </c>
      <c r="D1420" s="1" t="str">
        <f>equip.xml!D1424</f>
        <v>主手武器</v>
      </c>
      <c r="E1420" s="1">
        <f>equip.xml!E1424</f>
        <v>5</v>
      </c>
      <c r="F1420" s="1">
        <f>equip.xml!F1424</f>
        <v>5</v>
      </c>
      <c r="G1420" s="1">
        <f>equip.xml!G1424</f>
        <v>20</v>
      </c>
      <c r="H1420" s="1" t="str">
        <f>equip.xml!H1424</f>
        <v>2,1002</v>
      </c>
      <c r="I1420" s="1">
        <f>equip.xml!J1424</f>
        <v>150</v>
      </c>
      <c r="J1420" s="1">
        <f>equip.xml!K1424</f>
        <v>1500</v>
      </c>
      <c r="K1420" s="1">
        <f>equip.xml!L1424</f>
        <v>12500</v>
      </c>
      <c r="L1420" s="1" t="str">
        <f>equip.xml!M1424</f>
        <v>103_113_113,104_226_226</v>
      </c>
      <c r="M1420" s="7" t="str">
        <f>equip.xml!Q1424</f>
        <v>equipment/1209.png</v>
      </c>
      <c r="N1420" t="str">
        <f>equip.xml!P1424</f>
        <v>10000_1002_20000,30000_30001_1,30000_30002_1,30000_30003_1</v>
      </c>
    </row>
    <row r="1421" spans="1:14">
      <c r="A1421" s="1" t="str">
        <f>equip.xml!A1425</f>
        <v>50202051</v>
      </c>
      <c r="B1421" s="1">
        <f>equip.xml!B1425</f>
        <v>0</v>
      </c>
      <c r="C1421" s="1" t="str">
        <f>equip.xml!C1425</f>
        <v>棘木弓</v>
      </c>
      <c r="D1421" s="1" t="str">
        <f>equip.xml!D1425</f>
        <v>主手武器</v>
      </c>
      <c r="E1421" s="1">
        <f>equip.xml!E1425</f>
        <v>5</v>
      </c>
      <c r="F1421" s="1">
        <f>equip.xml!F1425</f>
        <v>5</v>
      </c>
      <c r="G1421" s="1">
        <f>equip.xml!G1425</f>
        <v>20</v>
      </c>
      <c r="H1421" s="1" t="str">
        <f>equip.xml!H1425</f>
        <v>2,1002</v>
      </c>
      <c r="I1421" s="1">
        <f>equip.xml!J1425</f>
        <v>150</v>
      </c>
      <c r="J1421" s="1">
        <f>equip.xml!K1425</f>
        <v>1500</v>
      </c>
      <c r="K1421" s="1">
        <f>equip.xml!L1425</f>
        <v>15000</v>
      </c>
      <c r="L1421" s="1" t="str">
        <f>equip.xml!M1425</f>
        <v>103_138_138,104_276_276</v>
      </c>
      <c r="M1421" s="7" t="str">
        <f>equip.xml!Q1425</f>
        <v>equipment/1201.png</v>
      </c>
      <c r="N1421" t="str">
        <f>equip.xml!P1425</f>
        <v>10000_1002_20000,30000_30001_1,30000_30002_1,30000_30003_1</v>
      </c>
    </row>
    <row r="1422" spans="1:14">
      <c r="A1422" s="1" t="str">
        <f>equip.xml!A1426</f>
        <v>50202060</v>
      </c>
      <c r="B1422" s="1">
        <f>equip.xml!B1426</f>
        <v>1</v>
      </c>
      <c r="C1422" s="1" t="str">
        <f>equip.xml!C1426</f>
        <v>狩猎箭筒</v>
      </c>
      <c r="D1422" s="1" t="str">
        <f>equip.xml!D1426</f>
        <v>副手武器</v>
      </c>
      <c r="E1422" s="1">
        <f>equip.xml!E1426</f>
        <v>6</v>
      </c>
      <c r="F1422" s="1">
        <f>equip.xml!F1426</f>
        <v>5</v>
      </c>
      <c r="G1422" s="1">
        <f>equip.xml!G1426</f>
        <v>20</v>
      </c>
      <c r="H1422" s="1" t="str">
        <f>equip.xml!H1426</f>
        <v>2,1002</v>
      </c>
      <c r="I1422" s="1">
        <f>equip.xml!J1426</f>
        <v>150</v>
      </c>
      <c r="J1422" s="1">
        <f>equip.xml!K1426</f>
        <v>1500</v>
      </c>
      <c r="K1422" s="1">
        <f>equip.xml!L1426</f>
        <v>12500</v>
      </c>
      <c r="L1422" s="1" t="str">
        <f>equip.xml!M1426</f>
        <v>108_171_171</v>
      </c>
      <c r="M1422" s="7" t="str">
        <f>equip.xml!Q1426</f>
        <v>equipment/2205.png</v>
      </c>
      <c r="N1422" t="str">
        <f>equip.xml!P1426</f>
        <v>10000_1002_20000,30000_30001_1,30000_30002_1,30000_30003_1</v>
      </c>
    </row>
    <row r="1423" spans="1:14">
      <c r="A1423" s="1" t="str">
        <f>equip.xml!A1427</f>
        <v>50202061</v>
      </c>
      <c r="B1423" s="1">
        <f>equip.xml!B1427</f>
        <v>0</v>
      </c>
      <c r="C1423" s="1" t="str">
        <f>equip.xml!C1427</f>
        <v>箭筒</v>
      </c>
      <c r="D1423" s="1" t="str">
        <f>equip.xml!D1427</f>
        <v>副手武器</v>
      </c>
      <c r="E1423" s="1">
        <f>equip.xml!E1427</f>
        <v>6</v>
      </c>
      <c r="F1423" s="1">
        <f>equip.xml!F1427</f>
        <v>5</v>
      </c>
      <c r="G1423" s="1">
        <f>equip.xml!G1427</f>
        <v>20</v>
      </c>
      <c r="H1423" s="1" t="str">
        <f>equip.xml!H1427</f>
        <v>2,1002</v>
      </c>
      <c r="I1423" s="1">
        <f>equip.xml!J1427</f>
        <v>150</v>
      </c>
      <c r="J1423" s="1">
        <f>equip.xml!K1427</f>
        <v>1500</v>
      </c>
      <c r="K1423" s="1">
        <f>equip.xml!L1427</f>
        <v>15000</v>
      </c>
      <c r="L1423" s="1" t="str">
        <f>equip.xml!M1427</f>
        <v>108_205_205</v>
      </c>
      <c r="M1423" s="7" t="str">
        <f>equip.xml!Q1427</f>
        <v>equipment/2201.png</v>
      </c>
      <c r="N1423" t="str">
        <f>equip.xml!P1427</f>
        <v>10000_1002_20000,30000_30001_1,30000_30002_1,30000_30003_1</v>
      </c>
    </row>
    <row r="1424" spans="1:14">
      <c r="A1424" s="1" t="str">
        <f>equip.xml!A1428</f>
        <v>50203050</v>
      </c>
      <c r="B1424" s="1">
        <f>equip.xml!B1428</f>
        <v>1</v>
      </c>
      <c r="C1424" s="1" t="str">
        <f>equip.xml!C1428</f>
        <v>保护法杖</v>
      </c>
      <c r="D1424" s="1" t="str">
        <f>equip.xml!D1428</f>
        <v>主手武器</v>
      </c>
      <c r="E1424" s="1">
        <f>equip.xml!E1428</f>
        <v>5</v>
      </c>
      <c r="F1424" s="1">
        <f>equip.xml!F1428</f>
        <v>5</v>
      </c>
      <c r="G1424" s="1">
        <f>equip.xml!G1428</f>
        <v>20</v>
      </c>
      <c r="H1424" s="1" t="str">
        <f>equip.xml!H1428</f>
        <v>3,1003</v>
      </c>
      <c r="I1424" s="1">
        <f>equip.xml!J1428</f>
        <v>150</v>
      </c>
      <c r="J1424" s="1">
        <f>equip.xml!K1428</f>
        <v>1500</v>
      </c>
      <c r="K1424" s="1">
        <f>equip.xml!L1428</f>
        <v>12500</v>
      </c>
      <c r="L1424" s="1" t="str">
        <f>equip.xml!M1428</f>
        <v>103_113_113,104_226_226</v>
      </c>
      <c r="M1424" s="7" t="str">
        <f>equip.xml!Q1428</f>
        <v>equipment/1309.png</v>
      </c>
      <c r="N1424" t="str">
        <f>equip.xml!P1428</f>
        <v>10000_1002_20000,30000_30001_1,30000_30002_1,30000_30003_1</v>
      </c>
    </row>
    <row r="1425" spans="1:14">
      <c r="A1425" s="1">
        <f>equip.xml!A1429</f>
        <v>50203051</v>
      </c>
      <c r="B1425" s="1">
        <f>equip.xml!B1429</f>
        <v>1</v>
      </c>
      <c r="C1425" s="1" t="str">
        <f>equip.xml!C1429</f>
        <v>火石法杖</v>
      </c>
      <c r="D1425" s="1" t="str">
        <f>equip.xml!D1429</f>
        <v>主手武器</v>
      </c>
      <c r="E1425" s="1">
        <f>equip.xml!E1429</f>
        <v>5</v>
      </c>
      <c r="F1425" s="1">
        <f>equip.xml!F1429</f>
        <v>5</v>
      </c>
      <c r="G1425" s="1">
        <f>equip.xml!G1429</f>
        <v>20</v>
      </c>
      <c r="H1425" s="1" t="str">
        <f>equip.xml!H1429</f>
        <v>3,1003</v>
      </c>
      <c r="I1425" s="1">
        <f>equip.xml!J1429</f>
        <v>150</v>
      </c>
      <c r="J1425" s="1">
        <f>equip.xml!K1429</f>
        <v>1500</v>
      </c>
      <c r="K1425" s="1">
        <f>equip.xml!L1429</f>
        <v>15000</v>
      </c>
      <c r="L1425" s="1" t="str">
        <f>equip.xml!M1429</f>
        <v>103_138_138,104_276_276</v>
      </c>
      <c r="M1425" s="7" t="str">
        <f>equip.xml!Q1429</f>
        <v>equipment/1310.png</v>
      </c>
      <c r="N1425" t="str">
        <f>equip.xml!P1429</f>
        <v>10000_1002_20000,30000_30001_1,30000_30002_1,30000_30003_1</v>
      </c>
    </row>
    <row r="1426" spans="1:14">
      <c r="A1426" s="1" t="str">
        <f>equip.xml!A1430</f>
        <v>50203060</v>
      </c>
      <c r="B1426" s="1">
        <f>equip.xml!B1430</f>
        <v>1</v>
      </c>
      <c r="C1426" s="1" t="str">
        <f>equip.xml!C1430</f>
        <v>奥义之书</v>
      </c>
      <c r="D1426" s="1" t="str">
        <f>equip.xml!D1430</f>
        <v>副手武器</v>
      </c>
      <c r="E1426" s="1">
        <f>equip.xml!E1430</f>
        <v>6</v>
      </c>
      <c r="F1426" s="1">
        <f>equip.xml!F1430</f>
        <v>5</v>
      </c>
      <c r="G1426" s="1">
        <f>equip.xml!G1430</f>
        <v>20</v>
      </c>
      <c r="H1426" s="1" t="str">
        <f>equip.xml!H1430</f>
        <v>3,1003</v>
      </c>
      <c r="I1426" s="1">
        <f>equip.xml!J1430</f>
        <v>150</v>
      </c>
      <c r="J1426" s="1">
        <f>equip.xml!K1430</f>
        <v>1500</v>
      </c>
      <c r="K1426" s="1">
        <f>equip.xml!L1430</f>
        <v>12500</v>
      </c>
      <c r="L1426" s="1" t="str">
        <f>equip.xml!M1430</f>
        <v>102_550_550</v>
      </c>
      <c r="M1426" s="7" t="str">
        <f>equip.xml!Q1430</f>
        <v>equipment/2305.png</v>
      </c>
      <c r="N1426" t="str">
        <f>equip.xml!P1430</f>
        <v>10000_1002_20000,30000_30001_1,30000_30002_1,30000_30003_1</v>
      </c>
    </row>
    <row r="1427" spans="1:14">
      <c r="A1427" s="1" t="str">
        <f>equip.xml!A1431</f>
        <v>50203061</v>
      </c>
      <c r="B1427" s="1">
        <f>equip.xml!B1431</f>
        <v>0</v>
      </c>
      <c r="C1427" s="1" t="str">
        <f>equip.xml!C1431</f>
        <v>法术指南</v>
      </c>
      <c r="D1427" s="1" t="str">
        <f>equip.xml!D1431</f>
        <v>副手武器</v>
      </c>
      <c r="E1427" s="1">
        <f>equip.xml!E1431</f>
        <v>6</v>
      </c>
      <c r="F1427" s="1">
        <f>equip.xml!F1431</f>
        <v>5</v>
      </c>
      <c r="G1427" s="1">
        <f>equip.xml!G1431</f>
        <v>20</v>
      </c>
      <c r="H1427" s="1" t="str">
        <f>equip.xml!H1431</f>
        <v>3,1003</v>
      </c>
      <c r="I1427" s="1">
        <f>equip.xml!J1431</f>
        <v>150</v>
      </c>
      <c r="J1427" s="1">
        <f>equip.xml!K1431</f>
        <v>1500</v>
      </c>
      <c r="K1427" s="1">
        <f>equip.xml!L1431</f>
        <v>15000</v>
      </c>
      <c r="L1427" s="1" t="str">
        <f>equip.xml!M1431</f>
        <v>102_606_606</v>
      </c>
      <c r="M1427" s="7" t="str">
        <f>equip.xml!Q1431</f>
        <v>equipment/2301.png</v>
      </c>
      <c r="N1427" t="str">
        <f>equip.xml!P1431</f>
        <v>10000_1002_20000,30000_30001_1,30000_30002_1,30000_30003_1</v>
      </c>
    </row>
    <row r="1428" spans="1:14">
      <c r="A1428" s="1" t="str">
        <f>equip.xml!A1432</f>
        <v>50200040</v>
      </c>
      <c r="B1428" s="1">
        <f>equip.xml!B1432</f>
        <v>1</v>
      </c>
      <c r="C1428" s="1" t="str">
        <f>equip.xml!C1432</f>
        <v>卫兵胸甲</v>
      </c>
      <c r="D1428" s="1" t="str">
        <f>equip.xml!D1432</f>
        <v>胸甲</v>
      </c>
      <c r="E1428" s="1">
        <f>equip.xml!E1432</f>
        <v>4</v>
      </c>
      <c r="F1428" s="1">
        <f>equip.xml!F1432</f>
        <v>5</v>
      </c>
      <c r="G1428" s="1">
        <f>equip.xml!G1432</f>
        <v>20</v>
      </c>
      <c r="H1428" s="1">
        <f>equip.xml!H1432</f>
        <v>0</v>
      </c>
      <c r="I1428" s="1">
        <f>equip.xml!J1432</f>
        <v>150</v>
      </c>
      <c r="J1428" s="1">
        <f>equip.xml!K1432</f>
        <v>1500</v>
      </c>
      <c r="K1428" s="1">
        <f>equip.xml!L1432</f>
        <v>12500</v>
      </c>
      <c r="L1428" s="1" t="str">
        <f>equip.xml!M1432</f>
        <v>105_102_102</v>
      </c>
      <c r="M1428" s="7" t="str">
        <f>equip.xml!Q1432</f>
        <v>equipment/5004.png</v>
      </c>
      <c r="N1428" t="str">
        <f>equip.xml!P1432</f>
        <v>10000_1002_20000,30000_30001_1,30000_30002_1,30000_30003_1</v>
      </c>
    </row>
    <row r="1429" spans="1:14">
      <c r="A1429" s="1" t="str">
        <f>equip.xml!A1433</f>
        <v>50200041</v>
      </c>
      <c r="B1429" s="1">
        <f>equip.xml!B1433</f>
        <v>1</v>
      </c>
      <c r="C1429" s="1" t="str">
        <f>equip.xml!C1433</f>
        <v>银月护甲</v>
      </c>
      <c r="D1429" s="1" t="str">
        <f>equip.xml!D1433</f>
        <v>胸甲</v>
      </c>
      <c r="E1429" s="1">
        <f>equip.xml!E1433</f>
        <v>4</v>
      </c>
      <c r="F1429" s="1">
        <f>equip.xml!F1433</f>
        <v>5</v>
      </c>
      <c r="G1429" s="1">
        <f>equip.xml!G1433</f>
        <v>20</v>
      </c>
      <c r="H1429" s="1">
        <f>equip.xml!H1433</f>
        <v>0</v>
      </c>
      <c r="I1429" s="1">
        <f>equip.xml!J1433</f>
        <v>150</v>
      </c>
      <c r="J1429" s="1">
        <f>equip.xml!K1433</f>
        <v>1500</v>
      </c>
      <c r="K1429" s="1">
        <f>equip.xml!L1433</f>
        <v>15000</v>
      </c>
      <c r="L1429" s="1" t="str">
        <f>equip.xml!M1433</f>
        <v>105_122_122</v>
      </c>
      <c r="M1429" s="7" t="str">
        <f>equip.xml!Q1433</f>
        <v>equipment/5006.png</v>
      </c>
      <c r="N1429" t="str">
        <f>equip.xml!P1433</f>
        <v>10000_1002_20000,30000_30001_1,30000_30002_1,30000_30003_1</v>
      </c>
    </row>
    <row r="1430" spans="1:14">
      <c r="A1430" s="1" t="str">
        <f>equip.xml!A1434</f>
        <v>50200070</v>
      </c>
      <c r="B1430" s="1">
        <f>equip.xml!B1434</f>
        <v>1</v>
      </c>
      <c r="C1430" s="1" t="str">
        <f>equip.xml!C1434</f>
        <v>手工长裤</v>
      </c>
      <c r="D1430" s="1" t="str">
        <f>equip.xml!D1434</f>
        <v>护腿</v>
      </c>
      <c r="E1430" s="1">
        <f>equip.xml!E1434</f>
        <v>7</v>
      </c>
      <c r="F1430" s="1">
        <f>equip.xml!F1434</f>
        <v>5</v>
      </c>
      <c r="G1430" s="1">
        <f>equip.xml!G1434</f>
        <v>20</v>
      </c>
      <c r="H1430" s="1">
        <f>equip.xml!H1434</f>
        <v>0</v>
      </c>
      <c r="I1430" s="1">
        <f>equip.xml!J1434</f>
        <v>150</v>
      </c>
      <c r="J1430" s="1">
        <f>equip.xml!K1434</f>
        <v>1500</v>
      </c>
      <c r="K1430" s="1">
        <f>equip.xml!L1434</f>
        <v>12500</v>
      </c>
      <c r="L1430" s="1" t="str">
        <f>equip.xml!M1434</f>
        <v>105_66_66</v>
      </c>
      <c r="M1430" s="7" t="str">
        <f>equip.xml!Q1434</f>
        <v>equipment/7005.png</v>
      </c>
      <c r="N1430" t="str">
        <f>equip.xml!P1434</f>
        <v>10000_1002_20000,30000_30001_1,30000_30002_1,30000_30003_1</v>
      </c>
    </row>
    <row r="1431" spans="1:14">
      <c r="A1431" s="1" t="str">
        <f>equip.xml!A1435</f>
        <v>50200071</v>
      </c>
      <c r="B1431" s="1">
        <f>equip.xml!B1435</f>
        <v>1</v>
      </c>
      <c r="C1431" s="1" t="str">
        <f>equip.xml!C1435</f>
        <v>链甲护腿</v>
      </c>
      <c r="D1431" s="1" t="str">
        <f>equip.xml!D1435</f>
        <v>护腿</v>
      </c>
      <c r="E1431" s="1">
        <f>equip.xml!E1435</f>
        <v>7</v>
      </c>
      <c r="F1431" s="1">
        <f>equip.xml!F1435</f>
        <v>5</v>
      </c>
      <c r="G1431" s="1">
        <f>equip.xml!G1435</f>
        <v>20</v>
      </c>
      <c r="H1431" s="1">
        <f>equip.xml!H1435</f>
        <v>0</v>
      </c>
      <c r="I1431" s="1">
        <f>equip.xml!J1435</f>
        <v>150</v>
      </c>
      <c r="J1431" s="1">
        <f>equip.xml!K1435</f>
        <v>1500</v>
      </c>
      <c r="K1431" s="1">
        <f>equip.xml!L1435</f>
        <v>15000</v>
      </c>
      <c r="L1431" s="1" t="str">
        <f>equip.xml!M1435</f>
        <v>105_81_81</v>
      </c>
      <c r="M1431" s="7" t="str">
        <f>equip.xml!Q1435</f>
        <v>equipment/7004.png</v>
      </c>
      <c r="N1431" t="str">
        <f>equip.xml!P1435</f>
        <v>10000_1002_20000,30000_30001_1,30000_30002_1,30000_30003_1</v>
      </c>
    </row>
    <row r="1432" spans="1:14">
      <c r="A1432" s="1" t="str">
        <f>equip.xml!A1436</f>
        <v>50250010</v>
      </c>
      <c r="B1432" s="1">
        <f>equip.xml!B1436</f>
        <v>1</v>
      </c>
      <c r="C1432" s="1" t="str">
        <f>equip.xml!C1436</f>
        <v>盔帽</v>
      </c>
      <c r="D1432" s="1" t="str">
        <f>equip.xml!D1436</f>
        <v>头盔</v>
      </c>
      <c r="E1432" s="1">
        <f>equip.xml!E1436</f>
        <v>1</v>
      </c>
      <c r="F1432" s="1">
        <f>equip.xml!F1436</f>
        <v>5</v>
      </c>
      <c r="G1432" s="1">
        <f>equip.xml!G1436</f>
        <v>25</v>
      </c>
      <c r="H1432" s="1">
        <f>equip.xml!H1436</f>
        <v>0</v>
      </c>
      <c r="I1432" s="1">
        <f>equip.xml!J1436</f>
        <v>150</v>
      </c>
      <c r="J1432" s="1">
        <f>equip.xml!K1436</f>
        <v>1500</v>
      </c>
      <c r="K1432" s="1">
        <f>equip.xml!L1436</f>
        <v>15000</v>
      </c>
      <c r="L1432" s="1" t="str">
        <f>equip.xml!M1436</f>
        <v>106_237_237</v>
      </c>
      <c r="M1432" s="7" t="str">
        <f>equip.xml!Q1436</f>
        <v>equipment/3005.png</v>
      </c>
      <c r="N1432" t="str">
        <f>equip.xml!P1436</f>
        <v>10000_1002_25000,30000_30001_1,30000_30002_1,30000_30003_1</v>
      </c>
    </row>
    <row r="1433" spans="1:14">
      <c r="A1433" s="1" t="str">
        <f>equip.xml!A1437</f>
        <v>50250020</v>
      </c>
      <c r="B1433" s="1">
        <f>equip.xml!B1437</f>
        <v>1</v>
      </c>
      <c r="C1433" s="1" t="str">
        <f>equip.xml!C1437</f>
        <v>血岩戒指</v>
      </c>
      <c r="D1433" s="1" t="str">
        <f>equip.xml!D1437</f>
        <v>戒指</v>
      </c>
      <c r="E1433" s="1">
        <f>equip.xml!E1437</f>
        <v>2</v>
      </c>
      <c r="F1433" s="1">
        <f>equip.xml!F1437</f>
        <v>5</v>
      </c>
      <c r="G1433" s="1">
        <f>equip.xml!G1437</f>
        <v>25</v>
      </c>
      <c r="H1433" s="1">
        <f>equip.xml!H1437</f>
        <v>0</v>
      </c>
      <c r="I1433" s="1">
        <f>equip.xml!J1437</f>
        <v>150</v>
      </c>
      <c r="J1433" s="1">
        <f>equip.xml!K1437</f>
        <v>1500</v>
      </c>
      <c r="K1433" s="1">
        <f>equip.xml!L1437</f>
        <v>15000</v>
      </c>
      <c r="L1433" s="1" t="str">
        <f>equip.xml!M1437</f>
        <v>102_330_330</v>
      </c>
      <c r="M1433" s="7" t="str">
        <f>equip.xml!Q1437</f>
        <v>equipment/14004.png</v>
      </c>
      <c r="N1433" t="str">
        <f>equip.xml!P1437</f>
        <v>10000_1002_25000,30000_30001_1,30000_30002_1,30000_30003_1</v>
      </c>
    </row>
    <row r="1434" spans="1:14">
      <c r="A1434" s="1" t="str">
        <f>equip.xml!A1438</f>
        <v>50250030</v>
      </c>
      <c r="B1434" s="1">
        <f>equip.xml!B1438</f>
        <v>1</v>
      </c>
      <c r="C1434" s="1" t="str">
        <f>equip.xml!C1438</f>
        <v>前锋腰带</v>
      </c>
      <c r="D1434" s="1" t="str">
        <f>equip.xml!D1438</f>
        <v>腰带</v>
      </c>
      <c r="E1434" s="1">
        <f>equip.xml!E1438</f>
        <v>3</v>
      </c>
      <c r="F1434" s="1">
        <f>equip.xml!F1438</f>
        <v>5</v>
      </c>
      <c r="G1434" s="1">
        <f>equip.xml!G1438</f>
        <v>25</v>
      </c>
      <c r="H1434" s="1">
        <f>equip.xml!H1438</f>
        <v>0</v>
      </c>
      <c r="I1434" s="1">
        <f>equip.xml!J1438</f>
        <v>150</v>
      </c>
      <c r="J1434" s="1">
        <f>equip.xml!K1438</f>
        <v>1500</v>
      </c>
      <c r="K1434" s="1">
        <f>equip.xml!L1438</f>
        <v>15000</v>
      </c>
      <c r="L1434" s="1" t="str">
        <f>equip.xml!M1438</f>
        <v>101_3360_3360</v>
      </c>
      <c r="M1434" s="7" t="str">
        <f>equip.xml!Q1438</f>
        <v>equipment/6005.png</v>
      </c>
      <c r="N1434" t="str">
        <f>equip.xml!P1438</f>
        <v>10000_1002_25000,30000_30001_1,30000_30002_1,30000_30003_1</v>
      </c>
    </row>
    <row r="1435" spans="1:14">
      <c r="A1435" s="1" t="str">
        <f>equip.xml!A1439</f>
        <v>50250080</v>
      </c>
      <c r="B1435" s="1">
        <f>equip.xml!B1439</f>
        <v>1</v>
      </c>
      <c r="C1435" s="1" t="str">
        <f>equip.xml!C1439</f>
        <v>探寻者之靴</v>
      </c>
      <c r="D1435" s="1" t="str">
        <f>equip.xml!D1439</f>
        <v>鞋子</v>
      </c>
      <c r="E1435" s="1">
        <f>equip.xml!E1439</f>
        <v>8</v>
      </c>
      <c r="F1435" s="1">
        <f>equip.xml!F1439</f>
        <v>5</v>
      </c>
      <c r="G1435" s="1">
        <f>equip.xml!G1439</f>
        <v>25</v>
      </c>
      <c r="H1435" s="1">
        <f>equip.xml!H1439</f>
        <v>0</v>
      </c>
      <c r="I1435" s="1">
        <f>equip.xml!J1439</f>
        <v>150</v>
      </c>
      <c r="J1435" s="1">
        <f>equip.xml!K1439</f>
        <v>1500</v>
      </c>
      <c r="K1435" s="1">
        <f>equip.xml!L1439</f>
        <v>15000</v>
      </c>
      <c r="L1435" s="1" t="str">
        <f>equip.xml!M1439</f>
        <v>110_40_40</v>
      </c>
      <c r="M1435" s="7" t="str">
        <f>equip.xml!Q1439</f>
        <v>equipment/8004.png</v>
      </c>
      <c r="N1435" t="str">
        <f>equip.xml!P1439</f>
        <v>10000_1002_25000,30000_30001_1,30000_30002_1,30000_30003_1</v>
      </c>
    </row>
    <row r="1436" spans="1:14">
      <c r="A1436" s="1" t="str">
        <f>equip.xml!A1440</f>
        <v>50250090</v>
      </c>
      <c r="B1436" s="1">
        <f>equip.xml!B1440</f>
        <v>0</v>
      </c>
      <c r="C1436" s="1" t="str">
        <f>equip.xml!C1440</f>
        <v>轻布手套</v>
      </c>
      <c r="D1436" s="1" t="str">
        <f>equip.xml!D1440</f>
        <v>手套</v>
      </c>
      <c r="E1436" s="1">
        <f>equip.xml!E1440</f>
        <v>9</v>
      </c>
      <c r="F1436" s="1">
        <f>equip.xml!F1440</f>
        <v>5</v>
      </c>
      <c r="G1436" s="1">
        <f>equip.xml!G1440</f>
        <v>25</v>
      </c>
      <c r="H1436" s="1">
        <f>equip.xml!H1440</f>
        <v>0</v>
      </c>
      <c r="I1436" s="1">
        <f>equip.xml!J1440</f>
        <v>150</v>
      </c>
      <c r="J1436" s="1">
        <f>equip.xml!K1440</f>
        <v>1500</v>
      </c>
      <c r="K1436" s="1">
        <f>equip.xml!L1440</f>
        <v>15000</v>
      </c>
      <c r="L1436" s="1" t="str">
        <f>equip.xml!M1440</f>
        <v>108_286_286</v>
      </c>
      <c r="M1436" s="7" t="str">
        <f>equip.xml!Q1440</f>
        <v>equipment/10001.png</v>
      </c>
      <c r="N1436" t="str">
        <f>equip.xml!P1440</f>
        <v>10000_1002_25000,30000_30001_1,30000_30002_1,30000_30003_1</v>
      </c>
    </row>
    <row r="1437" spans="1:14">
      <c r="A1437" s="1" t="str">
        <f>equip.xml!A1441</f>
        <v>50250100</v>
      </c>
      <c r="B1437" s="1">
        <f>equip.xml!B1441</f>
        <v>1</v>
      </c>
      <c r="C1437" s="1" t="str">
        <f>equip.xml!C1441</f>
        <v>魔光项链</v>
      </c>
      <c r="D1437" s="1" t="str">
        <f>equip.xml!D1441</f>
        <v>项链</v>
      </c>
      <c r="E1437" s="1">
        <f>equip.xml!E1441</f>
        <v>10</v>
      </c>
      <c r="F1437" s="1">
        <f>equip.xml!F1441</f>
        <v>5</v>
      </c>
      <c r="G1437" s="1">
        <f>equip.xml!G1441</f>
        <v>25</v>
      </c>
      <c r="H1437" s="1">
        <f>equip.xml!H1441</f>
        <v>0</v>
      </c>
      <c r="I1437" s="1">
        <f>equip.xml!J1441</f>
        <v>150</v>
      </c>
      <c r="J1437" s="1">
        <f>equip.xml!K1441</f>
        <v>1500</v>
      </c>
      <c r="K1437" s="1">
        <f>equip.xml!L1441</f>
        <v>15000</v>
      </c>
      <c r="L1437" s="1" t="str">
        <f>equip.xml!M1441</f>
        <v>107_237_237</v>
      </c>
      <c r="M1437" s="7" t="str">
        <f>equip.xml!Q1441</f>
        <v>equipment/12004.png</v>
      </c>
      <c r="N1437" t="str">
        <f>equip.xml!P1441</f>
        <v>10000_1002_25000,30000_30001_1,30000_30002_1,30000_30003_1</v>
      </c>
    </row>
    <row r="1438" spans="1:14">
      <c r="A1438" s="1" t="str">
        <f>equip.xml!A1442</f>
        <v>50251050</v>
      </c>
      <c r="B1438" s="1">
        <f>equip.xml!B1442</f>
        <v>1</v>
      </c>
      <c r="C1438" s="1" t="str">
        <f>equip.xml!C1442</f>
        <v>血刃</v>
      </c>
      <c r="D1438" s="1" t="str">
        <f>equip.xml!D1442</f>
        <v>主手武器</v>
      </c>
      <c r="E1438" s="1">
        <f>equip.xml!E1442</f>
        <v>5</v>
      </c>
      <c r="F1438" s="1">
        <f>equip.xml!F1442</f>
        <v>5</v>
      </c>
      <c r="G1438" s="1">
        <f>equip.xml!G1442</f>
        <v>25</v>
      </c>
      <c r="H1438" s="1" t="str">
        <f>equip.xml!H1442</f>
        <v>1,1001</v>
      </c>
      <c r="I1438" s="1">
        <f>equip.xml!J1442</f>
        <v>150</v>
      </c>
      <c r="J1438" s="1">
        <f>equip.xml!K1442</f>
        <v>1500</v>
      </c>
      <c r="K1438" s="1">
        <f>equip.xml!L1442</f>
        <v>15000</v>
      </c>
      <c r="L1438" s="1" t="str">
        <f>equip.xml!M1442</f>
        <v>103_177_177,104_354_354</v>
      </c>
      <c r="M1438" s="7" t="str">
        <f>equip.xml!Q1442</f>
        <v>equipment/1110.png</v>
      </c>
      <c r="N1438" t="str">
        <f>equip.xml!P1442</f>
        <v>10000_1002_25000,30000_30001_1,30000_30002_1,30000_30003_1</v>
      </c>
    </row>
    <row r="1439" spans="1:14">
      <c r="A1439" s="1" t="str">
        <f>equip.xml!A1443</f>
        <v>50251051</v>
      </c>
      <c r="B1439" s="1">
        <f>equip.xml!B1443</f>
        <v>1</v>
      </c>
      <c r="C1439" s="1" t="str">
        <f>equip.xml!C1443</f>
        <v>游侠利刃</v>
      </c>
      <c r="D1439" s="1" t="str">
        <f>equip.xml!D1443</f>
        <v>主手武器</v>
      </c>
      <c r="E1439" s="1">
        <f>equip.xml!E1443</f>
        <v>5</v>
      </c>
      <c r="F1439" s="1">
        <f>equip.xml!F1443</f>
        <v>5</v>
      </c>
      <c r="G1439" s="1">
        <f>equip.xml!G1443</f>
        <v>25</v>
      </c>
      <c r="H1439" s="1" t="str">
        <f>equip.xml!H1443</f>
        <v>1,1001</v>
      </c>
      <c r="I1439" s="1">
        <f>equip.xml!J1443</f>
        <v>150</v>
      </c>
      <c r="J1439" s="1">
        <f>equip.xml!K1443</f>
        <v>1500</v>
      </c>
      <c r="K1439" s="1">
        <f>equip.xml!L1443</f>
        <v>17500</v>
      </c>
      <c r="L1439" s="1" t="str">
        <f>equip.xml!M1443</f>
        <v>103_216_216,104_432_432</v>
      </c>
      <c r="M1439" s="7" t="str">
        <f>equip.xml!Q1443</f>
        <v>equipment/1111.png</v>
      </c>
      <c r="N1439" t="str">
        <f>equip.xml!P1443</f>
        <v>10000_1002_25000,30000_30001_1,30000_30002_1,30000_30003_1</v>
      </c>
    </row>
    <row r="1440" spans="1:14">
      <c r="A1440" s="1" t="str">
        <f>equip.xml!A1444</f>
        <v>50251060</v>
      </c>
      <c r="B1440" s="1">
        <f>equip.xml!B1444</f>
        <v>1</v>
      </c>
      <c r="C1440" s="1" t="str">
        <f>equip.xml!C1444</f>
        <v>坚固重盾</v>
      </c>
      <c r="D1440" s="1" t="str">
        <f>equip.xml!D1444</f>
        <v>副手武器</v>
      </c>
      <c r="E1440" s="1">
        <f>equip.xml!E1444</f>
        <v>6</v>
      </c>
      <c r="F1440" s="1">
        <f>equip.xml!F1444</f>
        <v>5</v>
      </c>
      <c r="G1440" s="1">
        <f>equip.xml!G1444</f>
        <v>25</v>
      </c>
      <c r="H1440" s="1" t="str">
        <f>equip.xml!H1444</f>
        <v>1,1001</v>
      </c>
      <c r="I1440" s="1">
        <f>equip.xml!J1444</f>
        <v>150</v>
      </c>
      <c r="J1440" s="1">
        <f>equip.xml!K1444</f>
        <v>1500</v>
      </c>
      <c r="K1440" s="1">
        <f>equip.xml!L1444</f>
        <v>15000</v>
      </c>
      <c r="L1440" s="1" t="str">
        <f>equip.xml!M1444</f>
        <v>105_256_256</v>
      </c>
      <c r="M1440" s="7" t="str">
        <f>equip.xml!Q1444</f>
        <v>equipment/2106.png</v>
      </c>
      <c r="N1440" t="str">
        <f>equip.xml!P1444</f>
        <v>10000_1002_25000,30000_30001_1,30000_30002_1,30000_30003_1</v>
      </c>
    </row>
    <row r="1441" spans="1:14">
      <c r="A1441" s="1" t="str">
        <f>equip.xml!A1445</f>
        <v>50251061</v>
      </c>
      <c r="B1441" s="1">
        <f>equip.xml!B1445</f>
        <v>0</v>
      </c>
      <c r="C1441" s="1" t="str">
        <f>equip.xml!C1445</f>
        <v>尖头盾</v>
      </c>
      <c r="D1441" s="1" t="str">
        <f>equip.xml!D1445</f>
        <v>副手武器</v>
      </c>
      <c r="E1441" s="1">
        <f>equip.xml!E1445</f>
        <v>6</v>
      </c>
      <c r="F1441" s="1">
        <f>equip.xml!F1445</f>
        <v>5</v>
      </c>
      <c r="G1441" s="1">
        <f>equip.xml!G1445</f>
        <v>25</v>
      </c>
      <c r="H1441" s="1" t="str">
        <f>equip.xml!H1445</f>
        <v>1,1001</v>
      </c>
      <c r="I1441" s="1">
        <f>equip.xml!J1445</f>
        <v>150</v>
      </c>
      <c r="J1441" s="1">
        <f>equip.xml!K1445</f>
        <v>1500</v>
      </c>
      <c r="K1441" s="1">
        <f>equip.xml!L1445</f>
        <v>17500</v>
      </c>
      <c r="L1441" s="1" t="str">
        <f>equip.xml!M1445</f>
        <v>105_301_301</v>
      </c>
      <c r="M1441" s="7" t="str">
        <f>equip.xml!Q1445</f>
        <v>equipment/2101.png</v>
      </c>
      <c r="N1441" t="str">
        <f>equip.xml!P1445</f>
        <v>10000_1002_25000,30000_30001_1,30000_30002_1,30000_30003_1</v>
      </c>
    </row>
    <row r="1442" spans="1:14">
      <c r="A1442" s="1" t="str">
        <f>equip.xml!A1446</f>
        <v>50252050</v>
      </c>
      <c r="B1442" s="1">
        <f>equip.xml!B1446</f>
        <v>1</v>
      </c>
      <c r="C1442" s="1" t="str">
        <f>equip.xml!C1446</f>
        <v>精准之弓</v>
      </c>
      <c r="D1442" s="1" t="str">
        <f>equip.xml!D1446</f>
        <v>主手武器</v>
      </c>
      <c r="E1442" s="1">
        <f>equip.xml!E1446</f>
        <v>5</v>
      </c>
      <c r="F1442" s="1">
        <f>equip.xml!F1446</f>
        <v>5</v>
      </c>
      <c r="G1442" s="1">
        <f>equip.xml!G1446</f>
        <v>25</v>
      </c>
      <c r="H1442" s="1" t="str">
        <f>equip.xml!H1446</f>
        <v>2,1002</v>
      </c>
      <c r="I1442" s="1">
        <f>equip.xml!J1446</f>
        <v>150</v>
      </c>
      <c r="J1442" s="1">
        <f>equip.xml!K1446</f>
        <v>1500</v>
      </c>
      <c r="K1442" s="1">
        <f>equip.xml!L1446</f>
        <v>15000</v>
      </c>
      <c r="L1442" s="1" t="str">
        <f>equip.xml!M1446</f>
        <v>103_177_177,104_354_354</v>
      </c>
      <c r="M1442" s="7" t="str">
        <f>equip.xml!Q1446</f>
        <v>equipment/1210.png</v>
      </c>
      <c r="N1442" t="str">
        <f>equip.xml!P1446</f>
        <v>10000_1002_25000,30000_30001_1,30000_30002_1,30000_30003_1</v>
      </c>
    </row>
    <row r="1443" spans="1:14">
      <c r="A1443" s="1" t="str">
        <f>equip.xml!A1447</f>
        <v>50252051</v>
      </c>
      <c r="B1443" s="1">
        <f>equip.xml!B1447</f>
        <v>1</v>
      </c>
      <c r="C1443" s="1" t="str">
        <f>equip.xml!C1447</f>
        <v>行者弯弓</v>
      </c>
      <c r="D1443" s="1" t="str">
        <f>equip.xml!D1447</f>
        <v>主手武器</v>
      </c>
      <c r="E1443" s="1">
        <f>equip.xml!E1447</f>
        <v>5</v>
      </c>
      <c r="F1443" s="1">
        <f>equip.xml!F1447</f>
        <v>5</v>
      </c>
      <c r="G1443" s="1">
        <f>equip.xml!G1447</f>
        <v>25</v>
      </c>
      <c r="H1443" s="1" t="str">
        <f>equip.xml!H1447</f>
        <v>2,1002</v>
      </c>
      <c r="I1443" s="1">
        <f>equip.xml!J1447</f>
        <v>150</v>
      </c>
      <c r="J1443" s="1">
        <f>equip.xml!K1447</f>
        <v>1500</v>
      </c>
      <c r="K1443" s="1">
        <f>equip.xml!L1447</f>
        <v>17500</v>
      </c>
      <c r="L1443" s="1" t="str">
        <f>equip.xml!M1447</f>
        <v>103_216_216,104_432_432</v>
      </c>
      <c r="M1443" s="7" t="str">
        <f>equip.xml!Q1447</f>
        <v>equipment/1215.png</v>
      </c>
      <c r="N1443" t="str">
        <f>equip.xml!P1447</f>
        <v>10000_1002_25000,30000_30001_1,30000_30002_1,30000_30003_1</v>
      </c>
    </row>
    <row r="1444" spans="1:14">
      <c r="A1444" s="1" t="str">
        <f>equip.xml!A1448</f>
        <v>50252060</v>
      </c>
      <c r="B1444" s="1">
        <f>equip.xml!B1448</f>
        <v>1</v>
      </c>
      <c r="C1444" s="1" t="str">
        <f>equip.xml!C1448</f>
        <v>刺客箭筒</v>
      </c>
      <c r="D1444" s="1" t="str">
        <f>equip.xml!D1448</f>
        <v>副手武器</v>
      </c>
      <c r="E1444" s="1">
        <f>equip.xml!E1448</f>
        <v>6</v>
      </c>
      <c r="F1444" s="1">
        <f>equip.xml!F1448</f>
        <v>5</v>
      </c>
      <c r="G1444" s="1">
        <f>equip.xml!G1448</f>
        <v>25</v>
      </c>
      <c r="H1444" s="1" t="str">
        <f>equip.xml!H1448</f>
        <v>2,1002</v>
      </c>
      <c r="I1444" s="1">
        <f>equip.xml!J1448</f>
        <v>150</v>
      </c>
      <c r="J1444" s="1">
        <f>equip.xml!K1448</f>
        <v>1500</v>
      </c>
      <c r="K1444" s="1">
        <f>equip.xml!L1448</f>
        <v>15000</v>
      </c>
      <c r="L1444" s="1" t="str">
        <f>equip.xml!M1448</f>
        <v>108_256_256</v>
      </c>
      <c r="M1444" s="7" t="str">
        <f>equip.xml!Q1448</f>
        <v>equipment/2206.png</v>
      </c>
      <c r="N1444" t="str">
        <f>equip.xml!P1448</f>
        <v>10000_1002_25000,30000_30001_1,30000_30002_1,30000_30003_1</v>
      </c>
    </row>
    <row r="1445" spans="1:14">
      <c r="A1445" s="1" t="str">
        <f>equip.xml!A1449</f>
        <v>50252061</v>
      </c>
      <c r="B1445" s="1">
        <f>equip.xml!B1449</f>
        <v>0</v>
      </c>
      <c r="C1445" s="1" t="str">
        <f>equip.xml!C1449</f>
        <v>箭筒</v>
      </c>
      <c r="D1445" s="1" t="str">
        <f>equip.xml!D1449</f>
        <v>副手武器</v>
      </c>
      <c r="E1445" s="1">
        <f>equip.xml!E1449</f>
        <v>6</v>
      </c>
      <c r="F1445" s="1">
        <f>equip.xml!F1449</f>
        <v>5</v>
      </c>
      <c r="G1445" s="1">
        <f>equip.xml!G1449</f>
        <v>25</v>
      </c>
      <c r="H1445" s="1" t="str">
        <f>equip.xml!H1449</f>
        <v>2,1002</v>
      </c>
      <c r="I1445" s="1">
        <f>equip.xml!J1449</f>
        <v>150</v>
      </c>
      <c r="J1445" s="1">
        <f>equip.xml!K1449</f>
        <v>1500</v>
      </c>
      <c r="K1445" s="1">
        <f>equip.xml!L1449</f>
        <v>17500</v>
      </c>
      <c r="L1445" s="1" t="str">
        <f>equip.xml!M1449</f>
        <v>108_301_301</v>
      </c>
      <c r="M1445" s="7" t="str">
        <f>equip.xml!Q1449</f>
        <v>equipment/2201.png</v>
      </c>
      <c r="N1445" t="str">
        <f>equip.xml!P1449</f>
        <v>10000_1002_25000,30000_30001_1,30000_30002_1,30000_30003_1</v>
      </c>
    </row>
    <row r="1446" spans="1:14">
      <c r="A1446" s="1" t="str">
        <f>equip.xml!A1450</f>
        <v>50253050</v>
      </c>
      <c r="B1446" s="1">
        <f>equip.xml!B1450</f>
        <v>1</v>
      </c>
      <c r="C1446" s="1" t="str">
        <f>equip.xml!C1450</f>
        <v>预言法杖</v>
      </c>
      <c r="D1446" s="1" t="str">
        <f>equip.xml!D1450</f>
        <v>主手武器</v>
      </c>
      <c r="E1446" s="1">
        <f>equip.xml!E1450</f>
        <v>5</v>
      </c>
      <c r="F1446" s="1">
        <f>equip.xml!F1450</f>
        <v>5</v>
      </c>
      <c r="G1446" s="1">
        <f>equip.xml!G1450</f>
        <v>25</v>
      </c>
      <c r="H1446" s="1" t="str">
        <f>equip.xml!H1450</f>
        <v>3,1003</v>
      </c>
      <c r="I1446" s="1">
        <f>equip.xml!J1450</f>
        <v>150</v>
      </c>
      <c r="J1446" s="1">
        <f>equip.xml!K1450</f>
        <v>1500</v>
      </c>
      <c r="K1446" s="1">
        <f>equip.xml!L1450</f>
        <v>15000</v>
      </c>
      <c r="L1446" s="1" t="str">
        <f>equip.xml!M1450</f>
        <v>103_177_177,104_354_354</v>
      </c>
      <c r="M1446" s="7" t="str">
        <f>equip.xml!Q1450</f>
        <v>equipment/1311.png</v>
      </c>
      <c r="N1446" t="str">
        <f>equip.xml!P1450</f>
        <v>10000_1002_25000,30000_30001_1,30000_30002_1,30000_30003_1</v>
      </c>
    </row>
    <row r="1447" spans="1:14">
      <c r="A1447" s="1" t="str">
        <f>equip.xml!A1451</f>
        <v>50253051</v>
      </c>
      <c r="B1447" s="1">
        <f>equip.xml!B1451</f>
        <v>0</v>
      </c>
      <c r="C1447" s="1" t="str">
        <f>equip.xml!C1451</f>
        <v>荒骨法杖</v>
      </c>
      <c r="D1447" s="1" t="str">
        <f>equip.xml!D1451</f>
        <v>主手武器</v>
      </c>
      <c r="E1447" s="1">
        <f>equip.xml!E1451</f>
        <v>5</v>
      </c>
      <c r="F1447" s="1">
        <f>equip.xml!F1451</f>
        <v>5</v>
      </c>
      <c r="G1447" s="1">
        <f>equip.xml!G1451</f>
        <v>25</v>
      </c>
      <c r="H1447" s="1" t="str">
        <f>equip.xml!H1451</f>
        <v>3,1003</v>
      </c>
      <c r="I1447" s="1">
        <f>equip.xml!J1451</f>
        <v>150</v>
      </c>
      <c r="J1447" s="1">
        <f>equip.xml!K1451</f>
        <v>1500</v>
      </c>
      <c r="K1447" s="1">
        <f>equip.xml!L1451</f>
        <v>17500</v>
      </c>
      <c r="L1447" s="1" t="str">
        <f>equip.xml!M1451</f>
        <v>103_216_216,104_432_432</v>
      </c>
      <c r="M1447" s="7" t="str">
        <f>equip.xml!Q1451</f>
        <v>equipment/1312.png</v>
      </c>
      <c r="N1447" t="str">
        <f>equip.xml!P1451</f>
        <v>10000_1002_25000,30000_30001_1,30000_30002_1,30000_30003_1</v>
      </c>
    </row>
    <row r="1448" spans="1:14">
      <c r="A1448" s="1" t="str">
        <f>equip.xml!A1452</f>
        <v>50253060</v>
      </c>
      <c r="B1448" s="1">
        <f>equip.xml!B1452</f>
        <v>1</v>
      </c>
      <c r="C1448" s="1" t="str">
        <f>equip.xml!C1452</f>
        <v>魔法秘典</v>
      </c>
      <c r="D1448" s="1" t="str">
        <f>equip.xml!D1452</f>
        <v>副手武器</v>
      </c>
      <c r="E1448" s="1">
        <f>equip.xml!E1452</f>
        <v>6</v>
      </c>
      <c r="F1448" s="1">
        <f>equip.xml!F1452</f>
        <v>5</v>
      </c>
      <c r="G1448" s="1">
        <f>equip.xml!G1452</f>
        <v>25</v>
      </c>
      <c r="H1448" s="1" t="str">
        <f>equip.xml!H1452</f>
        <v>3,1003</v>
      </c>
      <c r="I1448" s="1">
        <f>equip.xml!J1452</f>
        <v>150</v>
      </c>
      <c r="J1448" s="1">
        <f>equip.xml!K1452</f>
        <v>1500</v>
      </c>
      <c r="K1448" s="1">
        <f>equip.xml!L1452</f>
        <v>15000</v>
      </c>
      <c r="L1448" s="1" t="str">
        <f>equip.xml!M1452</f>
        <v>102_690_690</v>
      </c>
      <c r="M1448" s="7" t="str">
        <f>equip.xml!Q1452</f>
        <v>equipment/2306.png</v>
      </c>
      <c r="N1448" t="str">
        <f>equip.xml!P1452</f>
        <v>10000_1002_25000,30000_30001_1,30000_30002_1,30000_30003_1</v>
      </c>
    </row>
    <row r="1449" spans="1:14">
      <c r="A1449" s="1" t="str">
        <f>equip.xml!A1453</f>
        <v>50253061</v>
      </c>
      <c r="B1449" s="1">
        <f>equip.xml!B1453</f>
        <v>0</v>
      </c>
      <c r="C1449" s="1" t="str">
        <f>equip.xml!C1453</f>
        <v>法术指南</v>
      </c>
      <c r="D1449" s="1" t="str">
        <f>equip.xml!D1453</f>
        <v>副手武器</v>
      </c>
      <c r="E1449" s="1">
        <f>equip.xml!E1453</f>
        <v>6</v>
      </c>
      <c r="F1449" s="1">
        <f>equip.xml!F1453</f>
        <v>5</v>
      </c>
      <c r="G1449" s="1">
        <f>equip.xml!G1453</f>
        <v>25</v>
      </c>
      <c r="H1449" s="1" t="str">
        <f>equip.xml!H1453</f>
        <v>3,1003</v>
      </c>
      <c r="I1449" s="1">
        <f>equip.xml!J1453</f>
        <v>150</v>
      </c>
      <c r="J1449" s="1">
        <f>equip.xml!K1453</f>
        <v>1500</v>
      </c>
      <c r="K1449" s="1">
        <f>equip.xml!L1453</f>
        <v>17500</v>
      </c>
      <c r="L1449" s="1" t="str">
        <f>equip.xml!M1453</f>
        <v>102_301_301</v>
      </c>
      <c r="M1449" s="7" t="str">
        <f>equip.xml!Q1453</f>
        <v>equipment/2301.png</v>
      </c>
      <c r="N1449" t="str">
        <f>equip.xml!P1453</f>
        <v>10000_1002_25000,30000_30001_1,30000_30002_1,30000_30003_1</v>
      </c>
    </row>
    <row r="1450" spans="1:14">
      <c r="A1450" s="1" t="str">
        <f>equip.xml!A1454</f>
        <v>50250040</v>
      </c>
      <c r="B1450" s="1">
        <f>equip.xml!B1454</f>
        <v>1</v>
      </c>
      <c r="C1450" s="1" t="str">
        <f>equip.xml!C1454</f>
        <v>烙铁胸甲</v>
      </c>
      <c r="D1450" s="1" t="str">
        <f>equip.xml!D1454</f>
        <v>胸甲</v>
      </c>
      <c r="E1450" s="1">
        <f>equip.xml!E1454</f>
        <v>4</v>
      </c>
      <c r="F1450" s="1">
        <f>equip.xml!F1454</f>
        <v>5</v>
      </c>
      <c r="G1450" s="1">
        <f>equip.xml!G1454</f>
        <v>25</v>
      </c>
      <c r="H1450" s="1">
        <f>equip.xml!H1454</f>
        <v>0</v>
      </c>
      <c r="I1450" s="1">
        <f>equip.xml!J1454</f>
        <v>150</v>
      </c>
      <c r="J1450" s="1">
        <f>equip.xml!K1454</f>
        <v>1500</v>
      </c>
      <c r="K1450" s="1">
        <f>equip.xml!L1454</f>
        <v>15000</v>
      </c>
      <c r="L1450" s="1" t="str">
        <f>equip.xml!M1454</f>
        <v>105_153_153</v>
      </c>
      <c r="M1450" s="7" t="str">
        <f>equip.xml!Q1454</f>
        <v>equipment/5007.png</v>
      </c>
      <c r="N1450" t="str">
        <f>equip.xml!P1454</f>
        <v>10000_1002_25000,30000_30001_1,30000_30002_1,30000_30003_1</v>
      </c>
    </row>
    <row r="1451" spans="1:14">
      <c r="A1451" s="1" t="str">
        <f>equip.xml!A1455</f>
        <v>50250041</v>
      </c>
      <c r="B1451" s="1">
        <f>equip.xml!B1455</f>
        <v>0</v>
      </c>
      <c r="C1451" s="1" t="str">
        <f>equip.xml!C1455</f>
        <v>新兵外套</v>
      </c>
      <c r="D1451" s="1" t="str">
        <f>equip.xml!D1455</f>
        <v>胸甲</v>
      </c>
      <c r="E1451" s="1">
        <f>equip.xml!E1455</f>
        <v>4</v>
      </c>
      <c r="F1451" s="1">
        <f>equip.xml!F1455</f>
        <v>5</v>
      </c>
      <c r="G1451" s="1">
        <f>equip.xml!G1455</f>
        <v>25</v>
      </c>
      <c r="H1451" s="1">
        <f>equip.xml!H1455</f>
        <v>0</v>
      </c>
      <c r="I1451" s="1">
        <f>equip.xml!J1455</f>
        <v>150</v>
      </c>
      <c r="J1451" s="1">
        <f>equip.xml!K1455</f>
        <v>1500</v>
      </c>
      <c r="K1451" s="1">
        <f>equip.xml!L1455</f>
        <v>17500</v>
      </c>
      <c r="L1451" s="1" t="str">
        <f>equip.xml!M1455</f>
        <v>105_178_178</v>
      </c>
      <c r="M1451" s="7" t="str">
        <f>equip.xml!Q1455</f>
        <v>equipment/5001.png</v>
      </c>
      <c r="N1451" t="str">
        <f>equip.xml!P1455</f>
        <v>10000_1002_25000,30000_30001_1,30000_30002_1,30000_30003_1</v>
      </c>
    </row>
    <row r="1452" spans="1:14">
      <c r="A1452" s="1" t="str">
        <f>equip.xml!A1456</f>
        <v>50250070</v>
      </c>
      <c r="B1452" s="1">
        <f>equip.xml!B1456</f>
        <v>1</v>
      </c>
      <c r="C1452" s="1" t="str">
        <f>equip.xml!C1456</f>
        <v>勇气腿甲</v>
      </c>
      <c r="D1452" s="1" t="str">
        <f>equip.xml!D1456</f>
        <v>护腿</v>
      </c>
      <c r="E1452" s="1">
        <f>equip.xml!E1456</f>
        <v>7</v>
      </c>
      <c r="F1452" s="1">
        <f>equip.xml!F1456</f>
        <v>5</v>
      </c>
      <c r="G1452" s="1">
        <f>equip.xml!G1456</f>
        <v>25</v>
      </c>
      <c r="H1452" s="1">
        <f>equip.xml!H1456</f>
        <v>0</v>
      </c>
      <c r="I1452" s="1">
        <f>equip.xml!J1456</f>
        <v>150</v>
      </c>
      <c r="J1452" s="1">
        <f>equip.xml!K1456</f>
        <v>1500</v>
      </c>
      <c r="K1452" s="1">
        <f>equip.xml!L1456</f>
        <v>15000</v>
      </c>
      <c r="L1452" s="1" t="str">
        <f>equip.xml!M1456</f>
        <v>105_104_104</v>
      </c>
      <c r="M1452" s="7" t="str">
        <f>equip.xml!Q1456</f>
        <v>equipment/7006.png</v>
      </c>
      <c r="N1452" t="str">
        <f>equip.xml!P1456</f>
        <v>10000_1002_25000,30000_30001_1,30000_30002_1,30000_30003_1</v>
      </c>
    </row>
    <row r="1453" spans="1:14">
      <c r="A1453" s="1" t="str">
        <f>equip.xml!A1457</f>
        <v>50250071</v>
      </c>
      <c r="B1453" s="1">
        <f>equip.xml!B1457</f>
        <v>0</v>
      </c>
      <c r="C1453" s="1" t="str">
        <f>equip.xml!C1457</f>
        <v>学徒短裤</v>
      </c>
      <c r="D1453" s="1" t="str">
        <f>equip.xml!D1457</f>
        <v>护腿</v>
      </c>
      <c r="E1453" s="1">
        <f>equip.xml!E1457</f>
        <v>7</v>
      </c>
      <c r="F1453" s="1">
        <f>equip.xml!F1457</f>
        <v>5</v>
      </c>
      <c r="G1453" s="1">
        <f>equip.xml!G1457</f>
        <v>25</v>
      </c>
      <c r="H1453" s="1">
        <f>equip.xml!H1457</f>
        <v>0</v>
      </c>
      <c r="I1453" s="1">
        <f>equip.xml!J1457</f>
        <v>150</v>
      </c>
      <c r="J1453" s="1">
        <f>equip.xml!K1457</f>
        <v>1500</v>
      </c>
      <c r="K1453" s="1">
        <f>equip.xml!L1457</f>
        <v>17500</v>
      </c>
      <c r="L1453" s="1" t="str">
        <f>equip.xml!M1457</f>
        <v>105_149_149</v>
      </c>
      <c r="M1453" s="7" t="str">
        <f>equip.xml!Q1457</f>
        <v>equipment/7001.png</v>
      </c>
      <c r="N1453" t="str">
        <f>equip.xml!P1457</f>
        <v>10000_1002_25000,30000_30001_1,30000_30002_1,30000_30003_1</v>
      </c>
    </row>
    <row r="1454" spans="1:14">
      <c r="A1454" s="1" t="str">
        <f>equip.xml!A1458</f>
        <v>50300010</v>
      </c>
      <c r="B1454" s="1">
        <f>equip.xml!B1458</f>
        <v>1</v>
      </c>
      <c r="C1454" s="1" t="str">
        <f>equip.xml!C1458</f>
        <v>双链罩帽</v>
      </c>
      <c r="D1454" s="1" t="str">
        <f>equip.xml!D1458</f>
        <v>头盔</v>
      </c>
      <c r="E1454" s="1">
        <f>equip.xml!E1458</f>
        <v>1</v>
      </c>
      <c r="F1454" s="1">
        <f>equip.xml!F1458</f>
        <v>5</v>
      </c>
      <c r="G1454" s="1">
        <f>equip.xml!G1458</f>
        <v>30</v>
      </c>
      <c r="H1454" s="1">
        <f>equip.xml!H1458</f>
        <v>0</v>
      </c>
      <c r="I1454" s="1">
        <f>equip.xml!J1458</f>
        <v>150</v>
      </c>
      <c r="J1454" s="1">
        <f>equip.xml!K1458</f>
        <v>1500</v>
      </c>
      <c r="K1454" s="1">
        <f>equip.xml!L1458</f>
        <v>17500</v>
      </c>
      <c r="L1454" s="1" t="str">
        <f>equip.xml!M1458</f>
        <v>106_372_372</v>
      </c>
      <c r="M1454" s="7" t="str">
        <f>equip.xml!Q1458</f>
        <v>equipment/3004.png</v>
      </c>
      <c r="N1454" t="str">
        <f>equip.xml!P1458</f>
        <v>10000_1002_30000,30000_30001_1,30000_30002_1,30000_30003_1</v>
      </c>
    </row>
    <row r="1455" spans="1:14">
      <c r="A1455" s="1" t="str">
        <f>equip.xml!A1459</f>
        <v>50300020</v>
      </c>
      <c r="B1455" s="1">
        <f>equip.xml!B1459</f>
        <v>1</v>
      </c>
      <c r="C1455" s="1" t="str">
        <f>equip.xml!C1459</f>
        <v>繁星之戒</v>
      </c>
      <c r="D1455" s="1" t="str">
        <f>equip.xml!D1459</f>
        <v>戒指</v>
      </c>
      <c r="E1455" s="1">
        <f>equip.xml!E1459</f>
        <v>2</v>
      </c>
      <c r="F1455" s="1">
        <f>equip.xml!F1459</f>
        <v>5</v>
      </c>
      <c r="G1455" s="1">
        <f>equip.xml!G1459</f>
        <v>30</v>
      </c>
      <c r="H1455" s="1">
        <f>equip.xml!H1459</f>
        <v>0</v>
      </c>
      <c r="I1455" s="1">
        <f>equip.xml!J1459</f>
        <v>150</v>
      </c>
      <c r="J1455" s="1">
        <f>equip.xml!K1459</f>
        <v>1500</v>
      </c>
      <c r="K1455" s="1">
        <f>equip.xml!L1459</f>
        <v>17500</v>
      </c>
      <c r="L1455" s="1" t="str">
        <f>equip.xml!M1459</f>
        <v>102_460_460</v>
      </c>
      <c r="M1455" s="7" t="str">
        <f>equip.xml!Q1459</f>
        <v>equipment/14005.png</v>
      </c>
      <c r="N1455" t="str">
        <f>equip.xml!P1459</f>
        <v>10000_1002_30000,30000_30001_1,30000_30002_1,30000_30003_1</v>
      </c>
    </row>
    <row r="1456" spans="1:14">
      <c r="A1456" s="1" t="str">
        <f>equip.xml!A1460</f>
        <v>50300030</v>
      </c>
      <c r="B1456" s="1">
        <f>equip.xml!B1460</f>
        <v>0</v>
      </c>
      <c r="C1456" s="1" t="str">
        <f>equip.xml!C1460</f>
        <v>秘银腰带</v>
      </c>
      <c r="D1456" s="1" t="str">
        <f>equip.xml!D1460</f>
        <v>腰带</v>
      </c>
      <c r="E1456" s="1">
        <f>equip.xml!E1460</f>
        <v>3</v>
      </c>
      <c r="F1456" s="1">
        <f>equip.xml!F1460</f>
        <v>5</v>
      </c>
      <c r="G1456" s="1">
        <f>equip.xml!G1460</f>
        <v>30</v>
      </c>
      <c r="H1456" s="1">
        <f>equip.xml!H1460</f>
        <v>0</v>
      </c>
      <c r="I1456" s="1">
        <f>equip.xml!J1460</f>
        <v>150</v>
      </c>
      <c r="J1456" s="1">
        <f>equip.xml!K1460</f>
        <v>1500</v>
      </c>
      <c r="K1456" s="1">
        <f>equip.xml!L1460</f>
        <v>17500</v>
      </c>
      <c r="L1456" s="1" t="str">
        <f>equip.xml!M1460</f>
        <v>101_3360_3360</v>
      </c>
      <c r="M1456" s="7" t="str">
        <f>equip.xml!Q1460</f>
        <v>equipment/6001.png</v>
      </c>
      <c r="N1456" t="str">
        <f>equip.xml!P1460</f>
        <v>10000_1002_30000,30000_30001_1,30000_30002_1,30000_30003_1</v>
      </c>
    </row>
    <row r="1457" spans="1:14">
      <c r="A1457" s="1" t="str">
        <f>equip.xml!A1461</f>
        <v>50300080</v>
      </c>
      <c r="B1457" s="1">
        <f>equip.xml!B1461</f>
        <v>1</v>
      </c>
      <c r="C1457" s="1" t="str">
        <f>equip.xml!C1461</f>
        <v>镶饰胫甲</v>
      </c>
      <c r="D1457" s="1" t="str">
        <f>equip.xml!D1461</f>
        <v>鞋子</v>
      </c>
      <c r="E1457" s="1">
        <f>equip.xml!E1461</f>
        <v>8</v>
      </c>
      <c r="F1457" s="1">
        <f>equip.xml!F1461</f>
        <v>5</v>
      </c>
      <c r="G1457" s="1">
        <f>equip.xml!G1461</f>
        <v>30</v>
      </c>
      <c r="H1457" s="1">
        <f>equip.xml!H1461</f>
        <v>0</v>
      </c>
      <c r="I1457" s="1">
        <f>equip.xml!J1461</f>
        <v>150</v>
      </c>
      <c r="J1457" s="1">
        <f>equip.xml!K1461</f>
        <v>1500</v>
      </c>
      <c r="K1457" s="1">
        <f>equip.xml!L1461</f>
        <v>17500</v>
      </c>
      <c r="L1457" s="1" t="str">
        <f>equip.xml!M1461</f>
        <v>110_65_65</v>
      </c>
      <c r="M1457" s="7" t="str">
        <f>equip.xml!Q1461</f>
        <v>equipment/8005.png</v>
      </c>
      <c r="N1457" t="str">
        <f>equip.xml!P1461</f>
        <v>10000_1002_30000,30000_30001_1,30000_30002_1,30000_30003_1</v>
      </c>
    </row>
    <row r="1458" spans="1:14">
      <c r="A1458" s="1" t="str">
        <f>equip.xml!A1462</f>
        <v>50300090</v>
      </c>
      <c r="B1458" s="1">
        <f>equip.xml!B1462</f>
        <v>1</v>
      </c>
      <c r="C1458" s="1" t="str">
        <f>equip.xml!C1462</f>
        <v>链甲手套</v>
      </c>
      <c r="D1458" s="1" t="str">
        <f>equip.xml!D1462</f>
        <v>手套</v>
      </c>
      <c r="E1458" s="1">
        <f>equip.xml!E1462</f>
        <v>9</v>
      </c>
      <c r="F1458" s="1">
        <f>equip.xml!F1462</f>
        <v>5</v>
      </c>
      <c r="G1458" s="1">
        <f>equip.xml!G1462</f>
        <v>30</v>
      </c>
      <c r="H1458" s="1">
        <f>equip.xml!H1462</f>
        <v>0</v>
      </c>
      <c r="I1458" s="1">
        <f>equip.xml!J1462</f>
        <v>150</v>
      </c>
      <c r="J1458" s="1">
        <f>equip.xml!K1462</f>
        <v>1500</v>
      </c>
      <c r="K1458" s="1">
        <f>equip.xml!L1462</f>
        <v>17500</v>
      </c>
      <c r="L1458" s="1" t="str">
        <f>equip.xml!M1462</f>
        <v>108_367_367</v>
      </c>
      <c r="M1458" s="7" t="str">
        <f>equip.xml!Q1462</f>
        <v>equipment/10005.png</v>
      </c>
      <c r="N1458" t="str">
        <f>equip.xml!P1462</f>
        <v>10000_1002_30000,30000_30001_1,30000_30002_1,30000_30003_1</v>
      </c>
    </row>
    <row r="1459" spans="1:14">
      <c r="A1459" s="1" t="str">
        <f>equip.xml!A1463</f>
        <v>50300100</v>
      </c>
      <c r="B1459" s="1">
        <f>equip.xml!B1463</f>
        <v>1</v>
      </c>
      <c r="C1459" s="1" t="str">
        <f>equip.xml!C1463</f>
        <v>虎眼石项链</v>
      </c>
      <c r="D1459" s="1" t="str">
        <f>equip.xml!D1463</f>
        <v>项链</v>
      </c>
      <c r="E1459" s="1">
        <f>equip.xml!E1463</f>
        <v>10</v>
      </c>
      <c r="F1459" s="1">
        <f>equip.xml!F1463</f>
        <v>5</v>
      </c>
      <c r="G1459" s="1">
        <f>equip.xml!G1463</f>
        <v>30</v>
      </c>
      <c r="H1459" s="1">
        <f>equip.xml!H1463</f>
        <v>0</v>
      </c>
      <c r="I1459" s="1">
        <f>equip.xml!J1463</f>
        <v>150</v>
      </c>
      <c r="J1459" s="1">
        <f>equip.xml!K1463</f>
        <v>1500</v>
      </c>
      <c r="K1459" s="1">
        <f>equip.xml!L1463</f>
        <v>17500</v>
      </c>
      <c r="L1459" s="1" t="str">
        <f>equip.xml!M1463</f>
        <v>107_372_372</v>
      </c>
      <c r="M1459" s="7" t="str">
        <f>equip.xml!Q1463</f>
        <v>equipment/12005.png</v>
      </c>
      <c r="N1459" t="str">
        <f>equip.xml!P1463</f>
        <v>10000_1002_30000,30000_30001_1,30000_30002_1,30000_30003_1</v>
      </c>
    </row>
    <row r="1460" spans="1:14">
      <c r="A1460" s="1" t="str">
        <f>equip.xml!A1464</f>
        <v>50301050</v>
      </c>
      <c r="B1460" s="1">
        <f>equip.xml!B1464</f>
        <v>1</v>
      </c>
      <c r="C1460" s="1" t="str">
        <f>equip.xml!C1464</f>
        <v>炽热长剑</v>
      </c>
      <c r="D1460" s="1" t="str">
        <f>equip.xml!D1464</f>
        <v>主手武器</v>
      </c>
      <c r="E1460" s="1">
        <f>equip.xml!E1464</f>
        <v>5</v>
      </c>
      <c r="F1460" s="1">
        <f>equip.xml!F1464</f>
        <v>5</v>
      </c>
      <c r="G1460" s="1">
        <f>equip.xml!G1464</f>
        <v>30</v>
      </c>
      <c r="H1460" s="1" t="str">
        <f>equip.xml!H1464</f>
        <v>1,1001</v>
      </c>
      <c r="I1460" s="1">
        <f>equip.xml!J1464</f>
        <v>150</v>
      </c>
      <c r="J1460" s="1">
        <f>equip.xml!K1464</f>
        <v>1500</v>
      </c>
      <c r="K1460" s="1">
        <f>equip.xml!L1464</f>
        <v>17500</v>
      </c>
      <c r="L1460" s="1" t="str">
        <f>equip.xml!M1464</f>
        <v>103_275_275,104_550_550</v>
      </c>
      <c r="M1460" s="7" t="str">
        <f>equip.xml!Q1464</f>
        <v>equipment/1112.png</v>
      </c>
      <c r="N1460" t="str">
        <f>equip.xml!P1464</f>
        <v>10000_1002_30000,30000_30001_1,30000_30002_1,30000_30003_1</v>
      </c>
    </row>
    <row r="1461" spans="1:14">
      <c r="A1461" s="1" t="str">
        <f>equip.xml!A1465</f>
        <v>50301051</v>
      </c>
      <c r="B1461" s="1">
        <f>equip.xml!B1465</f>
        <v>1</v>
      </c>
      <c r="C1461" s="1" t="str">
        <f>equip.xml!C1465</f>
        <v>贵族阔剑</v>
      </c>
      <c r="D1461" s="1" t="str">
        <f>equip.xml!D1465</f>
        <v>主手武器</v>
      </c>
      <c r="E1461" s="1">
        <f>equip.xml!E1465</f>
        <v>5</v>
      </c>
      <c r="F1461" s="1">
        <f>equip.xml!F1465</f>
        <v>5</v>
      </c>
      <c r="G1461" s="1">
        <f>equip.xml!G1465</f>
        <v>30</v>
      </c>
      <c r="H1461" s="1" t="str">
        <f>equip.xml!H1465</f>
        <v>1,1001</v>
      </c>
      <c r="I1461" s="1">
        <f>equip.xml!J1465</f>
        <v>150</v>
      </c>
      <c r="J1461" s="1">
        <f>equip.xml!K1465</f>
        <v>1500</v>
      </c>
      <c r="K1461" s="1">
        <f>equip.xml!L1465</f>
        <v>20000</v>
      </c>
      <c r="L1461" s="1" t="str">
        <f>equip.xml!M1465</f>
        <v>103_342_342,104_684_684</v>
      </c>
      <c r="M1461" s="7" t="str">
        <f>equip.xml!Q1465</f>
        <v>equipment/1113.png</v>
      </c>
      <c r="N1461" t="str">
        <f>equip.xml!P1465</f>
        <v>10000_1002_30000,30000_30001_1,30000_30002_1,30000_30003_1</v>
      </c>
    </row>
    <row r="1462" spans="1:14">
      <c r="A1462" s="1" t="str">
        <f>equip.xml!A1466</f>
        <v>50301060</v>
      </c>
      <c r="B1462" s="1">
        <f>equip.xml!B1466</f>
        <v>1</v>
      </c>
      <c r="C1462" s="1" t="str">
        <f>equip.xml!C1466</f>
        <v>耐久盾牌</v>
      </c>
      <c r="D1462" s="1" t="str">
        <f>equip.xml!D1466</f>
        <v>副手武器</v>
      </c>
      <c r="E1462" s="1">
        <f>equip.xml!E1466</f>
        <v>6</v>
      </c>
      <c r="F1462" s="1">
        <f>equip.xml!F1466</f>
        <v>5</v>
      </c>
      <c r="G1462" s="1">
        <f>equip.xml!G1466</f>
        <v>30</v>
      </c>
      <c r="H1462" s="1" t="str">
        <f>equip.xml!H1466</f>
        <v>1,1001</v>
      </c>
      <c r="I1462" s="1">
        <f>equip.xml!J1466</f>
        <v>150</v>
      </c>
      <c r="J1462" s="1">
        <f>equip.xml!K1466</f>
        <v>1500</v>
      </c>
      <c r="K1462" s="1">
        <f>equip.xml!L1466</f>
        <v>17500</v>
      </c>
      <c r="L1462" s="1" t="str">
        <f>equip.xml!M1466</f>
        <v>105_368_368</v>
      </c>
      <c r="M1462" s="7" t="str">
        <f>equip.xml!Q1466</f>
        <v>equipment/2107.png</v>
      </c>
      <c r="N1462" t="str">
        <f>equip.xml!P1466</f>
        <v>10000_1002_30000,30000_30001_1,30000_30002_1,30000_30003_1</v>
      </c>
    </row>
    <row r="1463" spans="1:14">
      <c r="A1463" s="1" t="str">
        <f>equip.xml!A1467</f>
        <v>50301061</v>
      </c>
      <c r="B1463" s="1">
        <f>equip.xml!B1467</f>
        <v>0</v>
      </c>
      <c r="C1463" s="1" t="str">
        <f>equip.xml!C1467</f>
        <v>盐石盾牌</v>
      </c>
      <c r="D1463" s="1" t="str">
        <f>equip.xml!D1467</f>
        <v>副手武器</v>
      </c>
      <c r="E1463" s="1">
        <f>equip.xml!E1467</f>
        <v>6</v>
      </c>
      <c r="F1463" s="1">
        <f>equip.xml!F1467</f>
        <v>5</v>
      </c>
      <c r="G1463" s="1">
        <f>equip.xml!G1467</f>
        <v>30</v>
      </c>
      <c r="H1463" s="1" t="str">
        <f>equip.xml!H1467</f>
        <v>1,1001</v>
      </c>
      <c r="I1463" s="1">
        <f>equip.xml!J1467</f>
        <v>150</v>
      </c>
      <c r="J1463" s="1">
        <f>equip.xml!K1467</f>
        <v>1500</v>
      </c>
      <c r="K1463" s="1">
        <f>equip.xml!L1467</f>
        <v>20000</v>
      </c>
      <c r="L1463" s="1" t="str">
        <f>equip.xml!M1467</f>
        <v>105_491_491</v>
      </c>
      <c r="M1463" s="7" t="str">
        <f>equip.xml!Q1467</f>
        <v>equipment/2108.png</v>
      </c>
      <c r="N1463" t="str">
        <f>equip.xml!P1467</f>
        <v>10000_1002_30000,30000_30001_1,30000_30002_1,30000_30003_1</v>
      </c>
    </row>
    <row r="1464" spans="1:14">
      <c r="A1464" s="1" t="str">
        <f>equip.xml!A1468</f>
        <v>50302050</v>
      </c>
      <c r="B1464" s="1">
        <f>equip.xml!B1468</f>
        <v>1</v>
      </c>
      <c r="C1464" s="1" t="str">
        <f>equip.xml!C1468</f>
        <v>红木长弓</v>
      </c>
      <c r="D1464" s="1" t="str">
        <f>equip.xml!D1468</f>
        <v>主手武器</v>
      </c>
      <c r="E1464" s="1">
        <f>equip.xml!E1468</f>
        <v>5</v>
      </c>
      <c r="F1464" s="1">
        <f>equip.xml!F1468</f>
        <v>5</v>
      </c>
      <c r="G1464" s="1">
        <f>equip.xml!G1468</f>
        <v>30</v>
      </c>
      <c r="H1464" s="1" t="str">
        <f>equip.xml!H1468</f>
        <v>2,1002</v>
      </c>
      <c r="I1464" s="1">
        <f>equip.xml!J1468</f>
        <v>150</v>
      </c>
      <c r="J1464" s="1">
        <f>equip.xml!K1468</f>
        <v>1500</v>
      </c>
      <c r="K1464" s="1">
        <f>equip.xml!L1468</f>
        <v>17500</v>
      </c>
      <c r="L1464" s="1" t="str">
        <f>equip.xml!M1468</f>
        <v>103_275_275,104_550_550</v>
      </c>
      <c r="M1464" s="7" t="str">
        <f>equip.xml!Q1468</f>
        <v>equipment/1211.png</v>
      </c>
      <c r="N1464" t="str">
        <f>equip.xml!P1468</f>
        <v>10000_1002_30000,30000_30001_1,30000_30002_1,30000_30003_1</v>
      </c>
    </row>
    <row r="1465" spans="1:14">
      <c r="A1465" s="1" t="str">
        <f>equip.xml!A1469</f>
        <v>50302051</v>
      </c>
      <c r="B1465" s="1">
        <f>equip.xml!B1469</f>
        <v>1</v>
      </c>
      <c r="C1465" s="1" t="str">
        <f>equip.xml!C1469</f>
        <v>灼热弓</v>
      </c>
      <c r="D1465" s="1" t="str">
        <f>equip.xml!D1469</f>
        <v>主手武器</v>
      </c>
      <c r="E1465" s="1">
        <f>equip.xml!E1469</f>
        <v>5</v>
      </c>
      <c r="F1465" s="1">
        <f>equip.xml!F1469</f>
        <v>5</v>
      </c>
      <c r="G1465" s="1">
        <f>equip.xml!G1469</f>
        <v>30</v>
      </c>
      <c r="H1465" s="1" t="str">
        <f>equip.xml!H1469</f>
        <v>2,1002</v>
      </c>
      <c r="I1465" s="1">
        <f>equip.xml!J1469</f>
        <v>150</v>
      </c>
      <c r="J1465" s="1">
        <f>equip.xml!K1469</f>
        <v>1500</v>
      </c>
      <c r="K1465" s="1">
        <f>equip.xml!L1469</f>
        <v>20000</v>
      </c>
      <c r="L1465" s="1" t="str">
        <f>equip.xml!M1469</f>
        <v>103_342_342,104_684_684</v>
      </c>
      <c r="M1465" s="7" t="str">
        <f>equip.xml!Q1469</f>
        <v>equipment/1212.png</v>
      </c>
      <c r="N1465" t="str">
        <f>equip.xml!P1469</f>
        <v>10000_1002_30000,30000_30001_1,30000_30002_1,30000_30003_1</v>
      </c>
    </row>
    <row r="1466" spans="1:14">
      <c r="A1466" s="1" t="str">
        <f>equip.xml!A1470</f>
        <v>50302060</v>
      </c>
      <c r="B1466" s="1">
        <f>equip.xml!B1470</f>
        <v>1</v>
      </c>
      <c r="C1466" s="1" t="str">
        <f>equip.xml!C1470</f>
        <v>倒刺箭筒</v>
      </c>
      <c r="D1466" s="1" t="str">
        <f>equip.xml!D1470</f>
        <v>副手武器</v>
      </c>
      <c r="E1466" s="1">
        <f>equip.xml!E1470</f>
        <v>6</v>
      </c>
      <c r="F1466" s="1">
        <f>equip.xml!F1470</f>
        <v>5</v>
      </c>
      <c r="G1466" s="1">
        <f>equip.xml!G1470</f>
        <v>30</v>
      </c>
      <c r="H1466" s="1" t="str">
        <f>equip.xml!H1470</f>
        <v>2,1002</v>
      </c>
      <c r="I1466" s="1">
        <f>equip.xml!J1470</f>
        <v>150</v>
      </c>
      <c r="J1466" s="1">
        <f>equip.xml!K1470</f>
        <v>1500</v>
      </c>
      <c r="K1466" s="1">
        <f>equip.xml!L1470</f>
        <v>17500</v>
      </c>
      <c r="L1466" s="1" t="str">
        <f>equip.xml!M1470</f>
        <v>108_368_368</v>
      </c>
      <c r="M1466" s="7" t="str">
        <f>equip.xml!Q1470</f>
        <v>equipment/2207.png</v>
      </c>
      <c r="N1466" t="str">
        <f>equip.xml!P1470</f>
        <v>10000_1002_30000,30000_30001_1,30000_30002_1,30000_30003_1</v>
      </c>
    </row>
    <row r="1467" spans="1:14">
      <c r="A1467" s="1" t="str">
        <f>equip.xml!A1471</f>
        <v>50302061</v>
      </c>
      <c r="B1467" s="1">
        <f>equip.xml!B1471</f>
        <v>0</v>
      </c>
      <c r="C1467" s="1" t="str">
        <f>equip.xml!C1471</f>
        <v>崇圣箭筒</v>
      </c>
      <c r="D1467" s="1" t="str">
        <f>equip.xml!D1471</f>
        <v>副手武器</v>
      </c>
      <c r="E1467" s="1">
        <f>equip.xml!E1471</f>
        <v>6</v>
      </c>
      <c r="F1467" s="1">
        <f>equip.xml!F1471</f>
        <v>5</v>
      </c>
      <c r="G1467" s="1">
        <f>equip.xml!G1471</f>
        <v>30</v>
      </c>
      <c r="H1467" s="1" t="str">
        <f>equip.xml!H1471</f>
        <v>2,1002</v>
      </c>
      <c r="I1467" s="1">
        <f>equip.xml!J1471</f>
        <v>150</v>
      </c>
      <c r="J1467" s="1">
        <f>equip.xml!K1471</f>
        <v>1500</v>
      </c>
      <c r="K1467" s="1">
        <f>equip.xml!L1471</f>
        <v>20000</v>
      </c>
      <c r="L1467" s="1" t="str">
        <f>equip.xml!M1471</f>
        <v>108_491_491</v>
      </c>
      <c r="M1467" s="7" t="str">
        <f>equip.xml!Q1471</f>
        <v>equipment/2208.png</v>
      </c>
      <c r="N1467" t="str">
        <f>equip.xml!P1471</f>
        <v>10000_1002_30000,30000_30001_1,30000_30002_1,30000_30003_1</v>
      </c>
    </row>
    <row r="1468" spans="1:14">
      <c r="A1468" s="1" t="str">
        <f>equip.xml!A1472</f>
        <v>50303050</v>
      </c>
      <c r="B1468" s="1">
        <f>equip.xml!B1472</f>
        <v>1</v>
      </c>
      <c r="C1468" s="1" t="str">
        <f>equip.xml!C1472</f>
        <v>荒骨法杖</v>
      </c>
      <c r="D1468" s="1" t="str">
        <f>equip.xml!D1472</f>
        <v>主手武器</v>
      </c>
      <c r="E1468" s="1">
        <f>equip.xml!E1472</f>
        <v>5</v>
      </c>
      <c r="F1468" s="1">
        <f>equip.xml!F1472</f>
        <v>5</v>
      </c>
      <c r="G1468" s="1">
        <f>equip.xml!G1472</f>
        <v>30</v>
      </c>
      <c r="H1468" s="1" t="str">
        <f>equip.xml!H1472</f>
        <v>3,1003</v>
      </c>
      <c r="I1468" s="1">
        <f>equip.xml!J1472</f>
        <v>150</v>
      </c>
      <c r="J1468" s="1">
        <f>equip.xml!K1472</f>
        <v>1500</v>
      </c>
      <c r="K1468" s="1">
        <f>equip.xml!L1472</f>
        <v>17500</v>
      </c>
      <c r="L1468" s="1" t="str">
        <f>equip.xml!M1472</f>
        <v>103_275_275,104_550_550</v>
      </c>
      <c r="M1468" s="7" t="str">
        <f>equip.xml!Q1472</f>
        <v>equipment/1312.png</v>
      </c>
      <c r="N1468" t="str">
        <f>equip.xml!P1472</f>
        <v>10000_1002_30000,30000_30001_1,30000_30002_1,30000_30003_1</v>
      </c>
    </row>
    <row r="1469" spans="1:14">
      <c r="A1469" s="1" t="str">
        <f>equip.xml!A1473</f>
        <v>50303051</v>
      </c>
      <c r="B1469" s="1">
        <f>equip.xml!B1473</f>
        <v>1</v>
      </c>
      <c r="C1469" s="1" t="str">
        <f>equip.xml!C1473</f>
        <v>新月法杖</v>
      </c>
      <c r="D1469" s="1" t="str">
        <f>equip.xml!D1473</f>
        <v>主手武器</v>
      </c>
      <c r="E1469" s="1">
        <f>equip.xml!E1473</f>
        <v>5</v>
      </c>
      <c r="F1469" s="1">
        <f>equip.xml!F1473</f>
        <v>5</v>
      </c>
      <c r="G1469" s="1">
        <f>equip.xml!G1473</f>
        <v>30</v>
      </c>
      <c r="H1469" s="1" t="str">
        <f>equip.xml!H1473</f>
        <v>3,1003</v>
      </c>
      <c r="I1469" s="1">
        <f>equip.xml!J1473</f>
        <v>150</v>
      </c>
      <c r="J1469" s="1">
        <f>equip.xml!K1473</f>
        <v>1500</v>
      </c>
      <c r="K1469" s="1">
        <f>equip.xml!L1473</f>
        <v>20000</v>
      </c>
      <c r="L1469" s="1" t="str">
        <f>equip.xml!M1473</f>
        <v>103_342_342,104_684_684</v>
      </c>
      <c r="M1469" s="7" t="str">
        <f>equip.xml!Q1473</f>
        <v>equipment/1313.png</v>
      </c>
      <c r="N1469" t="str">
        <f>equip.xml!P1473</f>
        <v>10000_1002_30000,30000_30001_1,30000_30002_1,30000_30003_1</v>
      </c>
    </row>
    <row r="1470" spans="1:14">
      <c r="A1470" s="1" t="str">
        <f>equip.xml!A1474</f>
        <v>50303060</v>
      </c>
      <c r="B1470" s="1">
        <f>equip.xml!B1474</f>
        <v>1</v>
      </c>
      <c r="C1470" s="1" t="str">
        <f>equip.xml!C1474</f>
        <v>神圣典籍</v>
      </c>
      <c r="D1470" s="1" t="str">
        <f>equip.xml!D1474</f>
        <v>副手武器</v>
      </c>
      <c r="E1470" s="1">
        <f>equip.xml!E1474</f>
        <v>6</v>
      </c>
      <c r="F1470" s="1">
        <f>equip.xml!F1474</f>
        <v>5</v>
      </c>
      <c r="G1470" s="1">
        <f>equip.xml!G1474</f>
        <v>30</v>
      </c>
      <c r="H1470" s="1" t="str">
        <f>equip.xml!H1474</f>
        <v>3,1003</v>
      </c>
      <c r="I1470" s="1">
        <f>equip.xml!J1474</f>
        <v>150</v>
      </c>
      <c r="J1470" s="1">
        <f>equip.xml!K1474</f>
        <v>1500</v>
      </c>
      <c r="K1470" s="1">
        <f>equip.xml!L1474</f>
        <v>17500</v>
      </c>
      <c r="L1470" s="1" t="str">
        <f>equip.xml!M1474</f>
        <v>102_880_880</v>
      </c>
      <c r="M1470" s="7" t="str">
        <f>equip.xml!Q1474</f>
        <v>equipment/2307.png</v>
      </c>
      <c r="N1470" t="str">
        <f>equip.xml!P1474</f>
        <v>10000_1002_30000,30000_30001_1,30000_30002_1,30000_30003_1</v>
      </c>
    </row>
    <row r="1471" spans="1:14">
      <c r="A1471" s="1" t="str">
        <f>equip.xml!A1475</f>
        <v>50303061</v>
      </c>
      <c r="B1471" s="1">
        <f>equip.xml!B1475</f>
        <v>0</v>
      </c>
      <c r="C1471" s="1" t="str">
        <f>equip.xml!C1475</f>
        <v>召唤之书</v>
      </c>
      <c r="D1471" s="1" t="str">
        <f>equip.xml!D1475</f>
        <v>副手武器</v>
      </c>
      <c r="E1471" s="1">
        <f>equip.xml!E1475</f>
        <v>6</v>
      </c>
      <c r="F1471" s="1">
        <f>equip.xml!F1475</f>
        <v>5</v>
      </c>
      <c r="G1471" s="1">
        <f>equip.xml!G1475</f>
        <v>30</v>
      </c>
      <c r="H1471" s="1" t="str">
        <f>equip.xml!H1475</f>
        <v>3,1003</v>
      </c>
      <c r="I1471" s="1">
        <f>equip.xml!J1475</f>
        <v>150</v>
      </c>
      <c r="J1471" s="1">
        <f>equip.xml!K1475</f>
        <v>1500</v>
      </c>
      <c r="K1471" s="1">
        <f>equip.xml!L1475</f>
        <v>20000</v>
      </c>
      <c r="L1471" s="1" t="str">
        <f>equip.xml!M1475</f>
        <v>102_944_944</v>
      </c>
      <c r="M1471" s="7" t="str">
        <f>equip.xml!Q1475</f>
        <v>equipment/2308.png</v>
      </c>
      <c r="N1471" t="str">
        <f>equip.xml!P1475</f>
        <v>10000_1002_30000,30000_30001_1,30000_30002_1,30000_30003_1</v>
      </c>
    </row>
    <row r="1472" spans="1:14">
      <c r="A1472" s="1" t="str">
        <f>equip.xml!A1476</f>
        <v>50300040</v>
      </c>
      <c r="B1472" s="1">
        <f>equip.xml!B1476</f>
        <v>1</v>
      </c>
      <c r="C1472" s="1" t="str">
        <f>equip.xml!C1476</f>
        <v>水滴胸铠</v>
      </c>
      <c r="D1472" s="1" t="str">
        <f>equip.xml!D1476</f>
        <v>胸甲</v>
      </c>
      <c r="E1472" s="1">
        <f>equip.xml!E1476</f>
        <v>4</v>
      </c>
      <c r="F1472" s="1">
        <f>equip.xml!F1476</f>
        <v>5</v>
      </c>
      <c r="G1472" s="1">
        <f>equip.xml!G1476</f>
        <v>30</v>
      </c>
      <c r="H1472" s="1">
        <f>equip.xml!H1476</f>
        <v>0</v>
      </c>
      <c r="I1472" s="1">
        <f>equip.xml!J1476</f>
        <v>150</v>
      </c>
      <c r="J1472" s="1">
        <f>equip.xml!K1476</f>
        <v>1500</v>
      </c>
      <c r="K1472" s="1">
        <f>equip.xml!L1476</f>
        <v>17500</v>
      </c>
      <c r="L1472" s="1" t="str">
        <f>equip.xml!M1476</f>
        <v>105_216_216</v>
      </c>
      <c r="M1472" s="7" t="str">
        <f>equip.xml!Q1476</f>
        <v>equipment/5008.png</v>
      </c>
      <c r="N1472" t="str">
        <f>equip.xml!P1476</f>
        <v>10000_1002_30000,30000_30001_1,30000_30002_1,30000_30003_1</v>
      </c>
    </row>
    <row r="1473" spans="1:14">
      <c r="A1473" s="1" t="str">
        <f>equip.xml!A1477</f>
        <v>50300041</v>
      </c>
      <c r="B1473" s="1">
        <f>equip.xml!B1477</f>
        <v>1</v>
      </c>
      <c r="C1473" s="1" t="str">
        <f>equip.xml!C1477</f>
        <v>防卫者外套</v>
      </c>
      <c r="D1473" s="1" t="str">
        <f>equip.xml!D1477</f>
        <v>胸甲</v>
      </c>
      <c r="E1473" s="1">
        <f>equip.xml!E1477</f>
        <v>4</v>
      </c>
      <c r="F1473" s="1">
        <f>equip.xml!F1477</f>
        <v>5</v>
      </c>
      <c r="G1473" s="1">
        <f>equip.xml!G1477</f>
        <v>30</v>
      </c>
      <c r="H1473" s="1">
        <f>equip.xml!H1477</f>
        <v>0</v>
      </c>
      <c r="I1473" s="1">
        <f>equip.xml!J1477</f>
        <v>150</v>
      </c>
      <c r="J1473" s="1">
        <f>equip.xml!K1477</f>
        <v>1500</v>
      </c>
      <c r="K1473" s="1">
        <f>equip.xml!L1477</f>
        <v>20000</v>
      </c>
      <c r="L1473" s="1" t="str">
        <f>equip.xml!M1477</f>
        <v>105_247_247</v>
      </c>
      <c r="M1473" s="7" t="str">
        <f>equip.xml!Q1477</f>
        <v>equipment/5009.png</v>
      </c>
      <c r="N1473" t="str">
        <f>equip.xml!P1477</f>
        <v>10000_1002_30000,30000_30001_1,30000_30002_1,30000_30003_1</v>
      </c>
    </row>
    <row r="1474" spans="1:14">
      <c r="A1474" s="1" t="str">
        <f>equip.xml!A1478</f>
        <v>50300070</v>
      </c>
      <c r="B1474" s="1">
        <f>equip.xml!B1478</f>
        <v>1</v>
      </c>
      <c r="C1474" s="1" t="str">
        <f>equip.xml!C1478</f>
        <v>游侠护腿</v>
      </c>
      <c r="D1474" s="1" t="str">
        <f>equip.xml!D1478</f>
        <v>护腿</v>
      </c>
      <c r="E1474" s="1">
        <f>equip.xml!E1478</f>
        <v>7</v>
      </c>
      <c r="F1474" s="1">
        <f>equip.xml!F1478</f>
        <v>5</v>
      </c>
      <c r="G1474" s="1">
        <f>equip.xml!G1478</f>
        <v>30</v>
      </c>
      <c r="H1474" s="1">
        <f>equip.xml!H1478</f>
        <v>0</v>
      </c>
      <c r="I1474" s="1">
        <f>equip.xml!J1478</f>
        <v>150</v>
      </c>
      <c r="J1474" s="1">
        <f>equip.xml!K1478</f>
        <v>1500</v>
      </c>
      <c r="K1474" s="1">
        <f>equip.xml!L1478</f>
        <v>17500</v>
      </c>
      <c r="L1474" s="1" t="str">
        <f>equip.xml!M1478</f>
        <v>105_216_216</v>
      </c>
      <c r="M1474" s="7" t="str">
        <f>equip.xml!Q1478</f>
        <v>equipment/7007.png</v>
      </c>
      <c r="N1474" t="str">
        <f>equip.xml!P1478</f>
        <v>10000_1002_30000,30000_30001_1,30000_30002_1,30000_30003_1</v>
      </c>
    </row>
    <row r="1475" spans="1:14">
      <c r="A1475" s="1" t="str">
        <f>equip.xml!A1479</f>
        <v>50300071</v>
      </c>
      <c r="B1475" s="1">
        <f>equip.xml!B1479</f>
        <v>1</v>
      </c>
      <c r="C1475" s="1" t="str">
        <f>equip.xml!C1479</f>
        <v>逐风护腿</v>
      </c>
      <c r="D1475" s="1" t="str">
        <f>equip.xml!D1479</f>
        <v>护腿</v>
      </c>
      <c r="E1475" s="1">
        <f>equip.xml!E1479</f>
        <v>7</v>
      </c>
      <c r="F1475" s="1">
        <f>equip.xml!F1479</f>
        <v>5</v>
      </c>
      <c r="G1475" s="1">
        <f>equip.xml!G1479</f>
        <v>30</v>
      </c>
      <c r="H1475" s="1">
        <f>equip.xml!H1479</f>
        <v>0</v>
      </c>
      <c r="I1475" s="1">
        <f>equip.xml!J1479</f>
        <v>150</v>
      </c>
      <c r="J1475" s="1">
        <f>equip.xml!K1479</f>
        <v>1500</v>
      </c>
      <c r="K1475" s="1">
        <f>equip.xml!L1479</f>
        <v>20000</v>
      </c>
      <c r="L1475" s="1" t="str">
        <f>equip.xml!M1479</f>
        <v>105_247_247</v>
      </c>
      <c r="M1475" s="7" t="str">
        <f>equip.xml!Q1479</f>
        <v>equipment/7008.png</v>
      </c>
      <c r="N1475" t="str">
        <f>equip.xml!P1479</f>
        <v>10000_1002_30000,30000_30001_1,30000_30002_1,30000_30003_1</v>
      </c>
    </row>
    <row r="1476" spans="1:14">
      <c r="A1476" s="1" t="str">
        <f>equip.xml!A1480</f>
        <v>50350010</v>
      </c>
      <c r="B1476" s="1">
        <f>equip.xml!B1480</f>
        <v>1</v>
      </c>
      <c r="C1476" s="1" t="str">
        <f>equip.xml!C1480</f>
        <v>镶带头盔</v>
      </c>
      <c r="D1476" s="1" t="str">
        <f>equip.xml!D1480</f>
        <v>头盔</v>
      </c>
      <c r="E1476" s="1">
        <f>equip.xml!E1480</f>
        <v>1</v>
      </c>
      <c r="F1476" s="1">
        <f>equip.xml!F1480</f>
        <v>5</v>
      </c>
      <c r="G1476" s="1">
        <f>equip.xml!G1480</f>
        <v>35</v>
      </c>
      <c r="H1476" s="1">
        <f>equip.xml!H1480</f>
        <v>0</v>
      </c>
      <c r="I1476" s="1">
        <f>equip.xml!J1480</f>
        <v>150</v>
      </c>
      <c r="J1476" s="1">
        <f>equip.xml!K1480</f>
        <v>1500</v>
      </c>
      <c r="K1476" s="1">
        <f>equip.xml!L1480</f>
        <v>20000</v>
      </c>
      <c r="L1476" s="1" t="str">
        <f>equip.xml!M1480</f>
        <v>106_596_596</v>
      </c>
      <c r="M1476" s="7" t="str">
        <f>equip.xml!Q1480</f>
        <v>equipment/3006.png</v>
      </c>
      <c r="N1476" t="str">
        <f>equip.xml!P1480</f>
        <v>10000_1002_35000,30000_30001_1,30000_30002_1,30000_30003_1</v>
      </c>
    </row>
    <row r="1477" spans="1:14">
      <c r="A1477" s="1" t="str">
        <f>equip.xml!A1481</f>
        <v>50350020</v>
      </c>
      <c r="B1477" s="1">
        <f>equip.xml!B1481</f>
        <v>1</v>
      </c>
      <c r="C1477" s="1" t="str">
        <f>equip.xml!C1481</f>
        <v>烈焰指环</v>
      </c>
      <c r="D1477" s="1" t="str">
        <f>equip.xml!D1481</f>
        <v>戒指</v>
      </c>
      <c r="E1477" s="1">
        <f>equip.xml!E1481</f>
        <v>2</v>
      </c>
      <c r="F1477" s="1">
        <f>equip.xml!F1481</f>
        <v>5</v>
      </c>
      <c r="G1477" s="1">
        <f>equip.xml!G1481</f>
        <v>35</v>
      </c>
      <c r="H1477" s="1">
        <f>equip.xml!H1481</f>
        <v>0</v>
      </c>
      <c r="I1477" s="1">
        <f>equip.xml!J1481</f>
        <v>150</v>
      </c>
      <c r="J1477" s="1">
        <f>equip.xml!K1481</f>
        <v>1500</v>
      </c>
      <c r="K1477" s="1">
        <f>equip.xml!L1481</f>
        <v>20000</v>
      </c>
      <c r="L1477" s="1" t="str">
        <f>equip.xml!M1481</f>
        <v>102_590_590</v>
      </c>
      <c r="M1477" s="7" t="str">
        <f>equip.xml!Q1481</f>
        <v>equipment/14006.png</v>
      </c>
      <c r="N1477" t="str">
        <f>equip.xml!P1481</f>
        <v>10000_1002_35000,30000_30001_1,30000_30002_1,30000_30003_1</v>
      </c>
    </row>
    <row r="1478" spans="1:14">
      <c r="A1478" s="1" t="str">
        <f>equip.xml!A1482</f>
        <v>50350030</v>
      </c>
      <c r="B1478" s="1">
        <f>equip.xml!B1482</f>
        <v>1</v>
      </c>
      <c r="C1478" s="1" t="str">
        <f>equip.xml!C1482</f>
        <v>斗士腰带</v>
      </c>
      <c r="D1478" s="1" t="str">
        <f>equip.xml!D1482</f>
        <v>腰带</v>
      </c>
      <c r="E1478" s="1">
        <f>equip.xml!E1482</f>
        <v>3</v>
      </c>
      <c r="F1478" s="1">
        <f>equip.xml!F1482</f>
        <v>5</v>
      </c>
      <c r="G1478" s="1">
        <f>equip.xml!G1482</f>
        <v>35</v>
      </c>
      <c r="H1478" s="1">
        <f>equip.xml!H1482</f>
        <v>0</v>
      </c>
      <c r="I1478" s="1">
        <f>equip.xml!J1482</f>
        <v>150</v>
      </c>
      <c r="J1478" s="1">
        <f>equip.xml!K1482</f>
        <v>1500</v>
      </c>
      <c r="K1478" s="1">
        <f>equip.xml!L1482</f>
        <v>20000</v>
      </c>
      <c r="L1478" s="1" t="str">
        <f>equip.xml!M1482</f>
        <v>101_4900_4900</v>
      </c>
      <c r="M1478" s="7" t="str">
        <f>equip.xml!Q1482</f>
        <v>equipment/6006.png</v>
      </c>
      <c r="N1478" t="str">
        <f>equip.xml!P1482</f>
        <v>10000_1002_35000,30000_30001_1,30000_30002_1,30000_30003_1</v>
      </c>
    </row>
    <row r="1479" spans="1:14">
      <c r="A1479" s="1" t="str">
        <f>equip.xml!A1483</f>
        <v>50350080</v>
      </c>
      <c r="B1479" s="1">
        <f>equip.xml!B1483</f>
        <v>1</v>
      </c>
      <c r="C1479" s="1" t="str">
        <f>equip.xml!C1483</f>
        <v>混乱之靴</v>
      </c>
      <c r="D1479" s="1" t="str">
        <f>equip.xml!D1483</f>
        <v>鞋子</v>
      </c>
      <c r="E1479" s="1">
        <f>equip.xml!E1483</f>
        <v>8</v>
      </c>
      <c r="F1479" s="1">
        <f>equip.xml!F1483</f>
        <v>5</v>
      </c>
      <c r="G1479" s="1">
        <f>equip.xml!G1483</f>
        <v>35</v>
      </c>
      <c r="H1479" s="1">
        <f>equip.xml!H1483</f>
        <v>0</v>
      </c>
      <c r="I1479" s="1">
        <f>equip.xml!J1483</f>
        <v>150</v>
      </c>
      <c r="J1479" s="1">
        <f>equip.xml!K1483</f>
        <v>1500</v>
      </c>
      <c r="K1479" s="1">
        <f>equip.xml!L1483</f>
        <v>20000</v>
      </c>
      <c r="L1479" s="1" t="str">
        <f>equip.xml!M1483</f>
        <v>110_82_82</v>
      </c>
      <c r="M1479" s="7" t="str">
        <f>equip.xml!Q1483</f>
        <v>equipment/8006.png</v>
      </c>
      <c r="N1479" t="str">
        <f>equip.xml!P1483</f>
        <v>10000_1002_35000,30000_30001_1,30000_30002_1,30000_30003_1</v>
      </c>
    </row>
    <row r="1480" spans="1:14">
      <c r="A1480" s="1" t="str">
        <f>equip.xml!A1484</f>
        <v>50350090</v>
      </c>
      <c r="B1480" s="1">
        <f>equip.xml!B1484</f>
        <v>1</v>
      </c>
      <c r="C1480" s="1" t="str">
        <f>equip.xml!C1484</f>
        <v>激励手甲</v>
      </c>
      <c r="D1480" s="1" t="str">
        <f>equip.xml!D1484</f>
        <v>手套</v>
      </c>
      <c r="E1480" s="1">
        <f>equip.xml!E1484</f>
        <v>9</v>
      </c>
      <c r="F1480" s="1">
        <f>equip.xml!F1484</f>
        <v>5</v>
      </c>
      <c r="G1480" s="1">
        <f>equip.xml!G1484</f>
        <v>35</v>
      </c>
      <c r="H1480" s="1">
        <f>equip.xml!H1484</f>
        <v>0</v>
      </c>
      <c r="I1480" s="1">
        <f>equip.xml!J1484</f>
        <v>150</v>
      </c>
      <c r="J1480" s="1">
        <f>equip.xml!K1484</f>
        <v>1500</v>
      </c>
      <c r="K1480" s="1">
        <f>equip.xml!L1484</f>
        <v>20000</v>
      </c>
      <c r="L1480" s="1" t="str">
        <f>equip.xml!M1484</f>
        <v>108_588_588</v>
      </c>
      <c r="M1480" s="7" t="str">
        <f>equip.xml!Q1484</f>
        <v>equipment/10006.png</v>
      </c>
      <c r="N1480" t="str">
        <f>equip.xml!P1484</f>
        <v>10000_1002_35000,30000_30001_1,30000_30002_1,30000_30003_1</v>
      </c>
    </row>
    <row r="1481" spans="1:14">
      <c r="A1481" s="1" t="str">
        <f>equip.xml!A1485</f>
        <v>50350100</v>
      </c>
      <c r="B1481" s="1">
        <f>equip.xml!B1485</f>
        <v>1</v>
      </c>
      <c r="C1481" s="1" t="str">
        <f>equip.xml!C1485</f>
        <v>苍蓝挂坠</v>
      </c>
      <c r="D1481" s="1" t="str">
        <f>equip.xml!D1485</f>
        <v>项链</v>
      </c>
      <c r="E1481" s="1">
        <f>equip.xml!E1485</f>
        <v>10</v>
      </c>
      <c r="F1481" s="1">
        <f>equip.xml!F1485</f>
        <v>5</v>
      </c>
      <c r="G1481" s="1">
        <f>equip.xml!G1485</f>
        <v>35</v>
      </c>
      <c r="H1481" s="1">
        <f>equip.xml!H1485</f>
        <v>0</v>
      </c>
      <c r="I1481" s="1">
        <f>equip.xml!J1485</f>
        <v>150</v>
      </c>
      <c r="J1481" s="1">
        <f>equip.xml!K1485</f>
        <v>1500</v>
      </c>
      <c r="K1481" s="1">
        <f>equip.xml!L1485</f>
        <v>20000</v>
      </c>
      <c r="L1481" s="1" t="str">
        <f>equip.xml!M1485</f>
        <v>107_542_542</v>
      </c>
      <c r="M1481" s="7" t="str">
        <f>equip.xml!Q1485</f>
        <v>equipment/12006.png</v>
      </c>
      <c r="N1481" t="str">
        <f>equip.xml!P1485</f>
        <v>10000_1002_35000,30000_30001_1,30000_30002_1,30000_30003_1</v>
      </c>
    </row>
    <row r="1482" spans="1:14">
      <c r="A1482" s="1" t="str">
        <f>equip.xml!A1486</f>
        <v>50351050</v>
      </c>
      <c r="B1482" s="1">
        <f>equip.xml!B1486</f>
        <v>1</v>
      </c>
      <c r="C1482" s="1" t="str">
        <f>equip.xml!C1486</f>
        <v>水晶剑</v>
      </c>
      <c r="D1482" s="1" t="str">
        <f>equip.xml!D1486</f>
        <v>主手武器</v>
      </c>
      <c r="E1482" s="1">
        <f>equip.xml!E1486</f>
        <v>5</v>
      </c>
      <c r="F1482" s="1">
        <f>equip.xml!F1486</f>
        <v>5</v>
      </c>
      <c r="G1482" s="1">
        <f>equip.xml!G1486</f>
        <v>35</v>
      </c>
      <c r="H1482" s="1" t="str">
        <f>equip.xml!H1486</f>
        <v>1,1001</v>
      </c>
      <c r="I1482" s="1">
        <f>equip.xml!J1486</f>
        <v>150</v>
      </c>
      <c r="J1482" s="1">
        <f>equip.xml!K1486</f>
        <v>1500</v>
      </c>
      <c r="K1482" s="1">
        <f>equip.xml!L1486</f>
        <v>20000</v>
      </c>
      <c r="L1482" s="1" t="str">
        <f>equip.xml!M1486</f>
        <v>103_443_443,104_886_886</v>
      </c>
      <c r="M1482" s="7" t="str">
        <f>equip.xml!Q1486</f>
        <v>equipment/1114.png</v>
      </c>
      <c r="N1482" t="str">
        <f>equip.xml!P1486</f>
        <v>10000_1002_35000,30000_30001_1,30000_30002_1,30000_30003_1</v>
      </c>
    </row>
    <row r="1483" spans="1:14">
      <c r="A1483" s="1" t="str">
        <f>equip.xml!A1487</f>
        <v>50351051</v>
      </c>
      <c r="B1483" s="1">
        <f>equip.xml!B1487</f>
        <v>0</v>
      </c>
      <c r="C1483" s="1" t="str">
        <f>equip.xml!C1487</f>
        <v>军刀</v>
      </c>
      <c r="D1483" s="1" t="str">
        <f>equip.xml!D1487</f>
        <v>主手武器</v>
      </c>
      <c r="E1483" s="1">
        <f>equip.xml!E1487</f>
        <v>5</v>
      </c>
      <c r="F1483" s="1">
        <f>equip.xml!F1487</f>
        <v>5</v>
      </c>
      <c r="G1483" s="1">
        <f>equip.xml!G1487</f>
        <v>35</v>
      </c>
      <c r="H1483" s="1" t="str">
        <f>equip.xml!H1487</f>
        <v>1,1001</v>
      </c>
      <c r="I1483" s="1">
        <f>equip.xml!J1487</f>
        <v>150</v>
      </c>
      <c r="J1483" s="1">
        <f>equip.xml!K1487</f>
        <v>1500</v>
      </c>
      <c r="K1483" s="1">
        <f>equip.xml!L1487</f>
        <v>22500</v>
      </c>
      <c r="L1483" s="1" t="str">
        <f>equip.xml!M1487</f>
        <v>103_533_533,104_1066_1066</v>
      </c>
      <c r="M1483" s="7" t="str">
        <f>equip.xml!Q1487</f>
        <v>equipment/1101.png</v>
      </c>
      <c r="N1483" t="str">
        <f>equip.xml!P1487</f>
        <v>10000_1002_35000,30000_30001_1,30000_30002_1,30000_30003_1</v>
      </c>
    </row>
    <row r="1484" spans="1:14">
      <c r="A1484" s="1" t="str">
        <f>equip.xml!A1488</f>
        <v>50351060</v>
      </c>
      <c r="B1484" s="1">
        <f>equip.xml!B1488</f>
        <v>1</v>
      </c>
      <c r="C1484" s="1" t="str">
        <f>equip.xml!C1488</f>
        <v>符记盾牌</v>
      </c>
      <c r="D1484" s="1" t="str">
        <f>equip.xml!D1488</f>
        <v>副手武器</v>
      </c>
      <c r="E1484" s="1">
        <f>equip.xml!E1488</f>
        <v>6</v>
      </c>
      <c r="F1484" s="1">
        <f>equip.xml!F1488</f>
        <v>5</v>
      </c>
      <c r="G1484" s="1">
        <f>equip.xml!G1488</f>
        <v>35</v>
      </c>
      <c r="H1484" s="1" t="str">
        <f>equip.xml!H1488</f>
        <v>1,1001</v>
      </c>
      <c r="I1484" s="1">
        <f>equip.xml!J1488</f>
        <v>150</v>
      </c>
      <c r="J1484" s="1">
        <f>equip.xml!K1488</f>
        <v>1500</v>
      </c>
      <c r="K1484" s="1">
        <f>equip.xml!L1488</f>
        <v>20000</v>
      </c>
      <c r="L1484" s="1" t="str">
        <f>equip.xml!M1488</f>
        <v>105_676_676</v>
      </c>
      <c r="M1484" s="7" t="str">
        <f>equip.xml!Q1488</f>
        <v>equipment/2108.png</v>
      </c>
      <c r="N1484" t="str">
        <f>equip.xml!P1488</f>
        <v>10000_1002_35000,30000_30001_1,30000_30002_1,30000_30003_1</v>
      </c>
    </row>
    <row r="1485" spans="1:14">
      <c r="A1485" s="1" t="str">
        <f>equip.xml!A1489</f>
        <v>50351061</v>
      </c>
      <c r="B1485" s="1">
        <f>equip.xml!B1489</f>
        <v>1</v>
      </c>
      <c r="C1485" s="1" t="str">
        <f>equip.xml!C1489</f>
        <v>秩序盾牌</v>
      </c>
      <c r="D1485" s="1" t="str">
        <f>equip.xml!D1489</f>
        <v>副手武器</v>
      </c>
      <c r="E1485" s="1">
        <f>equip.xml!E1489</f>
        <v>6</v>
      </c>
      <c r="F1485" s="1">
        <f>equip.xml!F1489</f>
        <v>5</v>
      </c>
      <c r="G1485" s="1">
        <f>equip.xml!G1489</f>
        <v>35</v>
      </c>
      <c r="H1485" s="1" t="str">
        <f>equip.xml!H1489</f>
        <v>1,1001</v>
      </c>
      <c r="I1485" s="1">
        <f>equip.xml!J1489</f>
        <v>150</v>
      </c>
      <c r="J1485" s="1">
        <f>equip.xml!K1489</f>
        <v>1500</v>
      </c>
      <c r="K1485" s="1">
        <f>equip.xml!L1489</f>
        <v>22500</v>
      </c>
      <c r="L1485" s="1" t="str">
        <f>equip.xml!M1489</f>
        <v>105_758_758</v>
      </c>
      <c r="M1485" s="7" t="str">
        <f>equip.xml!Q1489</f>
        <v>equipment/2117.png</v>
      </c>
      <c r="N1485" t="str">
        <f>equip.xml!P1489</f>
        <v>10000_1002_35000,30000_30001_1,30000_30002_1,30000_30003_1</v>
      </c>
    </row>
    <row r="1486" spans="1:14">
      <c r="A1486" s="1" t="str">
        <f>equip.xml!A1490</f>
        <v>50352050</v>
      </c>
      <c r="B1486" s="1">
        <f>equip.xml!B1490</f>
        <v>1</v>
      </c>
      <c r="C1486" s="1" t="str">
        <f>equip.xml!C1490</f>
        <v>风语者弯弓</v>
      </c>
      <c r="D1486" s="1" t="str">
        <f>equip.xml!D1490</f>
        <v>主手武器</v>
      </c>
      <c r="E1486" s="1">
        <f>equip.xml!E1490</f>
        <v>5</v>
      </c>
      <c r="F1486" s="1">
        <f>equip.xml!F1490</f>
        <v>5</v>
      </c>
      <c r="G1486" s="1">
        <f>equip.xml!G1490</f>
        <v>35</v>
      </c>
      <c r="H1486" s="1" t="str">
        <f>equip.xml!H1490</f>
        <v>2,1002</v>
      </c>
      <c r="I1486" s="1">
        <f>equip.xml!J1490</f>
        <v>150</v>
      </c>
      <c r="J1486" s="1">
        <f>equip.xml!K1490</f>
        <v>1500</v>
      </c>
      <c r="K1486" s="1">
        <f>equip.xml!L1490</f>
        <v>20000</v>
      </c>
      <c r="L1486" s="1" t="str">
        <f>equip.xml!M1490</f>
        <v>103_443_443,104_886_886</v>
      </c>
      <c r="M1486" s="7" t="str">
        <f>equip.xml!Q1490</f>
        <v>equipment/1213.png</v>
      </c>
      <c r="N1486" t="str">
        <f>equip.xml!P1490</f>
        <v>10000_1002_35000,30000_30001_1,30000_30002_1,30000_30003_1</v>
      </c>
    </row>
    <row r="1487" spans="1:14">
      <c r="A1487" s="1" t="str">
        <f>equip.xml!A1491</f>
        <v>50352051</v>
      </c>
      <c r="B1487" s="1">
        <f>equip.xml!B1491</f>
        <v>0</v>
      </c>
      <c r="C1487" s="1" t="str">
        <f>equip.xml!C1491</f>
        <v>棘木弓</v>
      </c>
      <c r="D1487" s="1" t="str">
        <f>equip.xml!D1491</f>
        <v>主手武器</v>
      </c>
      <c r="E1487" s="1">
        <f>equip.xml!E1491</f>
        <v>5</v>
      </c>
      <c r="F1487" s="1">
        <f>equip.xml!F1491</f>
        <v>5</v>
      </c>
      <c r="G1487" s="1">
        <f>equip.xml!G1491</f>
        <v>35</v>
      </c>
      <c r="H1487" s="1" t="str">
        <f>equip.xml!H1491</f>
        <v>2,1002</v>
      </c>
      <c r="I1487" s="1">
        <f>equip.xml!J1491</f>
        <v>150</v>
      </c>
      <c r="J1487" s="1">
        <f>equip.xml!K1491</f>
        <v>1500</v>
      </c>
      <c r="K1487" s="1">
        <f>equip.xml!L1491</f>
        <v>22500</v>
      </c>
      <c r="L1487" s="1" t="str">
        <f>equip.xml!M1491</f>
        <v>103_533_533,104_1066_1066</v>
      </c>
      <c r="M1487" s="7" t="str">
        <f>equip.xml!Q1491</f>
        <v>equipment/1201.png</v>
      </c>
      <c r="N1487" t="str">
        <f>equip.xml!P1491</f>
        <v>10000_1002_35000,30000_30001_1,30000_30002_1,30000_30003_1</v>
      </c>
    </row>
    <row r="1488" spans="1:14">
      <c r="A1488" s="1" t="str">
        <f>equip.xml!A1492</f>
        <v>50352060</v>
      </c>
      <c r="B1488" s="1">
        <f>equip.xml!B1492</f>
        <v>1</v>
      </c>
      <c r="C1488" s="1" t="str">
        <f>equip.xml!C1492</f>
        <v>游侠箭筒</v>
      </c>
      <c r="D1488" s="1" t="str">
        <f>equip.xml!D1492</f>
        <v>副手武器</v>
      </c>
      <c r="E1488" s="1">
        <f>equip.xml!E1492</f>
        <v>6</v>
      </c>
      <c r="F1488" s="1">
        <f>equip.xml!F1492</f>
        <v>5</v>
      </c>
      <c r="G1488" s="1">
        <f>equip.xml!G1492</f>
        <v>35</v>
      </c>
      <c r="H1488" s="1" t="str">
        <f>equip.xml!H1492</f>
        <v>2,1002</v>
      </c>
      <c r="I1488" s="1">
        <f>equip.xml!J1492</f>
        <v>150</v>
      </c>
      <c r="J1488" s="1">
        <f>equip.xml!K1492</f>
        <v>1500</v>
      </c>
      <c r="K1488" s="1">
        <f>equip.xml!L1492</f>
        <v>20000</v>
      </c>
      <c r="L1488" s="1" t="str">
        <f>equip.xml!M1492</f>
        <v>108_676_676</v>
      </c>
      <c r="M1488" s="7" t="str">
        <f>equip.xml!Q1492</f>
        <v>equipment/2208.png</v>
      </c>
      <c r="N1488" t="str">
        <f>equip.xml!P1492</f>
        <v>10000_1002_35000,30000_30001_1,30000_30002_1,30000_30003_1</v>
      </c>
    </row>
    <row r="1489" spans="1:14">
      <c r="A1489" s="1" t="str">
        <f>equip.xml!A1493</f>
        <v>50352061</v>
      </c>
      <c r="B1489" s="1">
        <f>equip.xml!B1493</f>
        <v>1</v>
      </c>
      <c r="C1489" s="1" t="str">
        <f>equip.xml!C1493</f>
        <v>风行者箭筒</v>
      </c>
      <c r="D1489" s="1" t="str">
        <f>equip.xml!D1493</f>
        <v>副手武器</v>
      </c>
      <c r="E1489" s="1">
        <f>equip.xml!E1493</f>
        <v>6</v>
      </c>
      <c r="F1489" s="1">
        <f>equip.xml!F1493</f>
        <v>5</v>
      </c>
      <c r="G1489" s="1">
        <f>equip.xml!G1493</f>
        <v>35</v>
      </c>
      <c r="H1489" s="1" t="str">
        <f>equip.xml!H1493</f>
        <v>2,1002</v>
      </c>
      <c r="I1489" s="1">
        <f>equip.xml!J1493</f>
        <v>150</v>
      </c>
      <c r="J1489" s="1">
        <f>equip.xml!K1493</f>
        <v>1500</v>
      </c>
      <c r="K1489" s="1">
        <f>equip.xml!L1493</f>
        <v>22500</v>
      </c>
      <c r="L1489" s="1" t="str">
        <f>equip.xml!M1493</f>
        <v>108_758_758</v>
      </c>
      <c r="M1489" s="7" t="str">
        <f>equip.xml!Q1493</f>
        <v>equipment/2201.png</v>
      </c>
      <c r="N1489" t="str">
        <f>equip.xml!P1493</f>
        <v>10000_1002_35000,30000_30001_1,30000_30002_1,30000_30003_1</v>
      </c>
    </row>
    <row r="1490" spans="1:14">
      <c r="A1490" s="1" t="str">
        <f>equip.xml!A1494</f>
        <v>50353050</v>
      </c>
      <c r="B1490" s="1">
        <f>equip.xml!B1494</f>
        <v>1</v>
      </c>
      <c r="C1490" s="1" t="str">
        <f>equip.xml!C1494</f>
        <v>聚能之杖</v>
      </c>
      <c r="D1490" s="1" t="str">
        <f>equip.xml!D1494</f>
        <v>主手武器</v>
      </c>
      <c r="E1490" s="1">
        <f>equip.xml!E1494</f>
        <v>5</v>
      </c>
      <c r="F1490" s="1">
        <f>equip.xml!F1494</f>
        <v>5</v>
      </c>
      <c r="G1490" s="1">
        <f>equip.xml!G1494</f>
        <v>35</v>
      </c>
      <c r="H1490" s="1" t="str">
        <f>equip.xml!H1494</f>
        <v>3,1003</v>
      </c>
      <c r="I1490" s="1">
        <f>equip.xml!J1494</f>
        <v>150</v>
      </c>
      <c r="J1490" s="1">
        <f>equip.xml!K1494</f>
        <v>1500</v>
      </c>
      <c r="K1490" s="1">
        <f>equip.xml!L1494</f>
        <v>20000</v>
      </c>
      <c r="L1490" s="1" t="str">
        <f>equip.xml!M1494</f>
        <v>103_443_443,104_886_886</v>
      </c>
      <c r="M1490" s="7" t="str">
        <f>equip.xml!Q1494</f>
        <v>equipment/1314.png</v>
      </c>
      <c r="N1490" t="str">
        <f>equip.xml!P1494</f>
        <v>10000_1002_35000,30000_30001_1,30000_30002_1,30000_30003_1</v>
      </c>
    </row>
    <row r="1491" spans="1:14">
      <c r="A1491" s="1" t="str">
        <f>equip.xml!A1495</f>
        <v>50353051</v>
      </c>
      <c r="B1491" s="1">
        <f>equip.xml!B1495</f>
        <v>0</v>
      </c>
      <c r="C1491" s="1" t="str">
        <f>equip.xml!C1495</f>
        <v>学徒法杖</v>
      </c>
      <c r="D1491" s="1" t="str">
        <f>equip.xml!D1495</f>
        <v>主手武器</v>
      </c>
      <c r="E1491" s="1">
        <f>equip.xml!E1495</f>
        <v>5</v>
      </c>
      <c r="F1491" s="1">
        <f>equip.xml!F1495</f>
        <v>5</v>
      </c>
      <c r="G1491" s="1">
        <f>equip.xml!G1495</f>
        <v>35</v>
      </c>
      <c r="H1491" s="1" t="str">
        <f>equip.xml!H1495</f>
        <v>3,1003</v>
      </c>
      <c r="I1491" s="1">
        <f>equip.xml!J1495</f>
        <v>150</v>
      </c>
      <c r="J1491" s="1">
        <f>equip.xml!K1495</f>
        <v>1500</v>
      </c>
      <c r="K1491" s="1">
        <f>equip.xml!L1495</f>
        <v>22500</v>
      </c>
      <c r="L1491" s="1" t="str">
        <f>equip.xml!M1495</f>
        <v>103_533_533,104_1066_1066</v>
      </c>
      <c r="M1491" s="7" t="str">
        <f>equip.xml!Q1495</f>
        <v>equipment/1301.png</v>
      </c>
      <c r="N1491" t="str">
        <f>equip.xml!P1495</f>
        <v>10000_1002_35000,30000_30001_1,30000_30002_1,30000_30003_1</v>
      </c>
    </row>
    <row r="1492" spans="1:14">
      <c r="A1492" s="1" t="str">
        <f>equip.xml!A1496</f>
        <v>50353060</v>
      </c>
      <c r="B1492" s="1">
        <f>equip.xml!B1496</f>
        <v>1</v>
      </c>
      <c r="C1492" s="1" t="str">
        <f>equip.xml!C1496</f>
        <v>召唤魔典</v>
      </c>
      <c r="D1492" s="1" t="str">
        <f>equip.xml!D1496</f>
        <v>副手武器</v>
      </c>
      <c r="E1492" s="1">
        <f>equip.xml!E1496</f>
        <v>6</v>
      </c>
      <c r="F1492" s="1">
        <f>equip.xml!F1496</f>
        <v>5</v>
      </c>
      <c r="G1492" s="1">
        <f>equip.xml!G1496</f>
        <v>35</v>
      </c>
      <c r="H1492" s="1" t="str">
        <f>equip.xml!H1496</f>
        <v>3,1003</v>
      </c>
      <c r="I1492" s="1">
        <f>equip.xml!J1496</f>
        <v>150</v>
      </c>
      <c r="J1492" s="1">
        <f>equip.xml!K1496</f>
        <v>1500</v>
      </c>
      <c r="K1492" s="1">
        <f>equip.xml!L1496</f>
        <v>20000</v>
      </c>
      <c r="L1492" s="1" t="str">
        <f>equip.xml!M1496</f>
        <v>102_1040_1040</v>
      </c>
      <c r="M1492" s="7" t="str">
        <f>equip.xml!Q1496</f>
        <v>equipment/2308.png</v>
      </c>
      <c r="N1492" t="str">
        <f>equip.xml!P1496</f>
        <v>10000_1002_35000,30000_30001_1,30000_30002_1,30000_30003_1</v>
      </c>
    </row>
    <row r="1493" spans="1:14">
      <c r="A1493" s="1" t="str">
        <f>equip.xml!A1497</f>
        <v>50353061</v>
      </c>
      <c r="B1493" s="1">
        <f>equip.xml!B1497</f>
        <v>1</v>
      </c>
      <c r="C1493" s="1" t="str">
        <f>equip.xml!C1497</f>
        <v>大法师之书</v>
      </c>
      <c r="D1493" s="1" t="str">
        <f>equip.xml!D1497</f>
        <v>副手武器</v>
      </c>
      <c r="E1493" s="1">
        <f>equip.xml!E1497</f>
        <v>6</v>
      </c>
      <c r="F1493" s="1">
        <f>equip.xml!F1497</f>
        <v>5</v>
      </c>
      <c r="G1493" s="1">
        <f>equip.xml!G1497</f>
        <v>35</v>
      </c>
      <c r="H1493" s="1" t="str">
        <f>equip.xml!H1497</f>
        <v>3,1003</v>
      </c>
      <c r="I1493" s="1">
        <f>equip.xml!J1497</f>
        <v>150</v>
      </c>
      <c r="J1493" s="1">
        <f>equip.xml!K1497</f>
        <v>1500</v>
      </c>
      <c r="K1493" s="1">
        <f>equip.xml!L1497</f>
        <v>22500</v>
      </c>
      <c r="L1493" s="1" t="str">
        <f>equip.xml!M1497</f>
        <v>102_1120_1120</v>
      </c>
      <c r="M1493" s="7" t="str">
        <f>equip.xml!Q1497</f>
        <v>equipment/2314.png</v>
      </c>
      <c r="N1493" t="str">
        <f>equip.xml!P1497</f>
        <v>10000_1002_35000,30000_30001_1,30000_30002_1,30000_30003_1</v>
      </c>
    </row>
    <row r="1494" spans="1:14">
      <c r="A1494" s="1" t="str">
        <f>equip.xml!A1498</f>
        <v>50350040</v>
      </c>
      <c r="B1494" s="1">
        <f>equip.xml!B1498</f>
        <v>1</v>
      </c>
      <c r="C1494" s="1" t="str">
        <f>equip.xml!C1498</f>
        <v>蛮兽胸甲</v>
      </c>
      <c r="D1494" s="1" t="str">
        <f>equip.xml!D1498</f>
        <v>胸甲</v>
      </c>
      <c r="E1494" s="1">
        <f>equip.xml!E1498</f>
        <v>4</v>
      </c>
      <c r="F1494" s="1">
        <f>equip.xml!F1498</f>
        <v>5</v>
      </c>
      <c r="G1494" s="1">
        <f>equip.xml!G1498</f>
        <v>35</v>
      </c>
      <c r="H1494" s="1">
        <f>equip.xml!H1498</f>
        <v>0</v>
      </c>
      <c r="I1494" s="1">
        <f>equip.xml!J1498</f>
        <v>150</v>
      </c>
      <c r="J1494" s="1">
        <f>equip.xml!K1498</f>
        <v>1500</v>
      </c>
      <c r="K1494" s="1">
        <f>equip.xml!L1498</f>
        <v>20000</v>
      </c>
      <c r="L1494" s="1" t="str">
        <f>equip.xml!M1498</f>
        <v>105_293_293</v>
      </c>
      <c r="M1494" s="7" t="str">
        <f>equip.xml!Q1498</f>
        <v>equipment/5011.png</v>
      </c>
      <c r="N1494" t="str">
        <f>equip.xml!P1498</f>
        <v>10000_1002_35000,30000_30001_1,30000_30002_1,30000_30003_1</v>
      </c>
    </row>
    <row r="1495" spans="1:14">
      <c r="A1495" s="1" t="str">
        <f>equip.xml!A1499</f>
        <v>50350041</v>
      </c>
      <c r="B1495" s="1">
        <f>equip.xml!B1499</f>
        <v>1</v>
      </c>
      <c r="C1495" s="1" t="str">
        <f>equip.xml!C1499</f>
        <v>魔鳞外衣</v>
      </c>
      <c r="D1495" s="1" t="str">
        <f>equip.xml!D1499</f>
        <v>胸甲</v>
      </c>
      <c r="E1495" s="1">
        <f>equip.xml!E1499</f>
        <v>4</v>
      </c>
      <c r="F1495" s="1">
        <f>equip.xml!F1499</f>
        <v>5</v>
      </c>
      <c r="G1495" s="1">
        <f>equip.xml!G1499</f>
        <v>35</v>
      </c>
      <c r="H1495" s="1">
        <f>equip.xml!H1499</f>
        <v>0</v>
      </c>
      <c r="I1495" s="1">
        <f>equip.xml!J1499</f>
        <v>150</v>
      </c>
      <c r="J1495" s="1">
        <f>equip.xml!K1499</f>
        <v>1500</v>
      </c>
      <c r="K1495" s="1">
        <f>equip.xml!L1499</f>
        <v>22500</v>
      </c>
      <c r="L1495" s="1" t="str">
        <f>equip.xml!M1499</f>
        <v>105_375_375</v>
      </c>
      <c r="M1495" s="7" t="str">
        <f>equip.xml!Q1499</f>
        <v>equipment/5001.png</v>
      </c>
      <c r="N1495" t="str">
        <f>equip.xml!P1499</f>
        <v>10000_1002_35000,30000_30001_1,30000_30002_1,30000_30003_1</v>
      </c>
    </row>
    <row r="1496" spans="1:14">
      <c r="A1496" s="1" t="str">
        <f>equip.xml!A1500</f>
        <v>50350070</v>
      </c>
      <c r="B1496" s="1">
        <f>equip.xml!B1500</f>
        <v>1</v>
      </c>
      <c r="C1496" s="1" t="str">
        <f>equip.xml!C1500</f>
        <v>残忍腿甲</v>
      </c>
      <c r="D1496" s="1" t="str">
        <f>equip.xml!D1500</f>
        <v>护腿</v>
      </c>
      <c r="E1496" s="1">
        <f>equip.xml!E1500</f>
        <v>7</v>
      </c>
      <c r="F1496" s="1">
        <f>equip.xml!F1500</f>
        <v>5</v>
      </c>
      <c r="G1496" s="1">
        <f>equip.xml!G1500</f>
        <v>35</v>
      </c>
      <c r="H1496" s="1">
        <f>equip.xml!H1500</f>
        <v>0</v>
      </c>
      <c r="I1496" s="1">
        <f>equip.xml!J1500</f>
        <v>150</v>
      </c>
      <c r="J1496" s="1">
        <f>equip.xml!K1500</f>
        <v>1500</v>
      </c>
      <c r="K1496" s="1">
        <f>equip.xml!L1500</f>
        <v>20000</v>
      </c>
      <c r="L1496" s="1" t="str">
        <f>equip.xml!M1500</f>
        <v>105_293_293</v>
      </c>
      <c r="M1496" s="7" t="str">
        <f>equip.xml!Q1500</f>
        <v>equipment/7008.png</v>
      </c>
      <c r="N1496" t="str">
        <f>equip.xml!P1500</f>
        <v>10000_1002_35000,30000_30001_1,30000_30002_1,30000_30003_1</v>
      </c>
    </row>
    <row r="1497" spans="1:14">
      <c r="A1497" s="1" t="str">
        <f>equip.xml!A1501</f>
        <v>50350071</v>
      </c>
      <c r="B1497" s="1">
        <f>equip.xml!B1501</f>
        <v>0</v>
      </c>
      <c r="C1497" s="1" t="str">
        <f>equip.xml!C1501</f>
        <v>学徒短裤</v>
      </c>
      <c r="D1497" s="1" t="str">
        <f>equip.xml!D1501</f>
        <v>护腿</v>
      </c>
      <c r="E1497" s="1">
        <f>equip.xml!E1501</f>
        <v>7</v>
      </c>
      <c r="F1497" s="1">
        <f>equip.xml!F1501</f>
        <v>5</v>
      </c>
      <c r="G1497" s="1">
        <f>equip.xml!G1501</f>
        <v>35</v>
      </c>
      <c r="H1497" s="1">
        <f>equip.xml!H1501</f>
        <v>0</v>
      </c>
      <c r="I1497" s="1">
        <f>equip.xml!J1501</f>
        <v>150</v>
      </c>
      <c r="J1497" s="1">
        <f>equip.xml!K1501</f>
        <v>1500</v>
      </c>
      <c r="K1497" s="1">
        <f>equip.xml!L1501</f>
        <v>22500</v>
      </c>
      <c r="L1497" s="1" t="str">
        <f>equip.xml!M1501</f>
        <v>105_331_331</v>
      </c>
      <c r="M1497" s="7" t="str">
        <f>equip.xml!Q1501</f>
        <v>equipment/7001.png</v>
      </c>
      <c r="N1497" t="str">
        <f>equip.xml!P1501</f>
        <v>10000_1002_35000,30000_30001_1,30000_30002_1,30000_30003_1</v>
      </c>
    </row>
    <row r="1498" spans="1:14">
      <c r="A1498" s="1" t="str">
        <f>equip.xml!A1502</f>
        <v>50400010</v>
      </c>
      <c r="B1498" s="1">
        <f>equip.xml!B1502</f>
        <v>1</v>
      </c>
      <c r="C1498" s="1" t="str">
        <f>equip.xml!C1502</f>
        <v>烈焰头罩</v>
      </c>
      <c r="D1498" s="1" t="str">
        <f>equip.xml!D1502</f>
        <v>头盔</v>
      </c>
      <c r="E1498" s="1">
        <f>equip.xml!E1502</f>
        <v>1</v>
      </c>
      <c r="F1498" s="1">
        <f>equip.xml!F1502</f>
        <v>5</v>
      </c>
      <c r="G1498" s="1">
        <f>equip.xml!G1502</f>
        <v>40</v>
      </c>
      <c r="H1498" s="1">
        <f>equip.xml!H1502</f>
        <v>0</v>
      </c>
      <c r="I1498" s="1">
        <f>equip.xml!J1502</f>
        <v>150</v>
      </c>
      <c r="J1498" s="1">
        <f>equip.xml!K1502</f>
        <v>1500</v>
      </c>
      <c r="K1498" s="1">
        <f>equip.xml!L1502</f>
        <v>22500</v>
      </c>
      <c r="L1498" s="1" t="str">
        <f>equip.xml!M1502</f>
        <v>106_751_751</v>
      </c>
      <c r="M1498" s="7" t="str">
        <f>equip.xml!Q1502</f>
        <v>equipment/3007.png</v>
      </c>
      <c r="N1498" t="str">
        <f>equip.xml!P1502</f>
        <v>10000_1002_40000,30000_30001_1,30000_30002_1,30000_30003_1</v>
      </c>
    </row>
    <row r="1499" spans="1:14">
      <c r="A1499" s="1" t="str">
        <f>equip.xml!A1503</f>
        <v>50400020</v>
      </c>
      <c r="B1499" s="1">
        <f>equip.xml!B1503</f>
        <v>1</v>
      </c>
      <c r="C1499" s="1" t="str">
        <f>equip.xml!C1503</f>
        <v>龙纹戒指</v>
      </c>
      <c r="D1499" s="1" t="str">
        <f>equip.xml!D1503</f>
        <v>戒指</v>
      </c>
      <c r="E1499" s="1">
        <f>equip.xml!E1503</f>
        <v>2</v>
      </c>
      <c r="F1499" s="1">
        <f>equip.xml!F1503</f>
        <v>5</v>
      </c>
      <c r="G1499" s="1">
        <f>equip.xml!G1503</f>
        <v>40</v>
      </c>
      <c r="H1499" s="1">
        <f>equip.xml!H1503</f>
        <v>0</v>
      </c>
      <c r="I1499" s="1">
        <f>equip.xml!J1503</f>
        <v>150</v>
      </c>
      <c r="J1499" s="1">
        <f>equip.xml!K1503</f>
        <v>1500</v>
      </c>
      <c r="K1499" s="1">
        <f>equip.xml!L1503</f>
        <v>22500</v>
      </c>
      <c r="L1499" s="1" t="str">
        <f>equip.xml!M1503</f>
        <v>102_740_740</v>
      </c>
      <c r="M1499" s="7" t="str">
        <f>equip.xml!Q1503</f>
        <v>equipment/14007.png</v>
      </c>
      <c r="N1499" t="str">
        <f>equip.xml!P1503</f>
        <v>10000_1002_40000,30000_30001_1,30000_30002_1,30000_30003_1</v>
      </c>
    </row>
    <row r="1500" spans="1:14">
      <c r="A1500" s="1" t="str">
        <f>equip.xml!A1504</f>
        <v>50400030</v>
      </c>
      <c r="B1500" s="1">
        <f>equip.xml!B1504</f>
        <v>1</v>
      </c>
      <c r="C1500" s="1" t="str">
        <f>equip.xml!C1504</f>
        <v>力量腰带</v>
      </c>
      <c r="D1500" s="1" t="str">
        <f>equip.xml!D1504</f>
        <v>腰带</v>
      </c>
      <c r="E1500" s="1">
        <f>equip.xml!E1504</f>
        <v>3</v>
      </c>
      <c r="F1500" s="1">
        <f>equip.xml!F1504</f>
        <v>5</v>
      </c>
      <c r="G1500" s="1">
        <f>equip.xml!G1504</f>
        <v>40</v>
      </c>
      <c r="H1500" s="1">
        <f>equip.xml!H1504</f>
        <v>0</v>
      </c>
      <c r="I1500" s="1">
        <f>equip.xml!J1504</f>
        <v>150</v>
      </c>
      <c r="J1500" s="1">
        <f>equip.xml!K1504</f>
        <v>1500</v>
      </c>
      <c r="K1500" s="1">
        <f>equip.xml!L1504</f>
        <v>22500</v>
      </c>
      <c r="L1500" s="1" t="str">
        <f>equip.xml!M1504</f>
        <v>101_6720_6720</v>
      </c>
      <c r="M1500" s="7" t="str">
        <f>equip.xml!Q1504</f>
        <v>equipment/6007.png</v>
      </c>
      <c r="N1500" t="str">
        <f>equip.xml!P1504</f>
        <v>10000_1002_40000,30000_30001_1,30000_30002_1,30000_30003_1</v>
      </c>
    </row>
    <row r="1501" spans="1:14">
      <c r="A1501" s="1" t="str">
        <f>equip.xml!A1505</f>
        <v>50400080</v>
      </c>
      <c r="B1501" s="1">
        <f>equip.xml!B1505</f>
        <v>1</v>
      </c>
      <c r="C1501" s="1" t="str">
        <f>equip.xml!C1505</f>
        <v>征战之靴</v>
      </c>
      <c r="D1501" s="1" t="str">
        <f>equip.xml!D1505</f>
        <v>鞋子</v>
      </c>
      <c r="E1501" s="1">
        <f>equip.xml!E1505</f>
        <v>8</v>
      </c>
      <c r="F1501" s="1">
        <f>equip.xml!F1505</f>
        <v>5</v>
      </c>
      <c r="G1501" s="1">
        <f>equip.xml!G1505</f>
        <v>40</v>
      </c>
      <c r="H1501" s="1">
        <f>equip.xml!H1505</f>
        <v>0</v>
      </c>
      <c r="I1501" s="1">
        <f>equip.xml!J1505</f>
        <v>150</v>
      </c>
      <c r="J1501" s="1">
        <f>equip.xml!K1505</f>
        <v>1500</v>
      </c>
      <c r="K1501" s="1">
        <f>equip.xml!L1505</f>
        <v>22500</v>
      </c>
      <c r="L1501" s="1" t="str">
        <f>equip.xml!M1505</f>
        <v>110_108_108</v>
      </c>
      <c r="M1501" s="7" t="str">
        <f>equip.xml!Q1505</f>
        <v>equipment/8007.png</v>
      </c>
      <c r="N1501" t="str">
        <f>equip.xml!P1505</f>
        <v>10000_1002_40000,30000_30001_1,30000_30002_1,30000_30003_1</v>
      </c>
    </row>
    <row r="1502" spans="1:14">
      <c r="A1502" s="1" t="str">
        <f>equip.xml!A1506</f>
        <v>50400090</v>
      </c>
      <c r="B1502" s="1">
        <f>equip.xml!B1506</f>
        <v>1</v>
      </c>
      <c r="C1502" s="1" t="str">
        <f>equip.xml!C1506</f>
        <v>重拳手套</v>
      </c>
      <c r="D1502" s="1" t="str">
        <f>equip.xml!D1506</f>
        <v>手套</v>
      </c>
      <c r="E1502" s="1">
        <f>equip.xml!E1506</f>
        <v>9</v>
      </c>
      <c r="F1502" s="1">
        <f>equip.xml!F1506</f>
        <v>5</v>
      </c>
      <c r="G1502" s="1">
        <f>equip.xml!G1506</f>
        <v>40</v>
      </c>
      <c r="H1502" s="1">
        <f>equip.xml!H1506</f>
        <v>0</v>
      </c>
      <c r="I1502" s="1">
        <f>equip.xml!J1506</f>
        <v>150</v>
      </c>
      <c r="J1502" s="1">
        <f>equip.xml!K1506</f>
        <v>1500</v>
      </c>
      <c r="K1502" s="1">
        <f>equip.xml!L1506</f>
        <v>22500</v>
      </c>
      <c r="L1502" s="1" t="str">
        <f>equip.xml!M1506</f>
        <v>108_880_880</v>
      </c>
      <c r="M1502" s="7" t="str">
        <f>equip.xml!Q1506</f>
        <v>equipment/10007.png</v>
      </c>
      <c r="N1502" t="str">
        <f>equip.xml!P1506</f>
        <v>10000_1002_40000,30000_30001_1,30000_30002_1,30000_30003_1</v>
      </c>
    </row>
    <row r="1503" spans="1:14">
      <c r="A1503" s="1" t="str">
        <f>equip.xml!A1507</f>
        <v>50400100</v>
      </c>
      <c r="B1503" s="1">
        <f>equip.xml!B1507</f>
        <v>0</v>
      </c>
      <c r="C1503" s="1" t="str">
        <f>equip.xml!C1507</f>
        <v>贝壳项链</v>
      </c>
      <c r="D1503" s="1" t="str">
        <f>equip.xml!D1507</f>
        <v>项链</v>
      </c>
      <c r="E1503" s="1">
        <f>equip.xml!E1507</f>
        <v>10</v>
      </c>
      <c r="F1503" s="1">
        <f>equip.xml!F1507</f>
        <v>5</v>
      </c>
      <c r="G1503" s="1">
        <f>equip.xml!G1507</f>
        <v>40</v>
      </c>
      <c r="H1503" s="1">
        <f>equip.xml!H1507</f>
        <v>0</v>
      </c>
      <c r="I1503" s="1">
        <f>equip.xml!J1507</f>
        <v>150</v>
      </c>
      <c r="J1503" s="1">
        <f>equip.xml!K1507</f>
        <v>1500</v>
      </c>
      <c r="K1503" s="1">
        <f>equip.xml!L1507</f>
        <v>22500</v>
      </c>
      <c r="L1503" s="1" t="str">
        <f>equip.xml!M1507</f>
        <v>107_542_542</v>
      </c>
      <c r="M1503" s="7" t="str">
        <f>equip.xml!Q1507</f>
        <v>equipment/12001.png</v>
      </c>
      <c r="N1503" t="str">
        <f>equip.xml!P1507</f>
        <v>10000_1002_40000,30000_30001_1,30000_30002_1,30000_30003_1</v>
      </c>
    </row>
    <row r="1504" spans="1:14">
      <c r="A1504" s="1" t="str">
        <f>equip.xml!A1508</f>
        <v>50401050</v>
      </c>
      <c r="B1504" s="1">
        <f>equip.xml!B1508</f>
        <v>1</v>
      </c>
      <c r="C1504" s="1" t="str">
        <f>equip.xml!C1508</f>
        <v>魔铁巨剑</v>
      </c>
      <c r="D1504" s="1" t="str">
        <f>equip.xml!D1508</f>
        <v>主手武器</v>
      </c>
      <c r="E1504" s="1">
        <f>equip.xml!E1508</f>
        <v>5</v>
      </c>
      <c r="F1504" s="1">
        <f>equip.xml!F1508</f>
        <v>5</v>
      </c>
      <c r="G1504" s="1">
        <f>equip.xml!G1508</f>
        <v>40</v>
      </c>
      <c r="H1504" s="1" t="str">
        <f>equip.xml!H1508</f>
        <v>1,1001</v>
      </c>
      <c r="I1504" s="1">
        <f>equip.xml!J1508</f>
        <v>150</v>
      </c>
      <c r="J1504" s="1">
        <f>equip.xml!K1508</f>
        <v>1500</v>
      </c>
      <c r="K1504" s="1">
        <f>equip.xml!L1508</f>
        <v>22500</v>
      </c>
      <c r="L1504" s="1" t="str">
        <f>equip.xml!M1508</f>
        <v>103_670_670,104_1340_1340</v>
      </c>
      <c r="M1504" s="7" t="str">
        <f>equip.xml!Q1508</f>
        <v>equipment/1115.png</v>
      </c>
      <c r="N1504" t="str">
        <f>equip.xml!P1508</f>
        <v>10000_1002_40000,30000_30001_1,30000_30002_1,30000_30003_1</v>
      </c>
    </row>
    <row r="1505" spans="1:14">
      <c r="A1505" s="1" t="str">
        <f>equip.xml!A1509</f>
        <v>50401051</v>
      </c>
      <c r="B1505" s="1">
        <f>equip.xml!B1509</f>
        <v>1</v>
      </c>
      <c r="C1505" s="1" t="str">
        <f>equip.xml!C1509</f>
        <v>破咒之刃</v>
      </c>
      <c r="D1505" s="1" t="str">
        <f>equip.xml!D1509</f>
        <v>主手武器</v>
      </c>
      <c r="E1505" s="1">
        <f>equip.xml!E1509</f>
        <v>5</v>
      </c>
      <c r="F1505" s="1">
        <f>equip.xml!F1509</f>
        <v>5</v>
      </c>
      <c r="G1505" s="1">
        <f>equip.xml!G1509</f>
        <v>40</v>
      </c>
      <c r="H1505" s="1" t="str">
        <f>equip.xml!H1509</f>
        <v>1,1001</v>
      </c>
      <c r="I1505" s="1">
        <f>equip.xml!J1509</f>
        <v>150</v>
      </c>
      <c r="J1505" s="1">
        <f>equip.xml!K1509</f>
        <v>1500</v>
      </c>
      <c r="K1505" s="1">
        <f>equip.xml!L1509</f>
        <v>25000</v>
      </c>
      <c r="L1505" s="1" t="str">
        <f>equip.xml!M1509</f>
        <v>103_743_743,104_1486_1486</v>
      </c>
      <c r="M1505" s="7" t="str">
        <f>equip.xml!Q1509</f>
        <v>equipment/1116.png</v>
      </c>
      <c r="N1505" t="str">
        <f>equip.xml!P1509</f>
        <v>10000_1002_40000,30000_30001_1,30000_30002_1,30000_30003_1</v>
      </c>
    </row>
    <row r="1506" spans="1:14">
      <c r="A1506" s="1" t="str">
        <f>equip.xml!A1510</f>
        <v>50401060</v>
      </c>
      <c r="B1506" s="1">
        <f>equip.xml!B1510</f>
        <v>1</v>
      </c>
      <c r="C1506" s="1" t="str">
        <f>equip.xml!C1510</f>
        <v>洛阿巨盾</v>
      </c>
      <c r="D1506" s="1" t="str">
        <f>equip.xml!D1510</f>
        <v>副手武器</v>
      </c>
      <c r="E1506" s="1">
        <f>equip.xml!E1510</f>
        <v>6</v>
      </c>
      <c r="F1506" s="1">
        <f>equip.xml!F1510</f>
        <v>5</v>
      </c>
      <c r="G1506" s="1">
        <f>equip.xml!G1510</f>
        <v>40</v>
      </c>
      <c r="H1506" s="1" t="str">
        <f>equip.xml!H1510</f>
        <v>1,1001</v>
      </c>
      <c r="I1506" s="1">
        <f>equip.xml!J1510</f>
        <v>150</v>
      </c>
      <c r="J1506" s="1">
        <f>equip.xml!K1510</f>
        <v>1500</v>
      </c>
      <c r="K1506" s="1">
        <f>equip.xml!L1510</f>
        <v>22500</v>
      </c>
      <c r="L1506" s="1" t="str">
        <f>equip.xml!M1510</f>
        <v>105_880_880</v>
      </c>
      <c r="M1506" s="7" t="str">
        <f>equip.xml!Q1510</f>
        <v>equipment/2109.png</v>
      </c>
      <c r="N1506" t="str">
        <f>equip.xml!P1510</f>
        <v>10000_1002_40000,30000_30001_1,30000_30002_1,30000_30003_1</v>
      </c>
    </row>
    <row r="1507" spans="1:14">
      <c r="A1507" s="1" t="str">
        <f>equip.xml!A1511</f>
        <v>50401061</v>
      </c>
      <c r="B1507" s="1">
        <f>equip.xml!B1511</f>
        <v>0</v>
      </c>
      <c r="C1507" s="1" t="str">
        <f>equip.xml!C1511</f>
        <v>尖头盾</v>
      </c>
      <c r="D1507" s="1" t="str">
        <f>equip.xml!D1511</f>
        <v>副手武器</v>
      </c>
      <c r="E1507" s="1">
        <f>equip.xml!E1511</f>
        <v>6</v>
      </c>
      <c r="F1507" s="1">
        <f>equip.xml!F1511</f>
        <v>5</v>
      </c>
      <c r="G1507" s="1">
        <f>equip.xml!G1511</f>
        <v>40</v>
      </c>
      <c r="H1507" s="1" t="str">
        <f>equip.xml!H1511</f>
        <v>1,1001</v>
      </c>
      <c r="I1507" s="1">
        <f>equip.xml!J1511</f>
        <v>150</v>
      </c>
      <c r="J1507" s="1">
        <f>equip.xml!K1511</f>
        <v>1500</v>
      </c>
      <c r="K1507" s="1">
        <f>equip.xml!L1511</f>
        <v>25000</v>
      </c>
      <c r="L1507" s="1" t="str">
        <f>equip.xml!M1511</f>
        <v>105_1029_1029</v>
      </c>
      <c r="M1507" s="7" t="str">
        <f>equip.xml!Q1511</f>
        <v>equipment/2101.png</v>
      </c>
      <c r="N1507" t="str">
        <f>equip.xml!P1511</f>
        <v>10000_1002_40000,30000_30001_1,30000_30002_1,30000_30003_1</v>
      </c>
    </row>
    <row r="1508" spans="1:14">
      <c r="A1508" s="1" t="str">
        <f>equip.xml!A1512</f>
        <v>50402050</v>
      </c>
      <c r="B1508" s="1">
        <f>equip.xml!B1512</f>
        <v>1</v>
      </c>
      <c r="C1508" s="1" t="str">
        <f>equip.xml!C1512</f>
        <v>强击之弓</v>
      </c>
      <c r="D1508" s="1" t="str">
        <f>equip.xml!D1512</f>
        <v>主手武器</v>
      </c>
      <c r="E1508" s="1">
        <f>equip.xml!E1512</f>
        <v>5</v>
      </c>
      <c r="F1508" s="1">
        <f>equip.xml!F1512</f>
        <v>5</v>
      </c>
      <c r="G1508" s="1">
        <f>equip.xml!G1512</f>
        <v>40</v>
      </c>
      <c r="H1508" s="1" t="str">
        <f>equip.xml!H1512</f>
        <v>2,1002</v>
      </c>
      <c r="I1508" s="1">
        <f>equip.xml!J1512</f>
        <v>150</v>
      </c>
      <c r="J1508" s="1">
        <f>equip.xml!K1512</f>
        <v>1500</v>
      </c>
      <c r="K1508" s="1">
        <f>equip.xml!L1512</f>
        <v>22500</v>
      </c>
      <c r="L1508" s="1" t="str">
        <f>equip.xml!M1512</f>
        <v>103_670_670,104_1340_1340</v>
      </c>
      <c r="M1508" s="7" t="str">
        <f>equip.xml!Q1512</f>
        <v>equipment/1216.png</v>
      </c>
      <c r="N1508" t="str">
        <f>equip.xml!P1512</f>
        <v>10000_1002_40000,30000_30001_1,30000_30002_1,30000_30003_1</v>
      </c>
    </row>
    <row r="1509" spans="1:14">
      <c r="A1509" s="1" t="str">
        <f>equip.xml!A1513</f>
        <v>50402051</v>
      </c>
      <c r="B1509" s="1">
        <f>equip.xml!B1513</f>
        <v>1</v>
      </c>
      <c r="C1509" s="1" t="str">
        <f>equip.xml!C1513</f>
        <v>羽月长弓</v>
      </c>
      <c r="D1509" s="1" t="str">
        <f>equip.xml!D1513</f>
        <v>主手武器</v>
      </c>
      <c r="E1509" s="1">
        <f>equip.xml!E1513</f>
        <v>5</v>
      </c>
      <c r="F1509" s="1">
        <f>equip.xml!F1513</f>
        <v>5</v>
      </c>
      <c r="G1509" s="1">
        <f>equip.xml!G1513</f>
        <v>40</v>
      </c>
      <c r="H1509" s="1" t="str">
        <f>equip.xml!H1513</f>
        <v>2,1002</v>
      </c>
      <c r="I1509" s="1">
        <f>equip.xml!J1513</f>
        <v>150</v>
      </c>
      <c r="J1509" s="1">
        <f>equip.xml!K1513</f>
        <v>1500</v>
      </c>
      <c r="K1509" s="1">
        <f>equip.xml!L1513</f>
        <v>25000</v>
      </c>
      <c r="L1509" s="1" t="str">
        <f>equip.xml!M1513</f>
        <v>103_743_743,104_1486_1486</v>
      </c>
      <c r="M1509" s="7" t="str">
        <f>equip.xml!Q1513</f>
        <v>equipment/1214.png</v>
      </c>
      <c r="N1509" t="str">
        <f>equip.xml!P1513</f>
        <v>10000_1002_40000,30000_30001_1,30000_30002_1,30000_30003_1</v>
      </c>
    </row>
    <row r="1510" spans="1:14">
      <c r="A1510" s="1" t="str">
        <f>equip.xml!A1514</f>
        <v>50402060</v>
      </c>
      <c r="B1510" s="1">
        <f>equip.xml!B1514</f>
        <v>1</v>
      </c>
      <c r="C1510" s="1" t="str">
        <f>equip.xml!C1514</f>
        <v>风怒箭筒</v>
      </c>
      <c r="D1510" s="1" t="str">
        <f>equip.xml!D1514</f>
        <v>副手武器</v>
      </c>
      <c r="E1510" s="1">
        <f>equip.xml!E1514</f>
        <v>6</v>
      </c>
      <c r="F1510" s="1">
        <f>equip.xml!F1514</f>
        <v>5</v>
      </c>
      <c r="G1510" s="1">
        <f>equip.xml!G1514</f>
        <v>40</v>
      </c>
      <c r="H1510" s="1" t="str">
        <f>equip.xml!H1514</f>
        <v>2,1002</v>
      </c>
      <c r="I1510" s="1">
        <f>equip.xml!J1514</f>
        <v>150</v>
      </c>
      <c r="J1510" s="1">
        <f>equip.xml!K1514</f>
        <v>1500</v>
      </c>
      <c r="K1510" s="1">
        <f>equip.xml!L1514</f>
        <v>22500</v>
      </c>
      <c r="L1510" s="1" t="str">
        <f>equip.xml!M1514</f>
        <v>108_880_880</v>
      </c>
      <c r="M1510" s="7" t="str">
        <f>equip.xml!Q1514</f>
        <v>equipment/2209.png</v>
      </c>
      <c r="N1510" t="str">
        <f>equip.xml!P1514</f>
        <v>10000_1002_40000,30000_30001_1,30000_30002_1,30000_30003_1</v>
      </c>
    </row>
    <row r="1511" spans="1:14">
      <c r="A1511" s="1" t="str">
        <f>equip.xml!A1515</f>
        <v>50402061</v>
      </c>
      <c r="B1511" s="1">
        <f>equip.xml!B1515</f>
        <v>0</v>
      </c>
      <c r="C1511" s="1" t="str">
        <f>equip.xml!C1515</f>
        <v>箭筒</v>
      </c>
      <c r="D1511" s="1" t="str">
        <f>equip.xml!D1515</f>
        <v>副手武器</v>
      </c>
      <c r="E1511" s="1">
        <f>equip.xml!E1515</f>
        <v>6</v>
      </c>
      <c r="F1511" s="1">
        <f>equip.xml!F1515</f>
        <v>5</v>
      </c>
      <c r="G1511" s="1">
        <f>equip.xml!G1515</f>
        <v>40</v>
      </c>
      <c r="H1511" s="1" t="str">
        <f>equip.xml!H1515</f>
        <v>2,1002</v>
      </c>
      <c r="I1511" s="1">
        <f>equip.xml!J1515</f>
        <v>150</v>
      </c>
      <c r="J1511" s="1">
        <f>equip.xml!K1515</f>
        <v>1500</v>
      </c>
      <c r="K1511" s="1">
        <f>equip.xml!L1515</f>
        <v>25000</v>
      </c>
      <c r="L1511" s="1" t="str">
        <f>equip.xml!M1515</f>
        <v>108_1029_1029</v>
      </c>
      <c r="M1511" s="7" t="str">
        <f>equip.xml!Q1515</f>
        <v>equipment/2201.png</v>
      </c>
      <c r="N1511" t="str">
        <f>equip.xml!P1515</f>
        <v>10000_1002_40000,30000_30001_1,30000_30002_1,30000_30003_1</v>
      </c>
    </row>
    <row r="1512" spans="1:14">
      <c r="A1512" s="1" t="str">
        <f>equip.xml!A1516</f>
        <v>50403050</v>
      </c>
      <c r="B1512" s="1">
        <f>equip.xml!B1516</f>
        <v>1</v>
      </c>
      <c r="C1512" s="1" t="str">
        <f>equip.xml!C1516</f>
        <v>符文魔杖</v>
      </c>
      <c r="D1512" s="1" t="str">
        <f>equip.xml!D1516</f>
        <v>主手武器</v>
      </c>
      <c r="E1512" s="1">
        <f>equip.xml!E1516</f>
        <v>5</v>
      </c>
      <c r="F1512" s="1">
        <f>equip.xml!F1516</f>
        <v>5</v>
      </c>
      <c r="G1512" s="1">
        <f>equip.xml!G1516</f>
        <v>40</v>
      </c>
      <c r="H1512" s="1" t="str">
        <f>equip.xml!H1516</f>
        <v>3,1003</v>
      </c>
      <c r="I1512" s="1">
        <f>equip.xml!J1516</f>
        <v>150</v>
      </c>
      <c r="J1512" s="1">
        <f>equip.xml!K1516</f>
        <v>1500</v>
      </c>
      <c r="K1512" s="1">
        <f>equip.xml!L1516</f>
        <v>22500</v>
      </c>
      <c r="L1512" s="1" t="str">
        <f>equip.xml!M1516</f>
        <v>103_670_670,104_1340_1340</v>
      </c>
      <c r="M1512" s="7" t="str">
        <f>equip.xml!Q1516</f>
        <v>equipment/1317.png</v>
      </c>
      <c r="N1512" t="str">
        <f>equip.xml!P1516</f>
        <v>10000_1002_40000,30000_30001_1,30000_30002_1,30000_30003_1</v>
      </c>
    </row>
    <row r="1513" spans="1:14">
      <c r="A1513" s="1" t="str">
        <f>equip.xml!A1517</f>
        <v>50403051</v>
      </c>
      <c r="B1513" s="1">
        <f>equip.xml!B1517</f>
        <v>1</v>
      </c>
      <c r="C1513" s="1" t="str">
        <f>equip.xml!C1517</f>
        <v>真理之杖</v>
      </c>
      <c r="D1513" s="1" t="str">
        <f>equip.xml!D1517</f>
        <v>主手武器</v>
      </c>
      <c r="E1513" s="1">
        <f>equip.xml!E1517</f>
        <v>5</v>
      </c>
      <c r="F1513" s="1">
        <f>equip.xml!F1517</f>
        <v>5</v>
      </c>
      <c r="G1513" s="1">
        <f>equip.xml!G1517</f>
        <v>40</v>
      </c>
      <c r="H1513" s="1" t="str">
        <f>equip.xml!H1517</f>
        <v>3,1003</v>
      </c>
      <c r="I1513" s="1">
        <f>equip.xml!J1517</f>
        <v>150</v>
      </c>
      <c r="J1513" s="1">
        <f>equip.xml!K1517</f>
        <v>1500</v>
      </c>
      <c r="K1513" s="1">
        <f>equip.xml!L1517</f>
        <v>25000</v>
      </c>
      <c r="L1513" s="1" t="str">
        <f>equip.xml!M1517</f>
        <v>103_743_743,104_1486_1486</v>
      </c>
      <c r="M1513" s="7" t="str">
        <f>equip.xml!Q1517</f>
        <v>equipment/1315.png</v>
      </c>
      <c r="N1513" t="str">
        <f>equip.xml!P1517</f>
        <v>10000_1002_40000,30000_30001_1,30000_30002_1,30000_30003_1</v>
      </c>
    </row>
    <row r="1514" spans="1:14">
      <c r="A1514" s="1" t="str">
        <f>equip.xml!A1518</f>
        <v>50403060</v>
      </c>
      <c r="B1514" s="1">
        <f>equip.xml!B1518</f>
        <v>1</v>
      </c>
      <c r="C1514" s="1" t="str">
        <f>equip.xml!C1518</f>
        <v>附魔秘典</v>
      </c>
      <c r="D1514" s="1" t="str">
        <f>equip.xml!D1518</f>
        <v>副手武器</v>
      </c>
      <c r="E1514" s="1">
        <f>equip.xml!E1518</f>
        <v>6</v>
      </c>
      <c r="F1514" s="1">
        <f>equip.xml!F1518</f>
        <v>5</v>
      </c>
      <c r="G1514" s="1">
        <f>equip.xml!G1518</f>
        <v>40</v>
      </c>
      <c r="H1514" s="1" t="str">
        <f>equip.xml!H1518</f>
        <v>3,1003</v>
      </c>
      <c r="I1514" s="1">
        <f>equip.xml!J1518</f>
        <v>150</v>
      </c>
      <c r="J1514" s="1">
        <f>equip.xml!K1518</f>
        <v>1500</v>
      </c>
      <c r="K1514" s="1">
        <f>equip.xml!L1518</f>
        <v>22500</v>
      </c>
      <c r="L1514" s="1" t="str">
        <f>equip.xml!M1518</f>
        <v>102_1240_1240</v>
      </c>
      <c r="M1514" s="7" t="str">
        <f>equip.xml!Q1518</f>
        <v>equipment/2309.png</v>
      </c>
      <c r="N1514" t="str">
        <f>equip.xml!P1518</f>
        <v>10000_1002_40000,30000_30001_1,30000_30002_1,30000_30003_1</v>
      </c>
    </row>
    <row r="1515" spans="1:14">
      <c r="A1515" s="1" t="str">
        <f>equip.xml!A1519</f>
        <v>50403061</v>
      </c>
      <c r="B1515" s="1">
        <f>equip.xml!B1519</f>
        <v>0</v>
      </c>
      <c r="C1515" s="1" t="str">
        <f>equip.xml!C1519</f>
        <v>法术指南</v>
      </c>
      <c r="D1515" s="1" t="str">
        <f>equip.xml!D1519</f>
        <v>副手武器</v>
      </c>
      <c r="E1515" s="1">
        <f>equip.xml!E1519</f>
        <v>6</v>
      </c>
      <c r="F1515" s="1">
        <f>equip.xml!F1519</f>
        <v>5</v>
      </c>
      <c r="G1515" s="1">
        <f>equip.xml!G1519</f>
        <v>40</v>
      </c>
      <c r="H1515" s="1" t="str">
        <f>equip.xml!H1519</f>
        <v>3,1003</v>
      </c>
      <c r="I1515" s="1">
        <f>equip.xml!J1519</f>
        <v>150</v>
      </c>
      <c r="J1515" s="1">
        <f>equip.xml!K1519</f>
        <v>1500</v>
      </c>
      <c r="K1515" s="1">
        <f>equip.xml!L1519</f>
        <v>25000</v>
      </c>
      <c r="L1515" s="1" t="str">
        <f>equip.xml!M1519</f>
        <v>102_1029_1029</v>
      </c>
      <c r="M1515" s="7" t="str">
        <f>equip.xml!Q1519</f>
        <v>equipment/2301.png</v>
      </c>
      <c r="N1515" t="str">
        <f>equip.xml!P1519</f>
        <v>10000_1002_40000,30000_30001_1,30000_30002_1,30000_30003_1</v>
      </c>
    </row>
    <row r="1516" spans="1:14">
      <c r="A1516" s="1" t="str">
        <f>equip.xml!A1520</f>
        <v>50400040</v>
      </c>
      <c r="B1516" s="1">
        <f>equip.xml!B1520</f>
        <v>1</v>
      </c>
      <c r="C1516" s="1" t="str">
        <f>equip.xml!C1520</f>
        <v>瑟银护甲</v>
      </c>
      <c r="D1516" s="1" t="str">
        <f>equip.xml!D1520</f>
        <v>胸甲</v>
      </c>
      <c r="E1516" s="1">
        <f>equip.xml!E1520</f>
        <v>4</v>
      </c>
      <c r="F1516" s="1">
        <f>equip.xml!F1520</f>
        <v>5</v>
      </c>
      <c r="G1516" s="1">
        <f>equip.xml!G1520</f>
        <v>40</v>
      </c>
      <c r="H1516" s="1">
        <f>equip.xml!H1520</f>
        <v>0</v>
      </c>
      <c r="I1516" s="1">
        <f>equip.xml!J1520</f>
        <v>150</v>
      </c>
      <c r="J1516" s="1">
        <f>equip.xml!K1520</f>
        <v>1500</v>
      </c>
      <c r="K1516" s="1">
        <f>equip.xml!L1520</f>
        <v>22500</v>
      </c>
      <c r="L1516" s="1" t="str">
        <f>equip.xml!M1520</f>
        <v>105_497_497</v>
      </c>
      <c r="M1516" s="7" t="str">
        <f>equip.xml!Q1520</f>
        <v>equipment/5012.png</v>
      </c>
      <c r="N1516" t="str">
        <f>equip.xml!P1520</f>
        <v>10000_1002_40000,30000_30001_1,30000_30002_1,30000_30003_1</v>
      </c>
    </row>
    <row r="1517" spans="1:14">
      <c r="A1517" s="1" t="str">
        <f>equip.xml!A1521</f>
        <v>50400041</v>
      </c>
      <c r="B1517" s="1">
        <f>equip.xml!B1521</f>
        <v>0</v>
      </c>
      <c r="C1517" s="1" t="str">
        <f>equip.xml!C1521</f>
        <v>新兵外套</v>
      </c>
      <c r="D1517" s="1" t="str">
        <f>equip.xml!D1521</f>
        <v>胸甲</v>
      </c>
      <c r="E1517" s="1">
        <f>equip.xml!E1521</f>
        <v>4</v>
      </c>
      <c r="F1517" s="1">
        <f>equip.xml!F1521</f>
        <v>5</v>
      </c>
      <c r="G1517" s="1">
        <f>equip.xml!G1521</f>
        <v>40</v>
      </c>
      <c r="H1517" s="1">
        <f>equip.xml!H1521</f>
        <v>0</v>
      </c>
      <c r="I1517" s="1">
        <f>equip.xml!J1521</f>
        <v>150</v>
      </c>
      <c r="J1517" s="1">
        <f>equip.xml!K1521</f>
        <v>1500</v>
      </c>
      <c r="K1517" s="1">
        <f>equip.xml!L1521</f>
        <v>25000</v>
      </c>
      <c r="L1517" s="1" t="str">
        <f>equip.xml!M1521</f>
        <v>105_549_549</v>
      </c>
      <c r="M1517" s="7" t="str">
        <f>equip.xml!Q1521</f>
        <v>equipment/5001.png</v>
      </c>
      <c r="N1517" t="str">
        <f>equip.xml!P1521</f>
        <v>10000_1002_40000,30000_30001_1,30000_30002_1,30000_30003_1</v>
      </c>
    </row>
    <row r="1518" spans="1:14">
      <c r="A1518" s="1" t="str">
        <f>equip.xml!A1522</f>
        <v>50400070</v>
      </c>
      <c r="B1518" s="1">
        <f>equip.xml!B1522</f>
        <v>1</v>
      </c>
      <c r="C1518" s="1" t="str">
        <f>equip.xml!C1522</f>
        <v>巨熊护腿</v>
      </c>
      <c r="D1518" s="1" t="str">
        <f>equip.xml!D1522</f>
        <v>护腿</v>
      </c>
      <c r="E1518" s="1">
        <f>equip.xml!E1522</f>
        <v>7</v>
      </c>
      <c r="F1518" s="1">
        <f>equip.xml!F1522</f>
        <v>5</v>
      </c>
      <c r="G1518" s="1">
        <f>equip.xml!G1522</f>
        <v>40</v>
      </c>
      <c r="H1518" s="1">
        <f>equip.xml!H1522</f>
        <v>0</v>
      </c>
      <c r="I1518" s="1">
        <f>equip.xml!J1522</f>
        <v>150</v>
      </c>
      <c r="J1518" s="1">
        <f>equip.xml!K1522</f>
        <v>1500</v>
      </c>
      <c r="K1518" s="1">
        <f>equip.xml!L1522</f>
        <v>22500</v>
      </c>
      <c r="L1518" s="1" t="str">
        <f>equip.xml!M1522</f>
        <v>105_387_387</v>
      </c>
      <c r="M1518" s="7" t="str">
        <f>equip.xml!Q1522</f>
        <v>equipment/7009.png</v>
      </c>
      <c r="N1518" t="str">
        <f>equip.xml!P1522</f>
        <v>10000_1002_40000,30000_30001_1,30000_30002_1,30000_30003_1</v>
      </c>
    </row>
    <row r="1519" spans="1:14">
      <c r="A1519" s="1" t="str">
        <f>equip.xml!A1523</f>
        <v>50400071</v>
      </c>
      <c r="B1519" s="1">
        <f>equip.xml!B1523</f>
        <v>0</v>
      </c>
      <c r="C1519" s="1" t="str">
        <f>equip.xml!C1523</f>
        <v>学徒短裤</v>
      </c>
      <c r="D1519" s="1" t="str">
        <f>equip.xml!D1523</f>
        <v>护腿</v>
      </c>
      <c r="E1519" s="1">
        <f>equip.xml!E1523</f>
        <v>7</v>
      </c>
      <c r="F1519" s="1">
        <f>equip.xml!F1523</f>
        <v>5</v>
      </c>
      <c r="G1519" s="1">
        <f>equip.xml!G1523</f>
        <v>40</v>
      </c>
      <c r="H1519" s="1">
        <f>equip.xml!H1523</f>
        <v>0</v>
      </c>
      <c r="I1519" s="1">
        <f>equip.xml!J1523</f>
        <v>150</v>
      </c>
      <c r="J1519" s="1">
        <f>equip.xml!K1523</f>
        <v>1500</v>
      </c>
      <c r="K1519" s="1">
        <f>equip.xml!L1523</f>
        <v>25000</v>
      </c>
      <c r="L1519" s="1" t="str">
        <f>equip.xml!M1523</f>
        <v>105_431_431</v>
      </c>
      <c r="M1519" s="7" t="str">
        <f>equip.xml!Q1523</f>
        <v>equipment/7001.png</v>
      </c>
      <c r="N1519" t="str">
        <f>equip.xml!P1523</f>
        <v>10000_1002_40000,30000_30001_1,30000_30002_1,30000_30003_1</v>
      </c>
    </row>
    <row r="1520" spans="1:14">
      <c r="A1520" s="1" t="str">
        <f>equip.xml!A1524</f>
        <v>50450010</v>
      </c>
      <c r="B1520" s="1">
        <f>equip.xml!B1524</f>
        <v>0</v>
      </c>
      <c r="C1520" s="1" t="str">
        <f>equip.xml!C1524</f>
        <v>战争头盔</v>
      </c>
      <c r="D1520" s="1" t="str">
        <f>equip.xml!D1524</f>
        <v>头盔</v>
      </c>
      <c r="E1520" s="1">
        <f>equip.xml!E1524</f>
        <v>1</v>
      </c>
      <c r="F1520" s="1">
        <f>equip.xml!F1524</f>
        <v>5</v>
      </c>
      <c r="G1520" s="1">
        <f>equip.xml!G1524</f>
        <v>45</v>
      </c>
      <c r="H1520" s="1">
        <f>equip.xml!H1524</f>
        <v>0</v>
      </c>
      <c r="I1520" s="1">
        <f>equip.xml!J1524</f>
        <v>150</v>
      </c>
      <c r="J1520" s="1">
        <f>equip.xml!K1524</f>
        <v>1500</v>
      </c>
      <c r="K1520" s="1">
        <f>equip.xml!L1524</f>
        <v>25000</v>
      </c>
      <c r="L1520" s="1" t="str">
        <f>equip.xml!M1524</f>
        <v>106_751_751</v>
      </c>
      <c r="M1520" s="7" t="str">
        <f>equip.xml!Q1524</f>
        <v>equipment/3001.png</v>
      </c>
      <c r="N1520" t="str">
        <f>equip.xml!P1524</f>
        <v>10000_1002_45000,30000_30001_1,30000_30002_1,30000_30003_1</v>
      </c>
    </row>
    <row r="1521" spans="1:14">
      <c r="A1521" s="1" t="str">
        <f>equip.xml!A1525</f>
        <v>50450020</v>
      </c>
      <c r="B1521" s="1">
        <f>equip.xml!B1525</f>
        <v>0</v>
      </c>
      <c r="C1521" s="1" t="str">
        <f>equip.xml!C1525</f>
        <v>金戒指</v>
      </c>
      <c r="D1521" s="1" t="str">
        <f>equip.xml!D1525</f>
        <v>戒指</v>
      </c>
      <c r="E1521" s="1">
        <f>equip.xml!E1525</f>
        <v>2</v>
      </c>
      <c r="F1521" s="1">
        <f>equip.xml!F1525</f>
        <v>5</v>
      </c>
      <c r="G1521" s="1">
        <f>equip.xml!G1525</f>
        <v>45</v>
      </c>
      <c r="H1521" s="1">
        <f>equip.xml!H1525</f>
        <v>0</v>
      </c>
      <c r="I1521" s="1">
        <f>equip.xml!J1525</f>
        <v>150</v>
      </c>
      <c r="J1521" s="1">
        <f>equip.xml!K1525</f>
        <v>1500</v>
      </c>
      <c r="K1521" s="1">
        <f>equip.xml!L1525</f>
        <v>25000</v>
      </c>
      <c r="L1521" s="1" t="str">
        <f>equip.xml!M1525</f>
        <v>102_740_740</v>
      </c>
      <c r="M1521" s="7" t="str">
        <f>equip.xml!Q1525</f>
        <v>equipment/14001.png</v>
      </c>
      <c r="N1521" t="str">
        <f>equip.xml!P1525</f>
        <v>10000_1002_45000,30000_30001_1,30000_30002_1,30000_30003_1</v>
      </c>
    </row>
    <row r="1522" spans="1:14">
      <c r="A1522" s="1" t="str">
        <f>equip.xml!A1526</f>
        <v>50450030</v>
      </c>
      <c r="B1522" s="1">
        <f>equip.xml!B1526</f>
        <v>1</v>
      </c>
      <c r="C1522" s="1" t="str">
        <f>equip.xml!C1526</f>
        <v>督军腰带</v>
      </c>
      <c r="D1522" s="1" t="str">
        <f>equip.xml!D1526</f>
        <v>腰带</v>
      </c>
      <c r="E1522" s="1">
        <f>equip.xml!E1526</f>
        <v>3</v>
      </c>
      <c r="F1522" s="1">
        <f>equip.xml!F1526</f>
        <v>5</v>
      </c>
      <c r="G1522" s="1">
        <f>equip.xml!G1526</f>
        <v>45</v>
      </c>
      <c r="H1522" s="1">
        <f>equip.xml!H1526</f>
        <v>0</v>
      </c>
      <c r="I1522" s="1">
        <f>equip.xml!J1526</f>
        <v>150</v>
      </c>
      <c r="J1522" s="1">
        <f>equip.xml!K1526</f>
        <v>1500</v>
      </c>
      <c r="K1522" s="1">
        <f>equip.xml!L1526</f>
        <v>25000</v>
      </c>
      <c r="L1522" s="1" t="str">
        <f>equip.xml!M1526</f>
        <v>101_8840_8840</v>
      </c>
      <c r="M1522" s="7" t="str">
        <f>equip.xml!Q1526</f>
        <v>equipment/6008.png</v>
      </c>
      <c r="N1522" t="str">
        <f>equip.xml!P1526</f>
        <v>10000_1002_45000,30000_30001_1,30000_30002_1,30000_30003_1</v>
      </c>
    </row>
    <row r="1523" spans="1:14">
      <c r="A1523" s="1" t="str">
        <f>equip.xml!A1527</f>
        <v>50450080</v>
      </c>
      <c r="B1523" s="1">
        <f>equip.xml!B1527</f>
        <v>1</v>
      </c>
      <c r="C1523" s="1" t="str">
        <f>equip.xml!C1527</f>
        <v>浩劫长靴</v>
      </c>
      <c r="D1523" s="1" t="str">
        <f>equip.xml!D1527</f>
        <v>鞋子</v>
      </c>
      <c r="E1523" s="1">
        <f>equip.xml!E1527</f>
        <v>8</v>
      </c>
      <c r="F1523" s="1">
        <f>equip.xml!F1527</f>
        <v>5</v>
      </c>
      <c r="G1523" s="1">
        <f>equip.xml!G1527</f>
        <v>45</v>
      </c>
      <c r="H1523" s="1">
        <f>equip.xml!H1527</f>
        <v>0</v>
      </c>
      <c r="I1523" s="1">
        <f>equip.xml!J1527</f>
        <v>150</v>
      </c>
      <c r="J1523" s="1">
        <f>equip.xml!K1527</f>
        <v>1500</v>
      </c>
      <c r="K1523" s="1">
        <f>equip.xml!L1527</f>
        <v>25000</v>
      </c>
      <c r="L1523" s="1" t="str">
        <f>equip.xml!M1527</f>
        <v>110_137_137</v>
      </c>
      <c r="M1523" s="7" t="str">
        <f>equip.xml!Q1527</f>
        <v>equipment/8008.png</v>
      </c>
      <c r="N1523" t="str">
        <f>equip.xml!P1527</f>
        <v>10000_1002_45000,30000_30001_1,30000_30002_1,30000_30003_1</v>
      </c>
    </row>
    <row r="1524" spans="1:14">
      <c r="A1524" s="1" t="str">
        <f>equip.xml!A1528</f>
        <v>50450090</v>
      </c>
      <c r="B1524" s="1">
        <f>equip.xml!B1528</f>
        <v>1</v>
      </c>
      <c r="C1524" s="1" t="str">
        <f>equip.xml!C1528</f>
        <v>愤怒护手</v>
      </c>
      <c r="D1524" s="1" t="str">
        <f>equip.xml!D1528</f>
        <v>手套</v>
      </c>
      <c r="E1524" s="1">
        <f>equip.xml!E1528</f>
        <v>9</v>
      </c>
      <c r="F1524" s="1">
        <f>equip.xml!F1528</f>
        <v>5</v>
      </c>
      <c r="G1524" s="1">
        <f>equip.xml!G1528</f>
        <v>45</v>
      </c>
      <c r="H1524" s="1">
        <f>equip.xml!H1528</f>
        <v>0</v>
      </c>
      <c r="I1524" s="1">
        <f>equip.xml!J1528</f>
        <v>150</v>
      </c>
      <c r="J1524" s="1">
        <f>equip.xml!K1528</f>
        <v>1500</v>
      </c>
      <c r="K1524" s="1">
        <f>equip.xml!L1528</f>
        <v>25000</v>
      </c>
      <c r="L1524" s="1" t="str">
        <f>equip.xml!M1528</f>
        <v>108_1255_1255</v>
      </c>
      <c r="M1524" s="7" t="str">
        <f>equip.xml!Q1528</f>
        <v>equipment/10008.png</v>
      </c>
      <c r="N1524" t="str">
        <f>equip.xml!P1528</f>
        <v>10000_1002_45000,30000_30001_1,30000_30002_1,30000_30003_1</v>
      </c>
    </row>
    <row r="1525" spans="1:14">
      <c r="A1525" s="1" t="str">
        <f>equip.xml!A1529</f>
        <v>50450100</v>
      </c>
      <c r="B1525" s="1">
        <f>equip.xml!B1529</f>
        <v>1</v>
      </c>
      <c r="C1525" s="1" t="str">
        <f>equip.xml!C1529</f>
        <v>新月项链</v>
      </c>
      <c r="D1525" s="1" t="str">
        <f>equip.xml!D1529</f>
        <v>项链</v>
      </c>
      <c r="E1525" s="1">
        <f>equip.xml!E1529</f>
        <v>10</v>
      </c>
      <c r="F1525" s="1">
        <f>equip.xml!F1529</f>
        <v>5</v>
      </c>
      <c r="G1525" s="1">
        <f>equip.xml!G1529</f>
        <v>45</v>
      </c>
      <c r="H1525" s="1">
        <f>equip.xml!H1529</f>
        <v>0</v>
      </c>
      <c r="I1525" s="1">
        <f>equip.xml!J1529</f>
        <v>150</v>
      </c>
      <c r="J1525" s="1">
        <f>equip.xml!K1529</f>
        <v>1500</v>
      </c>
      <c r="K1525" s="1">
        <f>equip.xml!L1529</f>
        <v>25000</v>
      </c>
      <c r="L1525" s="1" t="str">
        <f>equip.xml!M1529</f>
        <v>107_751_751</v>
      </c>
      <c r="M1525" s="7" t="str">
        <f>equip.xml!Q1529</f>
        <v>equipment/12007.png</v>
      </c>
      <c r="N1525" t="str">
        <f>equip.xml!P1529</f>
        <v>10000_1002_45000,30000_30001_1,30000_30002_1,30000_30003_1</v>
      </c>
    </row>
    <row r="1526" spans="1:14">
      <c r="A1526" s="1" t="str">
        <f>equip.xml!A1530</f>
        <v>50451050</v>
      </c>
      <c r="B1526" s="1">
        <f>equip.xml!B1530</f>
        <v>1</v>
      </c>
      <c r="C1526" s="1" t="str">
        <f>equip.xml!C1530</f>
        <v>龙纹之刃</v>
      </c>
      <c r="D1526" s="1" t="str">
        <f>equip.xml!D1530</f>
        <v>主手武器</v>
      </c>
      <c r="E1526" s="1">
        <f>equip.xml!E1530</f>
        <v>5</v>
      </c>
      <c r="F1526" s="1">
        <f>equip.xml!F1530</f>
        <v>5</v>
      </c>
      <c r="G1526" s="1">
        <f>equip.xml!G1530</f>
        <v>45</v>
      </c>
      <c r="H1526" s="1" t="str">
        <f>equip.xml!H1530</f>
        <v>1,1001</v>
      </c>
      <c r="I1526" s="1">
        <f>equip.xml!J1530</f>
        <v>150</v>
      </c>
      <c r="J1526" s="1">
        <f>equip.xml!K1530</f>
        <v>1500</v>
      </c>
      <c r="K1526" s="1">
        <f>equip.xml!L1530</f>
        <v>25000</v>
      </c>
      <c r="L1526" s="1" t="str">
        <f>equip.xml!M1530</f>
        <v>103_854_854,104_1708_1708</v>
      </c>
      <c r="M1526" s="7" t="str">
        <f>equip.xml!Q1530</f>
        <v>equipment/1117.png</v>
      </c>
      <c r="N1526" t="str">
        <f>equip.xml!P1530</f>
        <v>10000_1002_45000,30000_30001_1,30000_30002_1,30000_30003_1</v>
      </c>
    </row>
    <row r="1527" spans="1:14">
      <c r="A1527" s="1" t="str">
        <f>equip.xml!A1531</f>
        <v>50451051</v>
      </c>
      <c r="B1527" s="1">
        <f>equip.xml!B1531</f>
        <v>0</v>
      </c>
      <c r="C1527" s="1" t="str">
        <f>equip.xml!C1531</f>
        <v>军刀</v>
      </c>
      <c r="D1527" s="1" t="str">
        <f>equip.xml!D1531</f>
        <v>主手武器</v>
      </c>
      <c r="E1527" s="1">
        <f>equip.xml!E1531</f>
        <v>5</v>
      </c>
      <c r="F1527" s="1">
        <f>equip.xml!F1531</f>
        <v>5</v>
      </c>
      <c r="G1527" s="1">
        <f>equip.xml!G1531</f>
        <v>45</v>
      </c>
      <c r="H1527" s="1" t="str">
        <f>equip.xml!H1531</f>
        <v>1,1001</v>
      </c>
      <c r="I1527" s="1">
        <f>equip.xml!J1531</f>
        <v>150</v>
      </c>
      <c r="J1527" s="1">
        <f>equip.xml!K1531</f>
        <v>1500</v>
      </c>
      <c r="K1527" s="1">
        <f>equip.xml!L1531</f>
        <v>27500</v>
      </c>
      <c r="L1527" s="1" t="str">
        <f>equip.xml!M1531</f>
        <v>103_951_951,104_1902_1902</v>
      </c>
      <c r="M1527" s="7" t="str">
        <f>equip.xml!Q1531</f>
        <v>equipment/1101.png</v>
      </c>
      <c r="N1527" t="str">
        <f>equip.xml!P1531</f>
        <v>10000_1002_45000,30000_30001_1,30000_30002_1,30000_30003_1</v>
      </c>
    </row>
    <row r="1528" spans="1:14">
      <c r="A1528" s="1" t="str">
        <f>equip.xml!A1532</f>
        <v>50451060</v>
      </c>
      <c r="B1528" s="1">
        <f>equip.xml!B1532</f>
        <v>1</v>
      </c>
      <c r="C1528" s="1" t="str">
        <f>equip.xml!C1532</f>
        <v>正义壁垒</v>
      </c>
      <c r="D1528" s="1" t="str">
        <f>equip.xml!D1532</f>
        <v>副手武器</v>
      </c>
      <c r="E1528" s="1">
        <f>equip.xml!E1532</f>
        <v>6</v>
      </c>
      <c r="F1528" s="1">
        <f>equip.xml!F1532</f>
        <v>5</v>
      </c>
      <c r="G1528" s="1">
        <f>equip.xml!G1532</f>
        <v>45</v>
      </c>
      <c r="H1528" s="1" t="str">
        <f>equip.xml!H1532</f>
        <v>1,1001</v>
      </c>
      <c r="I1528" s="1">
        <f>equip.xml!J1532</f>
        <v>150</v>
      </c>
      <c r="J1528" s="1">
        <f>equip.xml!K1532</f>
        <v>1500</v>
      </c>
      <c r="K1528" s="1">
        <f>equip.xml!L1532</f>
        <v>25000</v>
      </c>
      <c r="L1528" s="1" t="str">
        <f>equip.xml!M1532</f>
        <v>105_1253_1253</v>
      </c>
      <c r="M1528" s="7" t="str">
        <f>equip.xml!Q1532</f>
        <v>equipment/2110.png</v>
      </c>
      <c r="N1528" t="str">
        <f>equip.xml!P1532</f>
        <v>10000_1002_45000,30000_30001_1,30000_30002_1,30000_30003_1</v>
      </c>
    </row>
    <row r="1529" spans="1:14">
      <c r="A1529" s="1" t="str">
        <f>equip.xml!A1533</f>
        <v>50451061</v>
      </c>
      <c r="B1529" s="1">
        <f>equip.xml!B1533</f>
        <v>0</v>
      </c>
      <c r="C1529" s="1" t="str">
        <f>equip.xml!C1533</f>
        <v>尖头盾</v>
      </c>
      <c r="D1529" s="1" t="str">
        <f>equip.xml!D1533</f>
        <v>副手武器</v>
      </c>
      <c r="E1529" s="1">
        <f>equip.xml!E1533</f>
        <v>6</v>
      </c>
      <c r="F1529" s="1">
        <f>equip.xml!F1533</f>
        <v>5</v>
      </c>
      <c r="G1529" s="1">
        <f>equip.xml!G1533</f>
        <v>45</v>
      </c>
      <c r="H1529" s="1" t="str">
        <f>equip.xml!H1533</f>
        <v>1,1001</v>
      </c>
      <c r="I1529" s="1">
        <f>equip.xml!J1533</f>
        <v>150</v>
      </c>
      <c r="J1529" s="1">
        <f>equip.xml!K1533</f>
        <v>1500</v>
      </c>
      <c r="K1529" s="1">
        <f>equip.xml!L1533</f>
        <v>27500</v>
      </c>
      <c r="L1529" s="1" t="str">
        <f>equip.xml!M1533</f>
        <v>105_1312_1312</v>
      </c>
      <c r="M1529" s="7" t="str">
        <f>equip.xml!Q1533</f>
        <v>equipment/2101.png</v>
      </c>
      <c r="N1529" t="str">
        <f>equip.xml!P1533</f>
        <v>10000_1002_45000,30000_30001_1,30000_30002_1,30000_30003_1</v>
      </c>
    </row>
    <row r="1530" spans="1:14">
      <c r="A1530" s="1" t="str">
        <f>equip.xml!A1534</f>
        <v>50452050</v>
      </c>
      <c r="B1530" s="1">
        <f>equip.xml!B1534</f>
        <v>1</v>
      </c>
      <c r="C1530" s="1" t="str">
        <f>equip.xml!C1534</f>
        <v>霜语长弓</v>
      </c>
      <c r="D1530" s="1" t="str">
        <f>equip.xml!D1534</f>
        <v>主手武器</v>
      </c>
      <c r="E1530" s="1">
        <f>equip.xml!E1534</f>
        <v>5</v>
      </c>
      <c r="F1530" s="1">
        <f>equip.xml!F1534</f>
        <v>5</v>
      </c>
      <c r="G1530" s="1">
        <f>equip.xml!G1534</f>
        <v>45</v>
      </c>
      <c r="H1530" s="1" t="str">
        <f>equip.xml!H1534</f>
        <v>2,1002</v>
      </c>
      <c r="I1530" s="1">
        <f>equip.xml!J1534</f>
        <v>150</v>
      </c>
      <c r="J1530" s="1">
        <f>equip.xml!K1534</f>
        <v>1500</v>
      </c>
      <c r="K1530" s="1">
        <f>equip.xml!L1534</f>
        <v>25000</v>
      </c>
      <c r="L1530" s="1" t="str">
        <f>equip.xml!M1534</f>
        <v>103_854_854,104_1708_1708</v>
      </c>
      <c r="M1530" s="7" t="str">
        <f>equip.xml!Q1534</f>
        <v>equipment/1217.png</v>
      </c>
      <c r="N1530" t="str">
        <f>equip.xml!P1534</f>
        <v>10000_1002_45000,30000_30001_1,30000_30002_1,30000_30003_1</v>
      </c>
    </row>
    <row r="1531" spans="1:14">
      <c r="A1531" s="1" t="str">
        <f>equip.xml!A1535</f>
        <v>50452051</v>
      </c>
      <c r="B1531" s="1">
        <f>equip.xml!B1535</f>
        <v>0</v>
      </c>
      <c r="C1531" s="1" t="str">
        <f>equip.xml!C1535</f>
        <v>棘木弓</v>
      </c>
      <c r="D1531" s="1" t="str">
        <f>equip.xml!D1535</f>
        <v>主手武器</v>
      </c>
      <c r="E1531" s="1">
        <f>equip.xml!E1535</f>
        <v>5</v>
      </c>
      <c r="F1531" s="1">
        <f>equip.xml!F1535</f>
        <v>5</v>
      </c>
      <c r="G1531" s="1">
        <f>equip.xml!G1535</f>
        <v>45</v>
      </c>
      <c r="H1531" s="1" t="str">
        <f>equip.xml!H1535</f>
        <v>2,1002</v>
      </c>
      <c r="I1531" s="1">
        <f>equip.xml!J1535</f>
        <v>150</v>
      </c>
      <c r="J1531" s="1">
        <f>equip.xml!K1535</f>
        <v>1500</v>
      </c>
      <c r="K1531" s="1">
        <f>equip.xml!L1535</f>
        <v>27500</v>
      </c>
      <c r="L1531" s="1" t="str">
        <f>equip.xml!M1535</f>
        <v>103_951_951,104_1902_1902</v>
      </c>
      <c r="M1531" s="7" t="str">
        <f>equip.xml!Q1535</f>
        <v>equipment/1201.png</v>
      </c>
      <c r="N1531" t="str">
        <f>equip.xml!P1535</f>
        <v>10000_1002_45000,30000_30001_1,30000_30002_1,30000_30003_1</v>
      </c>
    </row>
    <row r="1532" spans="1:14">
      <c r="A1532" s="1" t="str">
        <f>equip.xml!A1536</f>
        <v>50452060</v>
      </c>
      <c r="B1532" s="1">
        <f>equip.xml!B1536</f>
        <v>1</v>
      </c>
      <c r="C1532" s="1" t="str">
        <f>equip.xml!C1536</f>
        <v>月沐箭筒</v>
      </c>
      <c r="D1532" s="1" t="str">
        <f>equip.xml!D1536</f>
        <v>副手武器</v>
      </c>
      <c r="E1532" s="1">
        <f>equip.xml!E1536</f>
        <v>6</v>
      </c>
      <c r="F1532" s="1">
        <f>equip.xml!F1536</f>
        <v>5</v>
      </c>
      <c r="G1532" s="1">
        <f>equip.xml!G1536</f>
        <v>45</v>
      </c>
      <c r="H1532" s="1" t="str">
        <f>equip.xml!H1536</f>
        <v>2,1002</v>
      </c>
      <c r="I1532" s="1">
        <f>equip.xml!J1536</f>
        <v>150</v>
      </c>
      <c r="J1532" s="1">
        <f>equip.xml!K1536</f>
        <v>1500</v>
      </c>
      <c r="K1532" s="1">
        <f>equip.xml!L1536</f>
        <v>25000</v>
      </c>
      <c r="L1532" s="1" t="str">
        <f>equip.xml!M1536</f>
        <v>108_1253_1253</v>
      </c>
      <c r="M1532" s="7" t="str">
        <f>equip.xml!Q1536</f>
        <v>equipment/2211.png</v>
      </c>
      <c r="N1532" t="str">
        <f>equip.xml!P1536</f>
        <v>10000_1002_45000,30000_30001_1,30000_30002_1,30000_30003_1</v>
      </c>
    </row>
    <row r="1533" spans="1:14">
      <c r="A1533" s="1" t="str">
        <f>equip.xml!A1537</f>
        <v>50452061</v>
      </c>
      <c r="B1533" s="1">
        <f>equip.xml!B1537</f>
        <v>0</v>
      </c>
      <c r="C1533" s="1" t="str">
        <f>equip.xml!C1537</f>
        <v>箭筒</v>
      </c>
      <c r="D1533" s="1" t="str">
        <f>equip.xml!D1537</f>
        <v>副手武器</v>
      </c>
      <c r="E1533" s="1">
        <f>equip.xml!E1537</f>
        <v>6</v>
      </c>
      <c r="F1533" s="1">
        <f>equip.xml!F1537</f>
        <v>5</v>
      </c>
      <c r="G1533" s="1">
        <f>equip.xml!G1537</f>
        <v>45</v>
      </c>
      <c r="H1533" s="1" t="str">
        <f>equip.xml!H1537</f>
        <v>2,1002</v>
      </c>
      <c r="I1533" s="1">
        <f>equip.xml!J1537</f>
        <v>150</v>
      </c>
      <c r="J1533" s="1">
        <f>equip.xml!K1537</f>
        <v>1500</v>
      </c>
      <c r="K1533" s="1">
        <f>equip.xml!L1537</f>
        <v>27500</v>
      </c>
      <c r="L1533" s="1" t="str">
        <f>equip.xml!M1537</f>
        <v>108_1312_1312</v>
      </c>
      <c r="M1533" s="7" t="str">
        <f>equip.xml!Q1537</f>
        <v>equipment/2201.png</v>
      </c>
      <c r="N1533" t="str">
        <f>equip.xml!P1537</f>
        <v>10000_1002_45000,30000_30001_1,30000_30002_1,30000_30003_1</v>
      </c>
    </row>
    <row r="1534" spans="1:14">
      <c r="A1534" s="1" t="str">
        <f>equip.xml!A1538</f>
        <v>50453050</v>
      </c>
      <c r="B1534" s="1">
        <f>equip.xml!B1538</f>
        <v>1</v>
      </c>
      <c r="C1534" s="1" t="str">
        <f>equip.xml!C1538</f>
        <v>皇权之杖</v>
      </c>
      <c r="D1534" s="1" t="str">
        <f>equip.xml!D1538</f>
        <v>主手武器</v>
      </c>
      <c r="E1534" s="1">
        <f>equip.xml!E1538</f>
        <v>5</v>
      </c>
      <c r="F1534" s="1">
        <f>equip.xml!F1538</f>
        <v>5</v>
      </c>
      <c r="G1534" s="1">
        <f>equip.xml!G1538</f>
        <v>45</v>
      </c>
      <c r="H1534" s="1" t="str">
        <f>equip.xml!H1538</f>
        <v>3,1003</v>
      </c>
      <c r="I1534" s="1">
        <f>equip.xml!J1538</f>
        <v>150</v>
      </c>
      <c r="J1534" s="1">
        <f>equip.xml!K1538</f>
        <v>1500</v>
      </c>
      <c r="K1534" s="1">
        <f>equip.xml!L1538</f>
        <v>25000</v>
      </c>
      <c r="L1534" s="1" t="str">
        <f>equip.xml!M1538</f>
        <v>103_854_854,104_1708_1708</v>
      </c>
      <c r="M1534" s="7" t="str">
        <f>equip.xml!Q1538</f>
        <v>equipment/1316.png</v>
      </c>
      <c r="N1534" t="str">
        <f>equip.xml!P1538</f>
        <v>10000_1002_45000,30000_30001_1,30000_30002_1,30000_30003_1</v>
      </c>
    </row>
    <row r="1535" spans="1:14">
      <c r="A1535" s="1" t="str">
        <f>equip.xml!A1539</f>
        <v>50453051</v>
      </c>
      <c r="B1535" s="1">
        <f>equip.xml!B1539</f>
        <v>1</v>
      </c>
      <c r="C1535" s="1" t="str">
        <f>equip.xml!C1539</f>
        <v>圣晶权杖</v>
      </c>
      <c r="D1535" s="1" t="str">
        <f>equip.xml!D1539</f>
        <v>主手武器</v>
      </c>
      <c r="E1535" s="1">
        <f>equip.xml!E1539</f>
        <v>5</v>
      </c>
      <c r="F1535" s="1">
        <f>equip.xml!F1539</f>
        <v>5</v>
      </c>
      <c r="G1535" s="1">
        <f>equip.xml!G1539</f>
        <v>45</v>
      </c>
      <c r="H1535" s="1" t="str">
        <f>equip.xml!H1539</f>
        <v>3,1003</v>
      </c>
      <c r="I1535" s="1">
        <f>equip.xml!J1539</f>
        <v>150</v>
      </c>
      <c r="J1535" s="1">
        <f>equip.xml!K1539</f>
        <v>1500</v>
      </c>
      <c r="K1535" s="1">
        <f>equip.xml!L1539</f>
        <v>27500</v>
      </c>
      <c r="L1535" s="1" t="str">
        <f>equip.xml!M1539</f>
        <v>103_951_951,104_1902_1902</v>
      </c>
      <c r="M1535" s="7" t="str">
        <f>equip.xml!Q1539</f>
        <v>equipment/1318.png</v>
      </c>
      <c r="N1535" t="str">
        <f>equip.xml!P1539</f>
        <v>10000_1002_45000,30000_30001_1,30000_30002_1,30000_30003_1</v>
      </c>
    </row>
    <row r="1536" spans="1:14">
      <c r="A1536" s="1" t="str">
        <f>equip.xml!A1540</f>
        <v>50453060</v>
      </c>
      <c r="B1536" s="1">
        <f>equip.xml!B1540</f>
        <v>1</v>
      </c>
      <c r="C1536" s="1" t="str">
        <f>equip.xml!C1540</f>
        <v>占卜魔典</v>
      </c>
      <c r="D1536" s="1" t="str">
        <f>equip.xml!D1540</f>
        <v>副手武器</v>
      </c>
      <c r="E1536" s="1">
        <f>equip.xml!E1540</f>
        <v>6</v>
      </c>
      <c r="F1536" s="1">
        <f>equip.xml!F1540</f>
        <v>5</v>
      </c>
      <c r="G1536" s="1">
        <f>equip.xml!G1540</f>
        <v>45</v>
      </c>
      <c r="H1536" s="1" t="str">
        <f>equip.xml!H1540</f>
        <v>3,1003</v>
      </c>
      <c r="I1536" s="1">
        <f>equip.xml!J1540</f>
        <v>150</v>
      </c>
      <c r="J1536" s="1">
        <f>equip.xml!K1540</f>
        <v>1500</v>
      </c>
      <c r="K1536" s="1">
        <f>equip.xml!L1540</f>
        <v>25000</v>
      </c>
      <c r="L1536" s="1" t="str">
        <f>equip.xml!M1540</f>
        <v>102_1320_1320</v>
      </c>
      <c r="M1536" s="7" t="str">
        <f>equip.xml!Q1540</f>
        <v>equipment/2310.png</v>
      </c>
      <c r="N1536" t="str">
        <f>equip.xml!P1540</f>
        <v>10000_1002_45000,30000_30001_1,30000_30002_1,30000_30003_1</v>
      </c>
    </row>
    <row r="1537" spans="1:14">
      <c r="A1537" s="1" t="str">
        <f>equip.xml!A1541</f>
        <v>50453061</v>
      </c>
      <c r="B1537" s="1">
        <f>equip.xml!B1541</f>
        <v>0</v>
      </c>
      <c r="C1537" s="1" t="str">
        <f>equip.xml!C1541</f>
        <v>法术指南</v>
      </c>
      <c r="D1537" s="1" t="str">
        <f>equip.xml!D1541</f>
        <v>副手武器</v>
      </c>
      <c r="E1537" s="1">
        <f>equip.xml!E1541</f>
        <v>6</v>
      </c>
      <c r="F1537" s="1">
        <f>equip.xml!F1541</f>
        <v>5</v>
      </c>
      <c r="G1537" s="1">
        <f>equip.xml!G1541</f>
        <v>45</v>
      </c>
      <c r="H1537" s="1" t="str">
        <f>equip.xml!H1541</f>
        <v>3,1003</v>
      </c>
      <c r="I1537" s="1">
        <f>equip.xml!J1541</f>
        <v>150</v>
      </c>
      <c r="J1537" s="1">
        <f>equip.xml!K1541</f>
        <v>1500</v>
      </c>
      <c r="K1537" s="1">
        <f>equip.xml!L1541</f>
        <v>27500</v>
      </c>
      <c r="L1537" s="1" t="str">
        <f>equip.xml!M1541</f>
        <v>102_1312_1312</v>
      </c>
      <c r="M1537" s="7" t="str">
        <f>equip.xml!Q1541</f>
        <v>equipment/2301.png</v>
      </c>
      <c r="N1537" t="str">
        <f>equip.xml!P1541</f>
        <v>10000_1002_45000,30000_30001_1,30000_30002_1,30000_30003_1</v>
      </c>
    </row>
    <row r="1538" spans="1:14">
      <c r="A1538" s="1" t="str">
        <f>equip.xml!A1542</f>
        <v>50450040</v>
      </c>
      <c r="B1538" s="1">
        <f>equip.xml!B1542</f>
        <v>1</v>
      </c>
      <c r="C1538" s="1" t="str">
        <f>equip.xml!C1542</f>
        <v>执政官胸甲</v>
      </c>
      <c r="D1538" s="1" t="str">
        <f>equip.xml!D1542</f>
        <v>胸甲</v>
      </c>
      <c r="E1538" s="1">
        <f>equip.xml!E1542</f>
        <v>4</v>
      </c>
      <c r="F1538" s="1">
        <f>equip.xml!F1542</f>
        <v>5</v>
      </c>
      <c r="G1538" s="1">
        <f>equip.xml!G1542</f>
        <v>45</v>
      </c>
      <c r="H1538" s="1">
        <f>equip.xml!H1542</f>
        <v>0</v>
      </c>
      <c r="I1538" s="1">
        <f>equip.xml!J1542</f>
        <v>150</v>
      </c>
      <c r="J1538" s="1">
        <f>equip.xml!K1542</f>
        <v>1500</v>
      </c>
      <c r="K1538" s="1">
        <f>equip.xml!L1542</f>
        <v>25000</v>
      </c>
      <c r="L1538" s="1" t="str">
        <f>equip.xml!M1542</f>
        <v>105_628_628</v>
      </c>
      <c r="M1538" s="7" t="str">
        <f>equip.xml!Q1542</f>
        <v>equipment/5013.png</v>
      </c>
      <c r="N1538" t="str">
        <f>equip.xml!P1542</f>
        <v>10000_1002_45000,30000_30001_1,30000_30002_1,30000_30003_1</v>
      </c>
    </row>
    <row r="1539" spans="1:14">
      <c r="A1539" s="1" t="str">
        <f>equip.xml!A1543</f>
        <v>50450041</v>
      </c>
      <c r="B1539" s="1">
        <f>equip.xml!B1543</f>
        <v>1</v>
      </c>
      <c r="C1539" s="1" t="str">
        <f>equip.xml!C1543</f>
        <v>军团胸甲</v>
      </c>
      <c r="D1539" s="1" t="str">
        <f>equip.xml!D1543</f>
        <v>胸甲</v>
      </c>
      <c r="E1539" s="1">
        <f>equip.xml!E1543</f>
        <v>4</v>
      </c>
      <c r="F1539" s="1">
        <f>equip.xml!F1543</f>
        <v>5</v>
      </c>
      <c r="G1539" s="1">
        <f>equip.xml!G1543</f>
        <v>45</v>
      </c>
      <c r="H1539" s="1">
        <f>equip.xml!H1543</f>
        <v>0</v>
      </c>
      <c r="I1539" s="1">
        <f>equip.xml!J1543</f>
        <v>150</v>
      </c>
      <c r="J1539" s="1">
        <f>equip.xml!K1543</f>
        <v>1500</v>
      </c>
      <c r="K1539" s="1">
        <f>equip.xml!L1543</f>
        <v>27500</v>
      </c>
      <c r="L1539" s="1" t="str">
        <f>equip.xml!M1543</f>
        <v>105_689_689</v>
      </c>
      <c r="M1539" s="7" t="str">
        <f>equip.xml!Q1543</f>
        <v>equipment/5014.png</v>
      </c>
      <c r="N1539" t="str">
        <f>equip.xml!P1543</f>
        <v>10000_1002_45000,30000_30001_1,30000_30002_1,30000_30003_1</v>
      </c>
    </row>
    <row r="1540" spans="1:14">
      <c r="A1540" s="1" t="str">
        <f>equip.xml!A1544</f>
        <v>50450070</v>
      </c>
      <c r="B1540" s="1">
        <f>equip.xml!B1544</f>
        <v>1</v>
      </c>
      <c r="C1540" s="1" t="str">
        <f>equip.xml!C1544</f>
        <v>冰铸腿铠</v>
      </c>
      <c r="D1540" s="1" t="str">
        <f>equip.xml!D1544</f>
        <v>护腿</v>
      </c>
      <c r="E1540" s="1">
        <f>equip.xml!E1544</f>
        <v>7</v>
      </c>
      <c r="F1540" s="1">
        <f>equip.xml!F1544</f>
        <v>5</v>
      </c>
      <c r="G1540" s="1">
        <f>equip.xml!G1544</f>
        <v>45</v>
      </c>
      <c r="H1540" s="1">
        <f>equip.xml!H1544</f>
        <v>0</v>
      </c>
      <c r="I1540" s="1">
        <f>equip.xml!J1544</f>
        <v>150</v>
      </c>
      <c r="J1540" s="1">
        <f>equip.xml!K1544</f>
        <v>1500</v>
      </c>
      <c r="K1540" s="1">
        <f>equip.xml!L1544</f>
        <v>25000</v>
      </c>
      <c r="L1540" s="1" t="str">
        <f>equip.xml!M1544</f>
        <v>105_497_497</v>
      </c>
      <c r="M1540" s="7" t="str">
        <f>equip.xml!Q1544</f>
        <v>equipment/7011.png</v>
      </c>
      <c r="N1540" t="str">
        <f>equip.xml!P1544</f>
        <v>10000_1002_45000,30000_30001_1,30000_30002_1,30000_30003_1</v>
      </c>
    </row>
    <row r="1541" spans="1:14">
      <c r="A1541" s="1" t="str">
        <f>equip.xml!A1545</f>
        <v>50450071</v>
      </c>
      <c r="B1541" s="1">
        <f>equip.xml!B1545</f>
        <v>1</v>
      </c>
      <c r="C1541" s="1" t="str">
        <f>equip.xml!C1545</f>
        <v>织灵护腿</v>
      </c>
      <c r="D1541" s="1" t="str">
        <f>equip.xml!D1545</f>
        <v>护腿</v>
      </c>
      <c r="E1541" s="1">
        <f>equip.xml!E1545</f>
        <v>7</v>
      </c>
      <c r="F1541" s="1">
        <f>equip.xml!F1545</f>
        <v>5</v>
      </c>
      <c r="G1541" s="1">
        <f>equip.xml!G1545</f>
        <v>45</v>
      </c>
      <c r="H1541" s="1">
        <f>equip.xml!H1545</f>
        <v>0</v>
      </c>
      <c r="I1541" s="1">
        <f>equip.xml!J1545</f>
        <v>150</v>
      </c>
      <c r="J1541" s="1">
        <f>equip.xml!K1545</f>
        <v>1500</v>
      </c>
      <c r="K1541" s="1">
        <f>equip.xml!L1545</f>
        <v>27500</v>
      </c>
      <c r="L1541" s="1" t="str">
        <f>equip.xml!M1545</f>
        <v>105_549_549</v>
      </c>
      <c r="M1541" s="7" t="str">
        <f>equip.xml!Q1545</f>
        <v>equipment/7010.png</v>
      </c>
      <c r="N1541" t="str">
        <f>equip.xml!P1545</f>
        <v>10000_1002_45000,30000_30001_1,30000_30002_1,30000_30003_1</v>
      </c>
    </row>
    <row r="1542" spans="1:14">
      <c r="A1542" s="1" t="str">
        <f>equip.xml!A1546</f>
        <v>50500010</v>
      </c>
      <c r="B1542" s="1">
        <f>equip.xml!B1546</f>
        <v>1</v>
      </c>
      <c r="C1542" s="1" t="str">
        <f>equip.xml!C1546</f>
        <v>战痕头盔</v>
      </c>
      <c r="D1542" s="1" t="str">
        <f>equip.xml!D1546</f>
        <v>头盔</v>
      </c>
      <c r="E1542" s="1">
        <f>equip.xml!E1546</f>
        <v>1</v>
      </c>
      <c r="F1542" s="1">
        <f>equip.xml!F1546</f>
        <v>5</v>
      </c>
      <c r="G1542" s="1">
        <f>equip.xml!G1546</f>
        <v>50</v>
      </c>
      <c r="H1542" s="1">
        <f>equip.xml!H1546</f>
        <v>0</v>
      </c>
      <c r="I1542" s="1">
        <f>equip.xml!J1546</f>
        <v>150</v>
      </c>
      <c r="J1542" s="1">
        <f>equip.xml!K1546</f>
        <v>1500</v>
      </c>
      <c r="K1542" s="1">
        <f>equip.xml!L1546</f>
        <v>27500</v>
      </c>
      <c r="L1542" s="1" t="str">
        <f>equip.xml!M1546</f>
        <v>106_1000_1000</v>
      </c>
      <c r="M1542" s="7" t="str">
        <f>equip.xml!Q1546</f>
        <v>equipment/3008.png</v>
      </c>
      <c r="N1542" t="str">
        <f>equip.xml!P1546</f>
        <v>10000_1002_50000,30000_30001_1,30000_30002_1,30000_30003_1</v>
      </c>
    </row>
    <row r="1543" spans="1:14">
      <c r="A1543" s="1" t="str">
        <f>equip.xml!A1547</f>
        <v>50500020</v>
      </c>
      <c r="B1543" s="1">
        <f>equip.xml!B1547</f>
        <v>1</v>
      </c>
      <c r="C1543" s="1" t="str">
        <f>equip.xml!C1547</f>
        <v>灵风之戒</v>
      </c>
      <c r="D1543" s="1" t="str">
        <f>equip.xml!D1547</f>
        <v>戒指</v>
      </c>
      <c r="E1543" s="1">
        <f>equip.xml!E1547</f>
        <v>2</v>
      </c>
      <c r="F1543" s="1">
        <f>equip.xml!F1547</f>
        <v>5</v>
      </c>
      <c r="G1543" s="1">
        <f>equip.xml!G1547</f>
        <v>50</v>
      </c>
      <c r="H1543" s="1">
        <f>equip.xml!H1547</f>
        <v>0</v>
      </c>
      <c r="I1543" s="1">
        <f>equip.xml!J1547</f>
        <v>150</v>
      </c>
      <c r="J1543" s="1">
        <f>equip.xml!K1547</f>
        <v>1500</v>
      </c>
      <c r="K1543" s="1">
        <f>equip.xml!L1547</f>
        <v>27500</v>
      </c>
      <c r="L1543" s="1" t="str">
        <f>equip.xml!M1547</f>
        <v>102_975_975</v>
      </c>
      <c r="M1543" s="7" t="str">
        <f>equip.xml!Q1547</f>
        <v>equipment/14008.png</v>
      </c>
      <c r="N1543" t="str">
        <f>equip.xml!P1547</f>
        <v>10000_1002_50000,30000_30001_1,30000_30002_1,30000_30003_1</v>
      </c>
    </row>
    <row r="1544" spans="1:14">
      <c r="A1544" s="1" t="str">
        <f>equip.xml!A1548</f>
        <v>50500030</v>
      </c>
      <c r="B1544" s="1">
        <f>equip.xml!B1548</f>
        <v>1</v>
      </c>
      <c r="C1544" s="1" t="str">
        <f>equip.xml!C1548</f>
        <v>生命腰带</v>
      </c>
      <c r="D1544" s="1" t="str">
        <f>equip.xml!D1548</f>
        <v>腰带</v>
      </c>
      <c r="E1544" s="1">
        <f>equip.xml!E1548</f>
        <v>3</v>
      </c>
      <c r="F1544" s="1">
        <f>equip.xml!F1548</f>
        <v>5</v>
      </c>
      <c r="G1544" s="1">
        <f>equip.xml!G1548</f>
        <v>50</v>
      </c>
      <c r="H1544" s="1">
        <f>equip.xml!H1548</f>
        <v>0</v>
      </c>
      <c r="I1544" s="1">
        <f>equip.xml!J1548</f>
        <v>150</v>
      </c>
      <c r="J1544" s="1">
        <f>equip.xml!K1548</f>
        <v>1500</v>
      </c>
      <c r="K1544" s="1">
        <f>equip.xml!L1548</f>
        <v>27500</v>
      </c>
      <c r="L1544" s="1" t="str">
        <f>equip.xml!M1548</f>
        <v>101_11560_11560</v>
      </c>
      <c r="M1544" s="7" t="str">
        <f>equip.xml!Q1548</f>
        <v>equipment/6009.png</v>
      </c>
      <c r="N1544" t="str">
        <f>equip.xml!P1548</f>
        <v>10000_1002_50000,30000_30001_1,30000_30002_1,30000_30003_1</v>
      </c>
    </row>
    <row r="1545" spans="1:14">
      <c r="A1545" s="1" t="str">
        <f>equip.xml!A1549</f>
        <v>50500080</v>
      </c>
      <c r="B1545" s="1">
        <f>equip.xml!B1549</f>
        <v>0</v>
      </c>
      <c r="C1545" s="1" t="str">
        <f>equip.xml!C1549</f>
        <v>龙鳞护胫</v>
      </c>
      <c r="D1545" s="1" t="str">
        <f>equip.xml!D1549</f>
        <v>鞋子</v>
      </c>
      <c r="E1545" s="1">
        <f>equip.xml!E1549</f>
        <v>8</v>
      </c>
      <c r="F1545" s="1">
        <f>equip.xml!F1549</f>
        <v>5</v>
      </c>
      <c r="G1545" s="1">
        <f>equip.xml!G1549</f>
        <v>50</v>
      </c>
      <c r="H1545" s="1">
        <f>equip.xml!H1549</f>
        <v>0</v>
      </c>
      <c r="I1545" s="1">
        <f>equip.xml!J1549</f>
        <v>150</v>
      </c>
      <c r="J1545" s="1">
        <f>equip.xml!K1549</f>
        <v>1500</v>
      </c>
      <c r="K1545" s="1">
        <f>equip.xml!L1549</f>
        <v>27500</v>
      </c>
      <c r="L1545" s="1" t="str">
        <f>equip.xml!M1549</f>
        <v>110_172_172</v>
      </c>
      <c r="M1545" s="7" t="str">
        <f>equip.xml!Q1549</f>
        <v>equipment/8001.png</v>
      </c>
      <c r="N1545" t="str">
        <f>equip.xml!P1549</f>
        <v>10000_1002_50000,30000_30001_1,30000_30002_1,30000_30003_1</v>
      </c>
    </row>
    <row r="1546" spans="1:14">
      <c r="A1546" s="1" t="str">
        <f>equip.xml!A1550</f>
        <v>50500090</v>
      </c>
      <c r="B1546" s="1">
        <f>equip.xml!B1550</f>
        <v>1</v>
      </c>
      <c r="C1546" s="1" t="str">
        <f>equip.xml!C1550</f>
        <v>血拳手套</v>
      </c>
      <c r="D1546" s="1" t="str">
        <f>equip.xml!D1550</f>
        <v>手套</v>
      </c>
      <c r="E1546" s="1">
        <f>equip.xml!E1550</f>
        <v>9</v>
      </c>
      <c r="F1546" s="1">
        <f>equip.xml!F1550</f>
        <v>5</v>
      </c>
      <c r="G1546" s="1">
        <f>equip.xml!G1550</f>
        <v>50</v>
      </c>
      <c r="H1546" s="1">
        <f>equip.xml!H1550</f>
        <v>0</v>
      </c>
      <c r="I1546" s="1">
        <f>equip.xml!J1550</f>
        <v>150</v>
      </c>
      <c r="J1546" s="1">
        <f>equip.xml!K1550</f>
        <v>1500</v>
      </c>
      <c r="K1546" s="1">
        <f>equip.xml!L1550</f>
        <v>27500</v>
      </c>
      <c r="L1546" s="1" t="str">
        <f>equip.xml!M1550</f>
        <v>108_1726_1726</v>
      </c>
      <c r="M1546" s="7" t="str">
        <f>equip.xml!Q1550</f>
        <v>equipment/10009.png</v>
      </c>
      <c r="N1546" t="str">
        <f>equip.xml!P1550</f>
        <v>10000_1002_50000,30000_30001_1,30000_30002_1,30000_30003_1</v>
      </c>
    </row>
    <row r="1547" spans="1:14">
      <c r="A1547" s="1" t="str">
        <f>equip.xml!A1551</f>
        <v>50500100</v>
      </c>
      <c r="B1547" s="1">
        <f>equip.xml!B1551</f>
        <v>1</v>
      </c>
      <c r="C1547" s="1" t="str">
        <f>equip.xml!C1551</f>
        <v>誓言护坠</v>
      </c>
      <c r="D1547" s="1" t="str">
        <f>equip.xml!D1551</f>
        <v>项链</v>
      </c>
      <c r="E1547" s="1">
        <f>equip.xml!E1551</f>
        <v>10</v>
      </c>
      <c r="F1547" s="1">
        <f>equip.xml!F1551</f>
        <v>5</v>
      </c>
      <c r="G1547" s="1">
        <f>equip.xml!G1551</f>
        <v>50</v>
      </c>
      <c r="H1547" s="1">
        <f>equip.xml!H1551</f>
        <v>0</v>
      </c>
      <c r="I1547" s="1">
        <f>equip.xml!J1551</f>
        <v>150</v>
      </c>
      <c r="J1547" s="1">
        <f>equip.xml!K1551</f>
        <v>1500</v>
      </c>
      <c r="K1547" s="1">
        <f>equip.xml!L1551</f>
        <v>27500</v>
      </c>
      <c r="L1547" s="1" t="str">
        <f>equip.xml!M1551</f>
        <v>107_1000_1000</v>
      </c>
      <c r="M1547" s="7" t="str">
        <f>equip.xml!Q1551</f>
        <v>equipment/12008.png</v>
      </c>
      <c r="N1547" t="str">
        <f>equip.xml!P1551</f>
        <v>10000_1002_50000,30000_30001_1,30000_30002_1,30000_30003_1</v>
      </c>
    </row>
    <row r="1548" spans="1:14">
      <c r="A1548" s="1" t="str">
        <f>equip.xml!A1552</f>
        <v>50501050</v>
      </c>
      <c r="B1548" s="1">
        <f>equip.xml!B1552</f>
        <v>1</v>
      </c>
      <c r="C1548" s="1" t="str">
        <f>equip.xml!C1552</f>
        <v>黎明之刃</v>
      </c>
      <c r="D1548" s="1" t="str">
        <f>equip.xml!D1552</f>
        <v>主手武器</v>
      </c>
      <c r="E1548" s="1">
        <f>equip.xml!E1552</f>
        <v>5</v>
      </c>
      <c r="F1548" s="1">
        <f>equip.xml!F1552</f>
        <v>5</v>
      </c>
      <c r="G1548" s="1">
        <f>equip.xml!G1552</f>
        <v>50</v>
      </c>
      <c r="H1548" s="1" t="str">
        <f>equip.xml!H1552</f>
        <v>1,1001</v>
      </c>
      <c r="I1548" s="1">
        <f>equip.xml!J1552</f>
        <v>150</v>
      </c>
      <c r="J1548" s="1">
        <f>equip.xml!K1552</f>
        <v>1500</v>
      </c>
      <c r="K1548" s="1">
        <f>equip.xml!L1552</f>
        <v>27500</v>
      </c>
      <c r="L1548" s="1" t="str">
        <f>equip.xml!M1552</f>
        <v>103_1097_1097,104_2194_2194</v>
      </c>
      <c r="M1548" s="7" t="str">
        <f>equip.xml!Q1552</f>
        <v>equipment/1119.png</v>
      </c>
      <c r="N1548" t="str">
        <f>equip.xml!P1552</f>
        <v>10000_1002_50000,30000_30001_1,30000_30002_1,30000_30003_1</v>
      </c>
    </row>
    <row r="1549" spans="1:14">
      <c r="A1549" s="1" t="str">
        <f>equip.xml!A1553</f>
        <v>50501051</v>
      </c>
      <c r="B1549" s="1">
        <f>equip.xml!B1553</f>
        <v>1</v>
      </c>
      <c r="C1549" s="1" t="str">
        <f>equip.xml!C1553</f>
        <v>放逐者之刃</v>
      </c>
      <c r="D1549" s="1" t="str">
        <f>equip.xml!D1553</f>
        <v>主手武器</v>
      </c>
      <c r="E1549" s="1">
        <f>equip.xml!E1553</f>
        <v>5</v>
      </c>
      <c r="F1549" s="1">
        <f>equip.xml!F1553</f>
        <v>5</v>
      </c>
      <c r="G1549" s="1">
        <f>equip.xml!G1553</f>
        <v>50</v>
      </c>
      <c r="H1549" s="1" t="str">
        <f>equip.xml!H1553</f>
        <v>1,1001</v>
      </c>
      <c r="I1549" s="1">
        <f>equip.xml!J1553</f>
        <v>150</v>
      </c>
      <c r="J1549" s="1">
        <f>equip.xml!K1553</f>
        <v>1500</v>
      </c>
      <c r="K1549" s="1">
        <f>equip.xml!L1553</f>
        <v>30000</v>
      </c>
      <c r="L1549" s="1" t="str">
        <f>equip.xml!M1553</f>
        <v>103_1222_1222,104_2444_2444</v>
      </c>
      <c r="M1549" s="7" t="str">
        <f>equip.xml!Q1553</f>
        <v>equipment/1120.png</v>
      </c>
      <c r="N1549" t="str">
        <f>equip.xml!P1553</f>
        <v>10000_1002_50000,30000_30001_1,30000_30002_1,30000_30003_1</v>
      </c>
    </row>
    <row r="1550" spans="1:14">
      <c r="A1550" s="1" t="str">
        <f>equip.xml!A1554</f>
        <v>50501060</v>
      </c>
      <c r="B1550" s="1">
        <f>equip.xml!B1554</f>
        <v>1</v>
      </c>
      <c r="C1550" s="1" t="str">
        <f>equip.xml!C1554</f>
        <v>魂祭之盾</v>
      </c>
      <c r="D1550" s="1" t="str">
        <f>equip.xml!D1554</f>
        <v>副手武器</v>
      </c>
      <c r="E1550" s="1">
        <f>equip.xml!E1554</f>
        <v>6</v>
      </c>
      <c r="F1550" s="1">
        <f>equip.xml!F1554</f>
        <v>5</v>
      </c>
      <c r="G1550" s="1">
        <f>equip.xml!G1554</f>
        <v>50</v>
      </c>
      <c r="H1550" s="1" t="str">
        <f>equip.xml!H1554</f>
        <v>1,1001</v>
      </c>
      <c r="I1550" s="1">
        <f>equip.xml!J1554</f>
        <v>150</v>
      </c>
      <c r="J1550" s="1">
        <f>equip.xml!K1554</f>
        <v>1500</v>
      </c>
      <c r="K1550" s="1">
        <f>equip.xml!L1554</f>
        <v>27500</v>
      </c>
      <c r="L1550" s="1" t="str">
        <f>equip.xml!M1554</f>
        <v>105_1401_1401</v>
      </c>
      <c r="M1550" s="7" t="str">
        <f>equip.xml!Q1554</f>
        <v>equipment/2111.png</v>
      </c>
      <c r="N1550" t="str">
        <f>equip.xml!P1554</f>
        <v>10000_1002_50000,30000_30001_1,30000_30002_1,30000_30003_1</v>
      </c>
    </row>
    <row r="1551" spans="1:14">
      <c r="A1551" s="1" t="str">
        <f>equip.xml!A1555</f>
        <v>50501061</v>
      </c>
      <c r="B1551" s="1">
        <f>equip.xml!B1555</f>
        <v>1</v>
      </c>
      <c r="C1551" s="1" t="str">
        <f>equip.xml!C1555</f>
        <v>氪金大盾</v>
      </c>
      <c r="D1551" s="1" t="str">
        <f>equip.xml!D1555</f>
        <v>副手武器</v>
      </c>
      <c r="E1551" s="1">
        <f>equip.xml!E1555</f>
        <v>6</v>
      </c>
      <c r="F1551" s="1">
        <f>equip.xml!F1555</f>
        <v>5</v>
      </c>
      <c r="G1551" s="1">
        <f>equip.xml!G1555</f>
        <v>50</v>
      </c>
      <c r="H1551" s="1" t="str">
        <f>equip.xml!H1555</f>
        <v>1,1001</v>
      </c>
      <c r="I1551" s="1">
        <f>equip.xml!J1555</f>
        <v>150</v>
      </c>
      <c r="J1551" s="1">
        <f>equip.xml!K1555</f>
        <v>1500</v>
      </c>
      <c r="K1551" s="1">
        <f>equip.xml!L1555</f>
        <v>30000</v>
      </c>
      <c r="L1551" s="1" t="str">
        <f>equip.xml!M1555</f>
        <v>105_1633_1633</v>
      </c>
      <c r="M1551" s="7" t="str">
        <f>equip.xml!Q1555</f>
        <v>equipment/2112.png</v>
      </c>
      <c r="N1551" t="str">
        <f>equip.xml!P1555</f>
        <v>10000_1002_50000,30000_30001_1,30000_30002_1,30000_30003_1</v>
      </c>
    </row>
    <row r="1552" spans="1:14">
      <c r="A1552" s="1" t="str">
        <f>equip.xml!A1556</f>
        <v>50502050</v>
      </c>
      <c r="B1552" s="1">
        <f>equip.xml!B1556</f>
        <v>1</v>
      </c>
      <c r="C1552" s="1" t="str">
        <f>equip.xml!C1556</f>
        <v>觅心者长弓</v>
      </c>
      <c r="D1552" s="1" t="str">
        <f>equip.xml!D1556</f>
        <v>主手武器</v>
      </c>
      <c r="E1552" s="1">
        <f>equip.xml!E1556</f>
        <v>5</v>
      </c>
      <c r="F1552" s="1">
        <f>equip.xml!F1556</f>
        <v>5</v>
      </c>
      <c r="G1552" s="1">
        <f>equip.xml!G1556</f>
        <v>50</v>
      </c>
      <c r="H1552" s="1" t="str">
        <f>equip.xml!H1556</f>
        <v>2,1002</v>
      </c>
      <c r="I1552" s="1">
        <f>equip.xml!J1556</f>
        <v>150</v>
      </c>
      <c r="J1552" s="1">
        <f>equip.xml!K1556</f>
        <v>1500</v>
      </c>
      <c r="K1552" s="1">
        <f>equip.xml!L1556</f>
        <v>27500</v>
      </c>
      <c r="L1552" s="1" t="str">
        <f>equip.xml!M1556</f>
        <v>103_1097_1097,104_2194_2194</v>
      </c>
      <c r="M1552" s="7" t="str">
        <f>equip.xml!Q1556</f>
        <v>equipment/1218.png</v>
      </c>
      <c r="N1552" t="str">
        <f>equip.xml!P1556</f>
        <v>10000_1002_50000,30000_30001_1,30000_30002_1,30000_30003_1</v>
      </c>
    </row>
    <row r="1553" spans="1:14">
      <c r="A1553" s="1" t="str">
        <f>equip.xml!A1557</f>
        <v>50502051</v>
      </c>
      <c r="B1553" s="1">
        <f>equip.xml!B1557</f>
        <v>1</v>
      </c>
      <c r="C1553" s="1" t="str">
        <f>equip.xml!C1557</f>
        <v>阳炎之弓</v>
      </c>
      <c r="D1553" s="1" t="str">
        <f>equip.xml!D1557</f>
        <v>主手武器</v>
      </c>
      <c r="E1553" s="1">
        <f>equip.xml!E1557</f>
        <v>5</v>
      </c>
      <c r="F1553" s="1">
        <f>equip.xml!F1557</f>
        <v>5</v>
      </c>
      <c r="G1553" s="1">
        <f>equip.xml!G1557</f>
        <v>50</v>
      </c>
      <c r="H1553" s="1" t="str">
        <f>equip.xml!H1557</f>
        <v>2,1002</v>
      </c>
      <c r="I1553" s="1">
        <f>equip.xml!J1557</f>
        <v>150</v>
      </c>
      <c r="J1553" s="1">
        <f>equip.xml!K1557</f>
        <v>1500</v>
      </c>
      <c r="K1553" s="1">
        <f>equip.xml!L1557</f>
        <v>30000</v>
      </c>
      <c r="L1553" s="1" t="str">
        <f>equip.xml!M1557</f>
        <v>103_1222_1222,104_2444_2444</v>
      </c>
      <c r="M1553" s="7" t="str">
        <f>equip.xml!Q1557</f>
        <v>equipment/1221.png</v>
      </c>
      <c r="N1553" t="str">
        <f>equip.xml!P1557</f>
        <v>10000_1002_50000,30000_30001_1,30000_30002_1,30000_30003_1</v>
      </c>
    </row>
    <row r="1554" spans="1:14">
      <c r="A1554" s="1" t="str">
        <f>equip.xml!A1558</f>
        <v>50502060</v>
      </c>
      <c r="B1554" s="1">
        <f>equip.xml!B1558</f>
        <v>1</v>
      </c>
      <c r="C1554" s="1" t="str">
        <f>equip.xml!C1558</f>
        <v>黑骨箭袋</v>
      </c>
      <c r="D1554" s="1" t="str">
        <f>equip.xml!D1558</f>
        <v>副手武器</v>
      </c>
      <c r="E1554" s="1">
        <f>equip.xml!E1558</f>
        <v>6</v>
      </c>
      <c r="F1554" s="1">
        <f>equip.xml!F1558</f>
        <v>5</v>
      </c>
      <c r="G1554" s="1">
        <f>equip.xml!G1558</f>
        <v>50</v>
      </c>
      <c r="H1554" s="1" t="str">
        <f>equip.xml!H1558</f>
        <v>2,1002</v>
      </c>
      <c r="I1554" s="1">
        <f>equip.xml!J1558</f>
        <v>150</v>
      </c>
      <c r="J1554" s="1">
        <f>equip.xml!K1558</f>
        <v>1500</v>
      </c>
      <c r="K1554" s="1">
        <f>equip.xml!L1558</f>
        <v>27500</v>
      </c>
      <c r="L1554" s="1" t="str">
        <f>equip.xml!M1558</f>
        <v>108_1401_1401</v>
      </c>
      <c r="M1554" s="7" t="str">
        <f>equip.xml!Q1558</f>
        <v>equipment/2210.png</v>
      </c>
      <c r="N1554" t="str">
        <f>equip.xml!P1558</f>
        <v>10000_1002_50000,30000_30001_1,30000_30002_1,30000_30003_1</v>
      </c>
    </row>
    <row r="1555" spans="1:14">
      <c r="A1555" s="1" t="str">
        <f>equip.xml!A1559</f>
        <v>50502061</v>
      </c>
      <c r="B1555" s="1">
        <f>equip.xml!B1559</f>
        <v>1</v>
      </c>
      <c r="C1555" s="1" t="str">
        <f>equip.xml!C1559</f>
        <v>符文箭筒</v>
      </c>
      <c r="D1555" s="1" t="str">
        <f>equip.xml!D1559</f>
        <v>副手武器</v>
      </c>
      <c r="E1555" s="1">
        <f>equip.xml!E1559</f>
        <v>6</v>
      </c>
      <c r="F1555" s="1">
        <f>equip.xml!F1559</f>
        <v>5</v>
      </c>
      <c r="G1555" s="1">
        <f>equip.xml!G1559</f>
        <v>50</v>
      </c>
      <c r="H1555" s="1" t="str">
        <f>equip.xml!H1559</f>
        <v>2,1002</v>
      </c>
      <c r="I1555" s="1">
        <f>equip.xml!J1559</f>
        <v>150</v>
      </c>
      <c r="J1555" s="1">
        <f>equip.xml!K1559</f>
        <v>1500</v>
      </c>
      <c r="K1555" s="1">
        <f>equip.xml!L1559</f>
        <v>30000</v>
      </c>
      <c r="L1555" s="1" t="str">
        <f>equip.xml!M1559</f>
        <v>108_1633_1633</v>
      </c>
      <c r="M1555" s="7" t="str">
        <f>equip.xml!Q1559</f>
        <v>equipment/2212.png</v>
      </c>
      <c r="N1555" t="str">
        <f>equip.xml!P1559</f>
        <v>10000_1002_50000,30000_30001_1,30000_30002_1,30000_30003_1</v>
      </c>
    </row>
    <row r="1556" spans="1:14">
      <c r="A1556" s="1" t="str">
        <f>equip.xml!A1560</f>
        <v>50503050</v>
      </c>
      <c r="B1556" s="1">
        <f>equip.xml!B1560</f>
        <v>1</v>
      </c>
      <c r="C1556" s="1" t="str">
        <f>equip.xml!C1560</f>
        <v>虚灵法杖</v>
      </c>
      <c r="D1556" s="1" t="str">
        <f>equip.xml!D1560</f>
        <v>主手武器</v>
      </c>
      <c r="E1556" s="1">
        <f>equip.xml!E1560</f>
        <v>5</v>
      </c>
      <c r="F1556" s="1">
        <f>equip.xml!F1560</f>
        <v>5</v>
      </c>
      <c r="G1556" s="1">
        <f>equip.xml!G1560</f>
        <v>50</v>
      </c>
      <c r="H1556" s="1" t="str">
        <f>equip.xml!H1560</f>
        <v>3,1003</v>
      </c>
      <c r="I1556" s="1">
        <f>equip.xml!J1560</f>
        <v>150</v>
      </c>
      <c r="J1556" s="1">
        <f>equip.xml!K1560</f>
        <v>1500</v>
      </c>
      <c r="K1556" s="1">
        <f>equip.xml!L1560</f>
        <v>27500</v>
      </c>
      <c r="L1556" s="1" t="str">
        <f>equip.xml!M1560</f>
        <v>103_1097_1097,104_2194_2194</v>
      </c>
      <c r="M1556" s="7" t="str">
        <f>equip.xml!Q1560</f>
        <v>equipment/1319.png</v>
      </c>
      <c r="N1556" t="str">
        <f>equip.xml!P1560</f>
        <v>10000_1002_50000,30000_30001_1,30000_30002_1,30000_30003_1</v>
      </c>
    </row>
    <row r="1557" spans="1:14">
      <c r="A1557" s="1" t="str">
        <f>equip.xml!A1561</f>
        <v>50503051</v>
      </c>
      <c r="B1557" s="1">
        <f>equip.xml!B1561</f>
        <v>1</v>
      </c>
      <c r="C1557" s="1" t="str">
        <f>equip.xml!C1561</f>
        <v>恒光巨杖</v>
      </c>
      <c r="D1557" s="1" t="str">
        <f>equip.xml!D1561</f>
        <v>主手武器</v>
      </c>
      <c r="E1557" s="1">
        <f>equip.xml!E1561</f>
        <v>5</v>
      </c>
      <c r="F1557" s="1">
        <f>equip.xml!F1561</f>
        <v>5</v>
      </c>
      <c r="G1557" s="1">
        <f>equip.xml!G1561</f>
        <v>50</v>
      </c>
      <c r="H1557" s="1" t="str">
        <f>equip.xml!H1561</f>
        <v>3,1003</v>
      </c>
      <c r="I1557" s="1">
        <f>equip.xml!J1561</f>
        <v>150</v>
      </c>
      <c r="J1557" s="1">
        <f>equip.xml!K1561</f>
        <v>1500</v>
      </c>
      <c r="K1557" s="1">
        <f>equip.xml!L1561</f>
        <v>30000</v>
      </c>
      <c r="L1557" s="1" t="str">
        <f>equip.xml!M1561</f>
        <v>103_1222_1222,104_2444_2444</v>
      </c>
      <c r="M1557" s="7" t="str">
        <f>equip.xml!Q1561</f>
        <v>equipment/1320.png</v>
      </c>
      <c r="N1557" t="str">
        <f>equip.xml!P1561</f>
        <v>10000_1002_50000,30000_30001_1,30000_30002_1,30000_30003_1</v>
      </c>
    </row>
    <row r="1558" spans="1:14">
      <c r="A1558" s="1" t="str">
        <f>equip.xml!A1562</f>
        <v>50503060</v>
      </c>
      <c r="B1558" s="1">
        <f>equip.xml!B1562</f>
        <v>1</v>
      </c>
      <c r="C1558" s="1" t="str">
        <f>equip.xml!C1562</f>
        <v>幻术之书</v>
      </c>
      <c r="D1558" s="1" t="str">
        <f>equip.xml!D1562</f>
        <v>副手武器</v>
      </c>
      <c r="E1558" s="1">
        <f>equip.xml!E1562</f>
        <v>6</v>
      </c>
      <c r="F1558" s="1">
        <f>equip.xml!F1562</f>
        <v>5</v>
      </c>
      <c r="G1558" s="1">
        <f>equip.xml!G1562</f>
        <v>50</v>
      </c>
      <c r="H1558" s="1" t="str">
        <f>equip.xml!H1562</f>
        <v>3,1003</v>
      </c>
      <c r="I1558" s="1">
        <f>equip.xml!J1562</f>
        <v>150</v>
      </c>
      <c r="J1558" s="1">
        <f>equip.xml!K1562</f>
        <v>1500</v>
      </c>
      <c r="K1558" s="1">
        <f>equip.xml!L1562</f>
        <v>27500</v>
      </c>
      <c r="L1558" s="1" t="str">
        <f>equip.xml!M1562</f>
        <v>102_1440_1440</v>
      </c>
      <c r="M1558" s="7" t="str">
        <f>equip.xml!Q1562</f>
        <v>equipment/2311.png</v>
      </c>
      <c r="N1558" t="str">
        <f>equip.xml!P1562</f>
        <v>10000_1002_50000,30000_30001_1,30000_30002_1,30000_30003_1</v>
      </c>
    </row>
    <row r="1559" spans="1:14">
      <c r="A1559" s="1" t="str">
        <f>equip.xml!A1563</f>
        <v>50503061</v>
      </c>
      <c r="B1559" s="1">
        <f>equip.xml!B1563</f>
        <v>1</v>
      </c>
      <c r="C1559" s="1" t="str">
        <f>equip.xml!C1563</f>
        <v>护咒之书</v>
      </c>
      <c r="D1559" s="1" t="str">
        <f>equip.xml!D1563</f>
        <v>副手武器</v>
      </c>
      <c r="E1559" s="1">
        <f>equip.xml!E1563</f>
        <v>6</v>
      </c>
      <c r="F1559" s="1">
        <f>equip.xml!F1563</f>
        <v>5</v>
      </c>
      <c r="G1559" s="1">
        <f>equip.xml!G1563</f>
        <v>50</v>
      </c>
      <c r="H1559" s="1" t="str">
        <f>equip.xml!H1563</f>
        <v>3,1003</v>
      </c>
      <c r="I1559" s="1">
        <f>equip.xml!J1563</f>
        <v>150</v>
      </c>
      <c r="J1559" s="1">
        <f>equip.xml!K1563</f>
        <v>1500</v>
      </c>
      <c r="K1559" s="1">
        <f>equip.xml!L1563</f>
        <v>30000</v>
      </c>
      <c r="L1559" s="1" t="str">
        <f>equip.xml!M1563</f>
        <v>102_1633_1633</v>
      </c>
      <c r="M1559" s="7" t="str">
        <f>equip.xml!Q1563</f>
        <v>equipment/2312.png</v>
      </c>
      <c r="N1559" t="str">
        <f>equip.xml!P1563</f>
        <v>10000_1002_50000,30000_30001_1,30000_30002_1,30000_30003_1</v>
      </c>
    </row>
    <row r="1560" spans="1:14">
      <c r="A1560" s="1" t="str">
        <f>equip.xml!A1564</f>
        <v>50500040</v>
      </c>
      <c r="B1560" s="1">
        <f>equip.xml!B1564</f>
        <v>0</v>
      </c>
      <c r="C1560" s="1" t="str">
        <f>equip.xml!C1564</f>
        <v>新兵外套</v>
      </c>
      <c r="D1560" s="1" t="str">
        <f>equip.xml!D1564</f>
        <v>胸甲</v>
      </c>
      <c r="E1560" s="1">
        <f>equip.xml!E1564</f>
        <v>4</v>
      </c>
      <c r="F1560" s="1">
        <f>equip.xml!F1564</f>
        <v>5</v>
      </c>
      <c r="G1560" s="1">
        <f>equip.xml!G1564</f>
        <v>50</v>
      </c>
      <c r="H1560" s="1">
        <f>equip.xml!H1564</f>
        <v>0</v>
      </c>
      <c r="I1560" s="1">
        <f>equip.xml!J1564</f>
        <v>150</v>
      </c>
      <c r="J1560" s="1">
        <f>equip.xml!K1564</f>
        <v>1500</v>
      </c>
      <c r="K1560" s="1">
        <f>equip.xml!L1564</f>
        <v>27500</v>
      </c>
      <c r="L1560" s="1" t="str">
        <f>equip.xml!M1564</f>
        <v>105_780_780</v>
      </c>
      <c r="M1560" s="7" t="str">
        <f>equip.xml!Q1564</f>
        <v>equipment/5001.png</v>
      </c>
      <c r="N1560" t="str">
        <f>equip.xml!P1564</f>
        <v>10000_1002_50000,30000_30001_1,30000_30002_1,30000_30003_1</v>
      </c>
    </row>
    <row r="1561" spans="1:14">
      <c r="A1561" s="1" t="str">
        <f>equip.xml!A1565</f>
        <v>50500041</v>
      </c>
      <c r="B1561" s="1">
        <f>equip.xml!B1565</f>
        <v>0</v>
      </c>
      <c r="C1561" s="1" t="str">
        <f>equip.xml!C1565</f>
        <v>新兵外套</v>
      </c>
      <c r="D1561" s="1" t="str">
        <f>equip.xml!D1565</f>
        <v>胸甲</v>
      </c>
      <c r="E1561" s="1">
        <f>equip.xml!E1565</f>
        <v>4</v>
      </c>
      <c r="F1561" s="1">
        <f>equip.xml!F1565</f>
        <v>5</v>
      </c>
      <c r="G1561" s="1">
        <f>equip.xml!G1565</f>
        <v>50</v>
      </c>
      <c r="H1561" s="1">
        <f>equip.xml!H1565</f>
        <v>0</v>
      </c>
      <c r="I1561" s="1">
        <f>equip.xml!J1565</f>
        <v>150</v>
      </c>
      <c r="J1561" s="1">
        <f>equip.xml!K1565</f>
        <v>1500</v>
      </c>
      <c r="K1561" s="1">
        <f>equip.xml!L1565</f>
        <v>30000</v>
      </c>
      <c r="L1561" s="1" t="str">
        <f>equip.xml!M1565</f>
        <v>105_929_929</v>
      </c>
      <c r="M1561" s="7" t="str">
        <f>equip.xml!Q1565</f>
        <v>equipment/5001.png</v>
      </c>
      <c r="N1561" t="str">
        <f>equip.xml!P1565</f>
        <v>10000_1002_50000,30000_30001_1,30000_30002_1,30000_30003_1</v>
      </c>
    </row>
    <row r="1562" spans="1:14">
      <c r="A1562" s="1" t="str">
        <f>equip.xml!A1566</f>
        <v>50500070</v>
      </c>
      <c r="B1562" s="1">
        <f>equip.xml!B1566</f>
        <v>1</v>
      </c>
      <c r="C1562" s="1" t="str">
        <f>equip.xml!C1566</f>
        <v>凯旋腿甲</v>
      </c>
      <c r="D1562" s="1" t="str">
        <f>equip.xml!D1566</f>
        <v>护腿</v>
      </c>
      <c r="E1562" s="1">
        <f>equip.xml!E1566</f>
        <v>7</v>
      </c>
      <c r="F1562" s="1">
        <f>equip.xml!F1566</f>
        <v>5</v>
      </c>
      <c r="G1562" s="1">
        <f>equip.xml!G1566</f>
        <v>50</v>
      </c>
      <c r="H1562" s="1">
        <f>equip.xml!H1566</f>
        <v>0</v>
      </c>
      <c r="I1562" s="1">
        <f>equip.xml!J1566</f>
        <v>150</v>
      </c>
      <c r="J1562" s="1">
        <f>equip.xml!K1566</f>
        <v>1500</v>
      </c>
      <c r="K1562" s="1">
        <f>equip.xml!L1566</f>
        <v>27500</v>
      </c>
      <c r="L1562" s="1" t="str">
        <f>equip.xml!M1566</f>
        <v>105_628_628</v>
      </c>
      <c r="M1562" s="7" t="str">
        <f>equip.xml!Q1566</f>
        <v>equipment/7012.png</v>
      </c>
      <c r="N1562" t="str">
        <f>equip.xml!P1566</f>
        <v>10000_1002_50000,30000_30001_1,30000_30002_1,30000_30003_1</v>
      </c>
    </row>
    <row r="1563" spans="1:14">
      <c r="A1563" s="1" t="str">
        <f>equip.xml!A1567</f>
        <v>50500071</v>
      </c>
      <c r="B1563" s="1">
        <f>equip.xml!B1567</f>
        <v>0</v>
      </c>
      <c r="C1563" s="1" t="str">
        <f>equip.xml!C1567</f>
        <v>学徒短裤</v>
      </c>
      <c r="D1563" s="1" t="str">
        <f>equip.xml!D1567</f>
        <v>护腿</v>
      </c>
      <c r="E1563" s="1">
        <f>equip.xml!E1567</f>
        <v>7</v>
      </c>
      <c r="F1563" s="1">
        <f>equip.xml!F1567</f>
        <v>5</v>
      </c>
      <c r="G1563" s="1">
        <f>equip.xml!G1567</f>
        <v>50</v>
      </c>
      <c r="H1563" s="1">
        <f>equip.xml!H1567</f>
        <v>0</v>
      </c>
      <c r="I1563" s="1">
        <f>equip.xml!J1567</f>
        <v>150</v>
      </c>
      <c r="J1563" s="1">
        <f>equip.xml!K1567</f>
        <v>1500</v>
      </c>
      <c r="K1563" s="1">
        <f>equip.xml!L1567</f>
        <v>30000</v>
      </c>
      <c r="L1563" s="1" t="str">
        <f>equip.xml!M1567</f>
        <v>105_689_689</v>
      </c>
      <c r="M1563" s="7" t="str">
        <f>equip.xml!Q1567</f>
        <v>equipment/7001.png</v>
      </c>
      <c r="N1563" t="str">
        <f>equip.xml!P1567</f>
        <v>10000_1002_50000,30000_30001_1,30000_30002_1,30000_30003_1</v>
      </c>
    </row>
    <row r="1564" spans="1:14">
      <c r="A1564" s="1" t="str">
        <f>equip.xml!A1568</f>
        <v>50550010</v>
      </c>
      <c r="B1564" s="1">
        <f>equip.xml!B1568</f>
        <v>1</v>
      </c>
      <c r="C1564" s="1" t="str">
        <f>equip.xml!C1568</f>
        <v>银月头盔</v>
      </c>
      <c r="D1564" s="1" t="str">
        <f>equip.xml!D1568</f>
        <v>头盔</v>
      </c>
      <c r="E1564" s="1">
        <f>equip.xml!E1568</f>
        <v>1</v>
      </c>
      <c r="F1564" s="1">
        <f>equip.xml!F1568</f>
        <v>5</v>
      </c>
      <c r="G1564" s="1">
        <f>equip.xml!G1568</f>
        <v>55</v>
      </c>
      <c r="H1564" s="1">
        <f>equip.xml!H1568</f>
        <v>0</v>
      </c>
      <c r="I1564" s="1">
        <f>equip.xml!J1568</f>
        <v>150</v>
      </c>
      <c r="J1564" s="1">
        <f>equip.xml!K1568</f>
        <v>1500</v>
      </c>
      <c r="K1564" s="1">
        <f>equip.xml!L1568</f>
        <v>30000</v>
      </c>
      <c r="L1564" s="1" t="str">
        <f>equip.xml!M1568</f>
        <v>106_1291_1291</v>
      </c>
      <c r="M1564" s="7" t="str">
        <f>equip.xml!Q1568</f>
        <v>equipment/3009.png</v>
      </c>
      <c r="N1564" t="str">
        <f>equip.xml!P1568</f>
        <v>10000_1002_55000,30000_30001_1,30000_30002_1,30000_30003_1</v>
      </c>
    </row>
    <row r="1565" spans="1:14">
      <c r="A1565" s="1" t="str">
        <f>equip.xml!A1569</f>
        <v>50550020</v>
      </c>
      <c r="B1565" s="1">
        <f>equip.xml!B1569</f>
        <v>1</v>
      </c>
      <c r="C1565" s="1" t="str">
        <f>equip.xml!C1569</f>
        <v>镇魂之戒</v>
      </c>
      <c r="D1565" s="1" t="str">
        <f>equip.xml!D1569</f>
        <v>戒指</v>
      </c>
      <c r="E1565" s="1">
        <f>equip.xml!E1569</f>
        <v>2</v>
      </c>
      <c r="F1565" s="1">
        <f>equip.xml!F1569</f>
        <v>5</v>
      </c>
      <c r="G1565" s="1">
        <f>equip.xml!G1569</f>
        <v>55</v>
      </c>
      <c r="H1565" s="1">
        <f>equip.xml!H1569</f>
        <v>0</v>
      </c>
      <c r="I1565" s="1">
        <f>equip.xml!J1569</f>
        <v>150</v>
      </c>
      <c r="J1565" s="1">
        <f>equip.xml!K1569</f>
        <v>1500</v>
      </c>
      <c r="K1565" s="1">
        <f>equip.xml!L1569</f>
        <v>30000</v>
      </c>
      <c r="L1565" s="1" t="str">
        <f>equip.xml!M1569</f>
        <v>102_1080_1080</v>
      </c>
      <c r="M1565" s="7" t="str">
        <f>equip.xml!Q1569</f>
        <v>equipment/14009.png</v>
      </c>
      <c r="N1565" t="str">
        <f>equip.xml!P1569</f>
        <v>10000_1002_55000,30000_30001_1,30000_30002_1,30000_30003_1</v>
      </c>
    </row>
    <row r="1566" spans="1:14">
      <c r="A1566" s="1" t="str">
        <f>equip.xml!A1570</f>
        <v>50550030</v>
      </c>
      <c r="B1566" s="1">
        <f>equip.xml!B1570</f>
        <v>0</v>
      </c>
      <c r="C1566" s="1" t="str">
        <f>equip.xml!C1570</f>
        <v>魔鳞腰带</v>
      </c>
      <c r="D1566" s="1" t="str">
        <f>equip.xml!D1570</f>
        <v>腰带</v>
      </c>
      <c r="E1566" s="1">
        <f>equip.xml!E1570</f>
        <v>3</v>
      </c>
      <c r="F1566" s="1">
        <f>equip.xml!F1570</f>
        <v>5</v>
      </c>
      <c r="G1566" s="1">
        <f>equip.xml!G1570</f>
        <v>55</v>
      </c>
      <c r="H1566" s="1">
        <f>equip.xml!H1570</f>
        <v>0</v>
      </c>
      <c r="I1566" s="1">
        <f>equip.xml!J1570</f>
        <v>150</v>
      </c>
      <c r="J1566" s="1">
        <f>equip.xml!K1570</f>
        <v>1500</v>
      </c>
      <c r="K1566" s="1">
        <f>equip.xml!L1570</f>
        <v>30000</v>
      </c>
      <c r="L1566" s="1" t="str">
        <f>equip.xml!M1570</f>
        <v>101_13920_13920</v>
      </c>
      <c r="M1566" s="7" t="str">
        <f>equip.xml!Q1570</f>
        <v>equipment/6001.png</v>
      </c>
      <c r="N1566" t="str">
        <f>equip.xml!P1570</f>
        <v>10000_1002_55000,30000_30001_1,30000_30002_1,30000_30003_1</v>
      </c>
    </row>
    <row r="1567" spans="1:14">
      <c r="A1567" s="1" t="str">
        <f>equip.xml!A1571</f>
        <v>50550080</v>
      </c>
      <c r="B1567" s="1">
        <f>equip.xml!B1571</f>
        <v>1</v>
      </c>
      <c r="C1567" s="1" t="str">
        <f>equip.xml!C1571</f>
        <v>天行者之靴</v>
      </c>
      <c r="D1567" s="1" t="str">
        <f>equip.xml!D1571</f>
        <v>鞋子</v>
      </c>
      <c r="E1567" s="1">
        <f>equip.xml!E1571</f>
        <v>8</v>
      </c>
      <c r="F1567" s="1">
        <f>equip.xml!F1571</f>
        <v>5</v>
      </c>
      <c r="G1567" s="1">
        <f>equip.xml!G1571</f>
        <v>55</v>
      </c>
      <c r="H1567" s="1">
        <f>equip.xml!H1571</f>
        <v>0</v>
      </c>
      <c r="I1567" s="1">
        <f>equip.xml!J1571</f>
        <v>150</v>
      </c>
      <c r="J1567" s="1">
        <f>equip.xml!K1571</f>
        <v>1500</v>
      </c>
      <c r="K1567" s="1">
        <f>equip.xml!L1571</f>
        <v>30000</v>
      </c>
      <c r="L1567" s="1" t="str">
        <f>equip.xml!M1571</f>
        <v>110_219_219</v>
      </c>
      <c r="M1567" s="7" t="str">
        <f>equip.xml!Q1571</f>
        <v>equipment/8009.png</v>
      </c>
      <c r="N1567" t="str">
        <f>equip.xml!P1571</f>
        <v>10000_1002_55000,30000_30001_1,30000_30002_1,30000_30003_1</v>
      </c>
    </row>
    <row r="1568" spans="1:14">
      <c r="A1568" s="1" t="str">
        <f>equip.xml!A1572</f>
        <v>50550090</v>
      </c>
      <c r="B1568" s="1">
        <f>equip.xml!B1572</f>
        <v>0</v>
      </c>
      <c r="C1568" s="1" t="str">
        <f>equip.xml!C1572</f>
        <v>轻布手套</v>
      </c>
      <c r="D1568" s="1" t="str">
        <f>equip.xml!D1572</f>
        <v>手套</v>
      </c>
      <c r="E1568" s="1">
        <f>equip.xml!E1572</f>
        <v>9</v>
      </c>
      <c r="F1568" s="1">
        <f>equip.xml!F1572</f>
        <v>5</v>
      </c>
      <c r="G1568" s="1">
        <f>equip.xml!G1572</f>
        <v>55</v>
      </c>
      <c r="H1568" s="1">
        <f>equip.xml!H1572</f>
        <v>0</v>
      </c>
      <c r="I1568" s="1">
        <f>equip.xml!J1572</f>
        <v>150</v>
      </c>
      <c r="J1568" s="1">
        <f>equip.xml!K1572</f>
        <v>1500</v>
      </c>
      <c r="K1568" s="1">
        <f>equip.xml!L1572</f>
        <v>30000</v>
      </c>
      <c r="L1568" s="1" t="str">
        <f>equip.xml!M1572</f>
        <v>108_1726_1726</v>
      </c>
      <c r="M1568" s="7" t="str">
        <f>equip.xml!Q1572</f>
        <v>equipment/10001.png</v>
      </c>
      <c r="N1568" t="str">
        <f>equip.xml!P1572</f>
        <v>10000_1002_55000,30000_30001_1,30000_30002_1,30000_30003_1</v>
      </c>
    </row>
    <row r="1569" spans="1:14">
      <c r="A1569" s="1" t="str">
        <f>equip.xml!A1573</f>
        <v>50550100</v>
      </c>
      <c r="B1569" s="1">
        <f>equip.xml!B1573</f>
        <v>1</v>
      </c>
      <c r="C1569" s="1" t="str">
        <f>equip.xml!C1573</f>
        <v>遗忘石坠</v>
      </c>
      <c r="D1569" s="1" t="str">
        <f>equip.xml!D1573</f>
        <v>项链</v>
      </c>
      <c r="E1569" s="1">
        <f>equip.xml!E1573</f>
        <v>10</v>
      </c>
      <c r="F1569" s="1">
        <f>equip.xml!F1573</f>
        <v>5</v>
      </c>
      <c r="G1569" s="1">
        <f>equip.xml!G1573</f>
        <v>55</v>
      </c>
      <c r="H1569" s="1">
        <f>equip.xml!H1573</f>
        <v>0</v>
      </c>
      <c r="I1569" s="1">
        <f>equip.xml!J1573</f>
        <v>150</v>
      </c>
      <c r="J1569" s="1">
        <f>equip.xml!K1573</f>
        <v>1500</v>
      </c>
      <c r="K1569" s="1">
        <f>equip.xml!L1573</f>
        <v>30000</v>
      </c>
      <c r="L1569" s="1" t="str">
        <f>equip.xml!M1573</f>
        <v>107_1291_1291</v>
      </c>
      <c r="M1569" s="7" t="str">
        <f>equip.xml!Q1573</f>
        <v>equipment/12009.png</v>
      </c>
      <c r="N1569" t="str">
        <f>equip.xml!P1573</f>
        <v>10000_1002_55000,30000_30001_1,30000_30002_1,30000_30003_1</v>
      </c>
    </row>
    <row r="1570" spans="1:14">
      <c r="A1570" s="1" t="str">
        <f>equip.xml!A1574</f>
        <v>50551050</v>
      </c>
      <c r="B1570" s="1">
        <f>equip.xml!B1574</f>
        <v>1</v>
      </c>
      <c r="C1570" s="1" t="str">
        <f>equip.xml!C1574</f>
        <v>噬魂符剑</v>
      </c>
      <c r="D1570" s="1" t="str">
        <f>equip.xml!D1574</f>
        <v>主手武器</v>
      </c>
      <c r="E1570" s="1">
        <f>equip.xml!E1574</f>
        <v>5</v>
      </c>
      <c r="F1570" s="1">
        <f>equip.xml!F1574</f>
        <v>5</v>
      </c>
      <c r="G1570" s="1">
        <f>equip.xml!G1574</f>
        <v>55</v>
      </c>
      <c r="H1570" s="1" t="str">
        <f>equip.xml!H1574</f>
        <v>1,1001</v>
      </c>
      <c r="I1570" s="1">
        <f>equip.xml!J1574</f>
        <v>150</v>
      </c>
      <c r="J1570" s="1">
        <f>equip.xml!K1574</f>
        <v>1500</v>
      </c>
      <c r="K1570" s="1">
        <f>equip.xml!L1574</f>
        <v>30000</v>
      </c>
      <c r="L1570" s="1" t="str">
        <f>equip.xml!M1574</f>
        <v>103_1409_1409,104_2818_2818</v>
      </c>
      <c r="M1570" s="7" t="str">
        <f>equip.xml!Q1574</f>
        <v>equipment/1121.png</v>
      </c>
      <c r="N1570" t="str">
        <f>equip.xml!P1574</f>
        <v>10000_1002_55000,30000_30001_1,30000_30002_1,30000_30003_1</v>
      </c>
    </row>
    <row r="1571" spans="1:14">
      <c r="A1571" s="1" t="str">
        <f>equip.xml!A1575</f>
        <v>50551051</v>
      </c>
      <c r="B1571" s="1">
        <f>equip.xml!B1575</f>
        <v>0</v>
      </c>
      <c r="C1571" s="1" t="str">
        <f>equip.xml!C1575</f>
        <v>军刀</v>
      </c>
      <c r="D1571" s="1" t="str">
        <f>equip.xml!D1575</f>
        <v>主手武器</v>
      </c>
      <c r="E1571" s="1">
        <f>equip.xml!E1575</f>
        <v>5</v>
      </c>
      <c r="F1571" s="1">
        <f>equip.xml!F1575</f>
        <v>5</v>
      </c>
      <c r="G1571" s="1">
        <f>equip.xml!G1575</f>
        <v>55</v>
      </c>
      <c r="H1571" s="1" t="str">
        <f>equip.xml!H1575</f>
        <v>1,1001</v>
      </c>
      <c r="I1571" s="1">
        <f>equip.xml!J1575</f>
        <v>150</v>
      </c>
      <c r="J1571" s="1">
        <f>equip.xml!K1575</f>
        <v>1500</v>
      </c>
      <c r="K1571" s="1">
        <f>equip.xml!L1575</f>
        <v>32500</v>
      </c>
      <c r="L1571" s="1" t="str">
        <f>equip.xml!M1575</f>
        <v>103_1648_1648,104_3296_3296</v>
      </c>
      <c r="M1571" s="7" t="str">
        <f>equip.xml!Q1575</f>
        <v>equipment/1101.png</v>
      </c>
      <c r="N1571" t="str">
        <f>equip.xml!P1575</f>
        <v>10000_1002_55000,30000_30001_1,30000_30002_1,30000_30003_1</v>
      </c>
    </row>
    <row r="1572" spans="1:14">
      <c r="A1572" s="1" t="str">
        <f>equip.xml!A1576</f>
        <v>50551060</v>
      </c>
      <c r="B1572" s="1">
        <f>equip.xml!B1576</f>
        <v>1</v>
      </c>
      <c r="C1572" s="1" t="str">
        <f>equip.xml!C1576</f>
        <v>反射壁垒</v>
      </c>
      <c r="D1572" s="1" t="str">
        <f>equip.xml!D1576</f>
        <v>副手武器</v>
      </c>
      <c r="E1572" s="1">
        <f>equip.xml!E1576</f>
        <v>6</v>
      </c>
      <c r="F1572" s="1">
        <f>equip.xml!F1576</f>
        <v>5</v>
      </c>
      <c r="G1572" s="1">
        <f>equip.xml!G1576</f>
        <v>55</v>
      </c>
      <c r="H1572" s="1" t="str">
        <f>equip.xml!H1576</f>
        <v>1,1001</v>
      </c>
      <c r="I1572" s="1">
        <f>equip.xml!J1576</f>
        <v>150</v>
      </c>
      <c r="J1572" s="1">
        <f>equip.xml!K1576</f>
        <v>1500</v>
      </c>
      <c r="K1572" s="1">
        <f>equip.xml!L1576</f>
        <v>30000</v>
      </c>
      <c r="L1572" s="1" t="str">
        <f>equip.xml!M1576</f>
        <v>105_1981_1981</v>
      </c>
      <c r="M1572" s="7" t="str">
        <f>equip.xml!Q1576</f>
        <v>equipment/2113.png</v>
      </c>
      <c r="N1572" t="str">
        <f>equip.xml!P1576</f>
        <v>10000_1002_55000,30000_30001_1,30000_30002_1,30000_30003_1</v>
      </c>
    </row>
    <row r="1573" spans="1:14">
      <c r="A1573" s="1" t="str">
        <f>equip.xml!A1577</f>
        <v>50551061</v>
      </c>
      <c r="B1573" s="1">
        <f>equip.xml!B1577</f>
        <v>1</v>
      </c>
      <c r="C1573" s="1" t="str">
        <f>equip.xml!C1577</f>
        <v>巨龙之盾</v>
      </c>
      <c r="D1573" s="1" t="str">
        <f>equip.xml!D1577</f>
        <v>副手武器</v>
      </c>
      <c r="E1573" s="1">
        <f>equip.xml!E1577</f>
        <v>6</v>
      </c>
      <c r="F1573" s="1">
        <f>equip.xml!F1577</f>
        <v>5</v>
      </c>
      <c r="G1573" s="1">
        <f>equip.xml!G1577</f>
        <v>55</v>
      </c>
      <c r="H1573" s="1" t="str">
        <f>equip.xml!H1577</f>
        <v>1,1001</v>
      </c>
      <c r="I1573" s="1">
        <f>equip.xml!J1577</f>
        <v>150</v>
      </c>
      <c r="J1573" s="1">
        <f>equip.xml!K1577</f>
        <v>1500</v>
      </c>
      <c r="K1573" s="1">
        <f>equip.xml!L1577</f>
        <v>32500</v>
      </c>
      <c r="L1573" s="1" t="str">
        <f>equip.xml!M1577</f>
        <v>105_2195_2195</v>
      </c>
      <c r="M1573" s="7" t="str">
        <f>equip.xml!Q1577</f>
        <v>equipment/2114.png</v>
      </c>
      <c r="N1573" t="str">
        <f>equip.xml!P1577</f>
        <v>10000_1002_55000,30000_30001_1,30000_30002_1,30000_30003_1</v>
      </c>
    </row>
    <row r="1574" spans="1:14">
      <c r="A1574" s="1" t="str">
        <f>equip.xml!A1578</f>
        <v>50552050</v>
      </c>
      <c r="B1574" s="1">
        <f>equip.xml!B1578</f>
        <v>1</v>
      </c>
      <c r="C1574" s="1" t="str">
        <f>equip.xml!C1578</f>
        <v>魂击长弓</v>
      </c>
      <c r="D1574" s="1" t="str">
        <f>equip.xml!D1578</f>
        <v>主手武器</v>
      </c>
      <c r="E1574" s="1">
        <f>equip.xml!E1578</f>
        <v>5</v>
      </c>
      <c r="F1574" s="1">
        <f>equip.xml!F1578</f>
        <v>5</v>
      </c>
      <c r="G1574" s="1">
        <f>equip.xml!G1578</f>
        <v>55</v>
      </c>
      <c r="H1574" s="1" t="str">
        <f>equip.xml!H1578</f>
        <v>2,1002</v>
      </c>
      <c r="I1574" s="1">
        <f>equip.xml!J1578</f>
        <v>150</v>
      </c>
      <c r="J1574" s="1">
        <f>equip.xml!K1578</f>
        <v>1500</v>
      </c>
      <c r="K1574" s="1">
        <f>equip.xml!L1578</f>
        <v>30000</v>
      </c>
      <c r="L1574" s="1" t="str">
        <f>equip.xml!M1578</f>
        <v>103_1409_1409,104_2818_2818</v>
      </c>
      <c r="M1574" s="7" t="str">
        <f>equip.xml!Q1578</f>
        <v>equipment/1218.png</v>
      </c>
      <c r="N1574" t="str">
        <f>equip.xml!P1578</f>
        <v>10000_1002_55000,30000_30001_1,30000_30002_1,30000_30003_1</v>
      </c>
    </row>
    <row r="1575" spans="1:14">
      <c r="A1575" s="1" t="str">
        <f>equip.xml!A1579</f>
        <v>50552051</v>
      </c>
      <c r="B1575" s="1">
        <f>equip.xml!B1579</f>
        <v>0</v>
      </c>
      <c r="C1575" s="1" t="str">
        <f>equip.xml!C1579</f>
        <v>棘木弓</v>
      </c>
      <c r="D1575" s="1" t="str">
        <f>equip.xml!D1579</f>
        <v>主手武器</v>
      </c>
      <c r="E1575" s="1">
        <f>equip.xml!E1579</f>
        <v>5</v>
      </c>
      <c r="F1575" s="1">
        <f>equip.xml!F1579</f>
        <v>5</v>
      </c>
      <c r="G1575" s="1">
        <f>equip.xml!G1579</f>
        <v>55</v>
      </c>
      <c r="H1575" s="1" t="str">
        <f>equip.xml!H1579</f>
        <v>2,1002</v>
      </c>
      <c r="I1575" s="1">
        <f>equip.xml!J1579</f>
        <v>150</v>
      </c>
      <c r="J1575" s="1">
        <f>equip.xml!K1579</f>
        <v>1500</v>
      </c>
      <c r="K1575" s="1">
        <f>equip.xml!L1579</f>
        <v>32500</v>
      </c>
      <c r="L1575" s="1" t="str">
        <f>equip.xml!M1579</f>
        <v>103_1648_1648,104_3296_3296</v>
      </c>
      <c r="M1575" s="7" t="str">
        <f>equip.xml!Q1579</f>
        <v>equipment/1201.png</v>
      </c>
      <c r="N1575" t="str">
        <f>equip.xml!P1579</f>
        <v>10000_1002_55000,30000_30001_1,30000_30002_1,30000_30003_1</v>
      </c>
    </row>
    <row r="1576" spans="1:14">
      <c r="A1576" s="1" t="str">
        <f>equip.xml!A1580</f>
        <v>50552060</v>
      </c>
      <c r="B1576" s="1">
        <f>equip.xml!B1580</f>
        <v>1</v>
      </c>
      <c r="C1576" s="1" t="str">
        <f>equip.xml!C1580</f>
        <v>银矢箭筒</v>
      </c>
      <c r="D1576" s="1" t="str">
        <f>equip.xml!D1580</f>
        <v>副手武器</v>
      </c>
      <c r="E1576" s="1">
        <f>equip.xml!E1580</f>
        <v>6</v>
      </c>
      <c r="F1576" s="1">
        <f>equip.xml!F1580</f>
        <v>5</v>
      </c>
      <c r="G1576" s="1">
        <f>equip.xml!G1580</f>
        <v>55</v>
      </c>
      <c r="H1576" s="1" t="str">
        <f>equip.xml!H1580</f>
        <v>2,1002</v>
      </c>
      <c r="I1576" s="1">
        <f>equip.xml!J1580</f>
        <v>150</v>
      </c>
      <c r="J1576" s="1">
        <f>equip.xml!K1580</f>
        <v>1500</v>
      </c>
      <c r="K1576" s="1">
        <f>equip.xml!L1580</f>
        <v>30000</v>
      </c>
      <c r="L1576" s="1" t="str">
        <f>equip.xml!M1580</f>
        <v>108_1981_1981</v>
      </c>
      <c r="M1576" s="7" t="str">
        <f>equip.xml!Q1580</f>
        <v>equipment/2213.png</v>
      </c>
      <c r="N1576" t="str">
        <f>equip.xml!P1580</f>
        <v>10000_1002_55000,30000_30001_1,30000_30002_1,30000_30003_1</v>
      </c>
    </row>
    <row r="1577" spans="1:14">
      <c r="A1577" s="1" t="str">
        <f>equip.xml!A1581</f>
        <v>50552061</v>
      </c>
      <c r="B1577" s="1">
        <f>equip.xml!B1581</f>
        <v>1</v>
      </c>
      <c r="C1577" s="1" t="str">
        <f>equip.xml!C1581</f>
        <v>日怒箭筒</v>
      </c>
      <c r="D1577" s="1" t="str">
        <f>equip.xml!D1581</f>
        <v>副手武器</v>
      </c>
      <c r="E1577" s="1">
        <f>equip.xml!E1581</f>
        <v>6</v>
      </c>
      <c r="F1577" s="1">
        <f>equip.xml!F1581</f>
        <v>5</v>
      </c>
      <c r="G1577" s="1">
        <f>equip.xml!G1581</f>
        <v>55</v>
      </c>
      <c r="H1577" s="1" t="str">
        <f>equip.xml!H1581</f>
        <v>2,1002</v>
      </c>
      <c r="I1577" s="1">
        <f>equip.xml!J1581</f>
        <v>150</v>
      </c>
      <c r="J1577" s="1">
        <f>equip.xml!K1581</f>
        <v>1500</v>
      </c>
      <c r="K1577" s="1">
        <f>equip.xml!L1581</f>
        <v>32500</v>
      </c>
      <c r="L1577" s="1" t="str">
        <f>equip.xml!M1581</f>
        <v>108_2195_2195</v>
      </c>
      <c r="M1577" s="7" t="str">
        <f>equip.xml!Q1581</f>
        <v>equipment/2214.png</v>
      </c>
      <c r="N1577" t="str">
        <f>equip.xml!P1581</f>
        <v>10000_1002_55000,30000_30001_1,30000_30002_1,30000_30003_1</v>
      </c>
    </row>
    <row r="1578" spans="1:14">
      <c r="A1578" s="1" t="str">
        <f>equip.xml!A1582</f>
        <v>50553050</v>
      </c>
      <c r="B1578" s="1">
        <f>equip.xml!B1582</f>
        <v>1</v>
      </c>
      <c r="C1578" s="1" t="str">
        <f>equip.xml!C1582</f>
        <v>寒霜之怒</v>
      </c>
      <c r="D1578" s="1" t="str">
        <f>equip.xml!D1582</f>
        <v>主手武器</v>
      </c>
      <c r="E1578" s="1">
        <f>equip.xml!E1582</f>
        <v>5</v>
      </c>
      <c r="F1578" s="1">
        <f>equip.xml!F1582</f>
        <v>5</v>
      </c>
      <c r="G1578" s="1">
        <f>equip.xml!G1582</f>
        <v>55</v>
      </c>
      <c r="H1578" s="1" t="str">
        <f>equip.xml!H1582</f>
        <v>3,1003</v>
      </c>
      <c r="I1578" s="1">
        <f>equip.xml!J1582</f>
        <v>150</v>
      </c>
      <c r="J1578" s="1">
        <f>equip.xml!K1582</f>
        <v>1500</v>
      </c>
      <c r="K1578" s="1">
        <f>equip.xml!L1582</f>
        <v>30000</v>
      </c>
      <c r="L1578" s="1" t="str">
        <f>equip.xml!M1582</f>
        <v>103_1409_1409,104_2818_2818</v>
      </c>
      <c r="M1578" s="7" t="str">
        <f>equip.xml!Q1582</f>
        <v>equipment/1321.png</v>
      </c>
      <c r="N1578" t="str">
        <f>equip.xml!P1582</f>
        <v>10000_1002_55000,30000_30001_1,30000_30002_1,30000_30003_1</v>
      </c>
    </row>
    <row r="1579" spans="1:14">
      <c r="A1579" s="1" t="str">
        <f>equip.xml!A1583</f>
        <v>50553051</v>
      </c>
      <c r="B1579" s="1">
        <f>equip.xml!B1583</f>
        <v>0</v>
      </c>
      <c r="C1579" s="1" t="str">
        <f>equip.xml!C1583</f>
        <v>学徒法杖</v>
      </c>
      <c r="D1579" s="1" t="str">
        <f>equip.xml!D1583</f>
        <v>主手武器</v>
      </c>
      <c r="E1579" s="1">
        <f>equip.xml!E1583</f>
        <v>5</v>
      </c>
      <c r="F1579" s="1">
        <f>equip.xml!F1583</f>
        <v>5</v>
      </c>
      <c r="G1579" s="1">
        <f>equip.xml!G1583</f>
        <v>55</v>
      </c>
      <c r="H1579" s="1" t="str">
        <f>equip.xml!H1583</f>
        <v>3,1003</v>
      </c>
      <c r="I1579" s="1">
        <f>equip.xml!J1583</f>
        <v>150</v>
      </c>
      <c r="J1579" s="1">
        <f>equip.xml!K1583</f>
        <v>1500</v>
      </c>
      <c r="K1579" s="1">
        <f>equip.xml!L1583</f>
        <v>32500</v>
      </c>
      <c r="L1579" s="1" t="str">
        <f>equip.xml!M1583</f>
        <v>103_1648_1648,104_3296_3296</v>
      </c>
      <c r="M1579" s="7" t="str">
        <f>equip.xml!Q1583</f>
        <v>equipment/1301.png</v>
      </c>
      <c r="N1579" t="str">
        <f>equip.xml!P1583</f>
        <v>10000_1002_55000,30000_30001_1,30000_30002_1,30000_30003_1</v>
      </c>
    </row>
    <row r="1580" spans="1:14">
      <c r="A1580" s="1" t="str">
        <f>equip.xml!A1584</f>
        <v>50553060</v>
      </c>
      <c r="B1580" s="1">
        <f>equip.xml!B1584</f>
        <v>1</v>
      </c>
      <c r="C1580" s="1" t="str">
        <f>equip.xml!C1584</f>
        <v>遗忘魔典</v>
      </c>
      <c r="D1580" s="1" t="str">
        <f>equip.xml!D1584</f>
        <v>副手武器</v>
      </c>
      <c r="E1580" s="1">
        <f>equip.xml!E1584</f>
        <v>6</v>
      </c>
      <c r="F1580" s="1">
        <f>equip.xml!F1584</f>
        <v>5</v>
      </c>
      <c r="G1580" s="1">
        <f>equip.xml!G1584</f>
        <v>55</v>
      </c>
      <c r="H1580" s="1" t="str">
        <f>equip.xml!H1584</f>
        <v>3,1003</v>
      </c>
      <c r="I1580" s="1">
        <f>equip.xml!J1584</f>
        <v>150</v>
      </c>
      <c r="J1580" s="1">
        <f>equip.xml!K1584</f>
        <v>1500</v>
      </c>
      <c r="K1580" s="1">
        <f>equip.xml!L1584</f>
        <v>30000</v>
      </c>
      <c r="L1580" s="1" t="str">
        <f>equip.xml!M1584</f>
        <v>102_1780_1780</v>
      </c>
      <c r="M1580" s="7" t="str">
        <f>equip.xml!Q1584</f>
        <v>equipment/2313.png</v>
      </c>
      <c r="N1580" t="str">
        <f>equip.xml!P1584</f>
        <v>10000_1002_55000,30000_30001_1,30000_30002_1,30000_30003_1</v>
      </c>
    </row>
    <row r="1581" spans="1:14">
      <c r="A1581" s="1" t="str">
        <f>equip.xml!A1585</f>
        <v>50553061</v>
      </c>
      <c r="B1581" s="1">
        <f>equip.xml!B1585</f>
        <v>1</v>
      </c>
      <c r="C1581" s="1" t="str">
        <f>equip.xml!C1585</f>
        <v>龙语入门</v>
      </c>
      <c r="D1581" s="1" t="str">
        <f>equip.xml!D1585</f>
        <v>副手武器</v>
      </c>
      <c r="E1581" s="1">
        <f>equip.xml!E1585</f>
        <v>6</v>
      </c>
      <c r="F1581" s="1">
        <f>equip.xml!F1585</f>
        <v>5</v>
      </c>
      <c r="G1581" s="1">
        <f>equip.xml!G1585</f>
        <v>55</v>
      </c>
      <c r="H1581" s="1" t="str">
        <f>equip.xml!H1585</f>
        <v>3,1003</v>
      </c>
      <c r="I1581" s="1">
        <f>equip.xml!J1585</f>
        <v>150</v>
      </c>
      <c r="J1581" s="1">
        <f>equip.xml!K1585</f>
        <v>1500</v>
      </c>
      <c r="K1581" s="1">
        <f>equip.xml!L1585</f>
        <v>32500</v>
      </c>
      <c r="L1581" s="1" t="str">
        <f>equip.xml!M1585</f>
        <v>102_1972_1972</v>
      </c>
      <c r="M1581" s="7" t="str">
        <f>equip.xml!Q1585</f>
        <v>equipment/2316.png</v>
      </c>
      <c r="N1581" t="str">
        <f>equip.xml!P1585</f>
        <v>10000_1002_55000,30000_30001_1,30000_30002_1,30000_30003_1</v>
      </c>
    </row>
    <row r="1582" spans="1:14">
      <c r="A1582" s="1" t="str">
        <f>equip.xml!A1586</f>
        <v>50550040</v>
      </c>
      <c r="B1582" s="1">
        <f>equip.xml!B1586</f>
        <v>1</v>
      </c>
      <c r="C1582" s="1" t="str">
        <f>equip.xml!C1586</f>
        <v>血卫胸甲</v>
      </c>
      <c r="D1582" s="1" t="str">
        <f>equip.xml!D1586</f>
        <v>胸甲</v>
      </c>
      <c r="E1582" s="1">
        <f>equip.xml!E1586</f>
        <v>4</v>
      </c>
      <c r="F1582" s="1">
        <f>equip.xml!F1586</f>
        <v>5</v>
      </c>
      <c r="G1582" s="1">
        <f>equip.xml!G1586</f>
        <v>55</v>
      </c>
      <c r="H1582" s="1">
        <f>equip.xml!H1586</f>
        <v>0</v>
      </c>
      <c r="I1582" s="1">
        <f>equip.xml!J1586</f>
        <v>150</v>
      </c>
      <c r="J1582" s="1">
        <f>equip.xml!K1586</f>
        <v>1500</v>
      </c>
      <c r="K1582" s="1">
        <f>equip.xml!L1586</f>
        <v>30000</v>
      </c>
      <c r="L1582" s="1" t="str">
        <f>equip.xml!M1586</f>
        <v>105_1153_1153</v>
      </c>
      <c r="M1582" s="7" t="str">
        <f>equip.xml!Q1586</f>
        <v>equipment/5015.png</v>
      </c>
      <c r="N1582" t="str">
        <f>equip.xml!P1586</f>
        <v>10000_1002_55000,30000_30001_1,30000_30002_1,30000_30003_1</v>
      </c>
    </row>
    <row r="1583" spans="1:14">
      <c r="A1583" s="1" t="str">
        <f>equip.xml!A1587</f>
        <v>50550041</v>
      </c>
      <c r="B1583" s="1">
        <f>equip.xml!B1587</f>
        <v>0</v>
      </c>
      <c r="C1583" s="1" t="str">
        <f>equip.xml!C1587</f>
        <v>新兵外套</v>
      </c>
      <c r="D1583" s="1" t="str">
        <f>equip.xml!D1587</f>
        <v>胸甲</v>
      </c>
      <c r="E1583" s="1">
        <f>equip.xml!E1587</f>
        <v>4</v>
      </c>
      <c r="F1583" s="1">
        <f>equip.xml!F1587</f>
        <v>5</v>
      </c>
      <c r="G1583" s="1">
        <f>equip.xml!G1587</f>
        <v>55</v>
      </c>
      <c r="H1583" s="1">
        <f>equip.xml!H1587</f>
        <v>0</v>
      </c>
      <c r="I1583" s="1">
        <f>equip.xml!J1587</f>
        <v>150</v>
      </c>
      <c r="J1583" s="1">
        <f>equip.xml!K1587</f>
        <v>1500</v>
      </c>
      <c r="K1583" s="1">
        <f>equip.xml!L1587</f>
        <v>32500</v>
      </c>
      <c r="L1583" s="1" t="str">
        <f>equip.xml!M1587</f>
        <v>105_1243_1243</v>
      </c>
      <c r="M1583" s="7" t="str">
        <f>equip.xml!Q1587</f>
        <v>equipment/5001.png</v>
      </c>
      <c r="N1583" t="str">
        <f>equip.xml!P1587</f>
        <v>10000_1002_55000,30000_30001_1,30000_30002_1,30000_30003_1</v>
      </c>
    </row>
    <row r="1584" spans="1:14">
      <c r="A1584" s="1" t="str">
        <f>equip.xml!A1588</f>
        <v>50550070</v>
      </c>
      <c r="B1584" s="1">
        <f>equip.xml!B1588</f>
        <v>1</v>
      </c>
      <c r="C1584" s="1" t="str">
        <f>equip.xml!C1588</f>
        <v>征服者护腿</v>
      </c>
      <c r="D1584" s="1" t="str">
        <f>equip.xml!D1588</f>
        <v>护腿</v>
      </c>
      <c r="E1584" s="1">
        <f>equip.xml!E1588</f>
        <v>7</v>
      </c>
      <c r="F1584" s="1">
        <f>equip.xml!F1588</f>
        <v>5</v>
      </c>
      <c r="G1584" s="1">
        <f>equip.xml!G1588</f>
        <v>55</v>
      </c>
      <c r="H1584" s="1">
        <f>equip.xml!H1588</f>
        <v>0</v>
      </c>
      <c r="I1584" s="1">
        <f>equip.xml!J1588</f>
        <v>150</v>
      </c>
      <c r="J1584" s="1">
        <f>equip.xml!K1588</f>
        <v>1500</v>
      </c>
      <c r="K1584" s="1">
        <f>equip.xml!L1588</f>
        <v>30000</v>
      </c>
      <c r="L1584" s="1" t="str">
        <f>equip.xml!M1588</f>
        <v>105_780_780</v>
      </c>
      <c r="M1584" s="7" t="str">
        <f>equip.xml!Q1588</f>
        <v>equipment/7013.png</v>
      </c>
      <c r="N1584" t="str">
        <f>equip.xml!P1588</f>
        <v>10000_1002_55000,30000_30001_1,30000_30002_1,30000_30003_1</v>
      </c>
    </row>
    <row r="1585" spans="1:14">
      <c r="A1585" s="1" t="str">
        <f>equip.xml!A1589</f>
        <v>50550071</v>
      </c>
      <c r="B1585" s="1">
        <f>equip.xml!B1589</f>
        <v>0</v>
      </c>
      <c r="C1585" s="1" t="str">
        <f>equip.xml!C1589</f>
        <v>学徒短裤</v>
      </c>
      <c r="D1585" s="1" t="str">
        <f>equip.xml!D1589</f>
        <v>护腿</v>
      </c>
      <c r="E1585" s="1">
        <f>equip.xml!E1589</f>
        <v>7</v>
      </c>
      <c r="F1585" s="1">
        <f>equip.xml!F1589</f>
        <v>5</v>
      </c>
      <c r="G1585" s="1">
        <f>equip.xml!G1589</f>
        <v>55</v>
      </c>
      <c r="H1585" s="1">
        <f>equip.xml!H1589</f>
        <v>0</v>
      </c>
      <c r="I1585" s="1">
        <f>equip.xml!J1589</f>
        <v>150</v>
      </c>
      <c r="J1585" s="1">
        <f>equip.xml!K1589</f>
        <v>1500</v>
      </c>
      <c r="K1585" s="1">
        <f>equip.xml!L1589</f>
        <v>32500</v>
      </c>
      <c r="L1585" s="1" t="str">
        <f>equip.xml!M1589</f>
        <v>105_929_929</v>
      </c>
      <c r="M1585" s="7" t="str">
        <f>equip.xml!Q1589</f>
        <v>equipment/7001.png</v>
      </c>
      <c r="N1585" t="str">
        <f>equip.xml!P1589</f>
        <v>10000_1002_55000,30000_30001_1,30000_30002_1,30000_30003_1</v>
      </c>
    </row>
    <row r="1586" spans="1:14">
      <c r="A1586" s="1" t="str">
        <f>equip.xml!A1590</f>
        <v>50600010</v>
      </c>
      <c r="B1586" s="1">
        <f>equip.xml!B1590</f>
        <v>1</v>
      </c>
      <c r="C1586" s="1" t="str">
        <f>equip.xml!C1590</f>
        <v>英勇战盔</v>
      </c>
      <c r="D1586" s="1" t="str">
        <f>equip.xml!D1590</f>
        <v>头盔</v>
      </c>
      <c r="E1586" s="1">
        <f>equip.xml!E1590</f>
        <v>1</v>
      </c>
      <c r="F1586" s="1">
        <f>equip.xml!F1590</f>
        <v>5</v>
      </c>
      <c r="G1586" s="1">
        <f>equip.xml!G1590</f>
        <v>60</v>
      </c>
      <c r="H1586" s="1">
        <f>equip.xml!H1590</f>
        <v>0</v>
      </c>
      <c r="I1586" s="1">
        <f>equip.xml!J1590</f>
        <v>150</v>
      </c>
      <c r="J1586" s="1">
        <f>equip.xml!K1590</f>
        <v>1500</v>
      </c>
      <c r="K1586" s="1">
        <f>equip.xml!L1590</f>
        <v>32500</v>
      </c>
      <c r="L1586" s="1" t="str">
        <f>equip.xml!M1590</f>
        <v>106_1628_1628</v>
      </c>
      <c r="M1586" s="7" t="str">
        <f>equip.xml!Q1590</f>
        <v>equipment/3010.png</v>
      </c>
      <c r="N1586" t="str">
        <f>equip.xml!P1590</f>
        <v>10000_1002_60000,30000_30001_1,30000_30002_1,30000_30003_1</v>
      </c>
    </row>
    <row r="1587" spans="1:14">
      <c r="A1587" s="1" t="str">
        <f>equip.xml!A1591</f>
        <v>50600020</v>
      </c>
      <c r="B1587" s="1">
        <f>equip.xml!B1591</f>
        <v>1</v>
      </c>
      <c r="C1587" s="1" t="str">
        <f>equip.xml!C1591</f>
        <v>星宇指环</v>
      </c>
      <c r="D1587" s="1" t="str">
        <f>equip.xml!D1591</f>
        <v>戒指</v>
      </c>
      <c r="E1587" s="1">
        <f>equip.xml!E1591</f>
        <v>2</v>
      </c>
      <c r="F1587" s="1">
        <f>equip.xml!F1591</f>
        <v>5</v>
      </c>
      <c r="G1587" s="1">
        <f>equip.xml!G1591</f>
        <v>60</v>
      </c>
      <c r="H1587" s="1">
        <f>equip.xml!H1591</f>
        <v>0</v>
      </c>
      <c r="I1587" s="1">
        <f>equip.xml!J1591</f>
        <v>150</v>
      </c>
      <c r="J1587" s="1">
        <f>equip.xml!K1591</f>
        <v>1500</v>
      </c>
      <c r="K1587" s="1">
        <f>equip.xml!L1591</f>
        <v>32500</v>
      </c>
      <c r="L1587" s="1" t="str">
        <f>equip.xml!M1591</f>
        <v>102_1260_1260</v>
      </c>
      <c r="M1587" s="7" t="str">
        <f>equip.xml!Q1591</f>
        <v>equipment/14010.png</v>
      </c>
      <c r="N1587" t="str">
        <f>equip.xml!P1591</f>
        <v>10000_1002_60000,30000_30001_1,30000_30002_1,30000_30003_1</v>
      </c>
    </row>
    <row r="1588" spans="1:14">
      <c r="A1588" s="1" t="str">
        <f>equip.xml!A1592</f>
        <v>50600030</v>
      </c>
      <c r="B1588" s="1">
        <f>equip.xml!B1592</f>
        <v>1</v>
      </c>
      <c r="C1588" s="1" t="str">
        <f>equip.xml!C1592</f>
        <v>远征腰带</v>
      </c>
      <c r="D1588" s="1" t="str">
        <f>equip.xml!D1592</f>
        <v>腰带</v>
      </c>
      <c r="E1588" s="1">
        <f>equip.xml!E1592</f>
        <v>3</v>
      </c>
      <c r="F1588" s="1">
        <f>equip.xml!F1592</f>
        <v>5</v>
      </c>
      <c r="G1588" s="1">
        <f>equip.xml!G1592</f>
        <v>60</v>
      </c>
      <c r="H1588" s="1">
        <f>equip.xml!H1592</f>
        <v>0</v>
      </c>
      <c r="I1588" s="1">
        <f>equip.xml!J1592</f>
        <v>150</v>
      </c>
      <c r="J1588" s="1">
        <f>equip.xml!K1592</f>
        <v>1500</v>
      </c>
      <c r="K1588" s="1">
        <f>equip.xml!L1592</f>
        <v>32500</v>
      </c>
      <c r="L1588" s="1" t="str">
        <f>equip.xml!M1592</f>
        <v>101_13920_13920</v>
      </c>
      <c r="M1588" s="7" t="str">
        <f>equip.xml!Q1592</f>
        <v>equipment/6010.png</v>
      </c>
      <c r="N1588" t="str">
        <f>equip.xml!P1592</f>
        <v>10000_1002_60000,30000_30001_1,30000_30002_1,30000_30003_1</v>
      </c>
    </row>
    <row r="1589" spans="1:14">
      <c r="A1589" s="1" t="str">
        <f>equip.xml!A1593</f>
        <v>50600080</v>
      </c>
      <c r="B1589" s="1">
        <f>equip.xml!B1593</f>
        <v>1</v>
      </c>
      <c r="C1589" s="1" t="str">
        <f>equip.xml!C1593</f>
        <v>风暴长靴</v>
      </c>
      <c r="D1589" s="1" t="str">
        <f>equip.xml!D1593</f>
        <v>鞋子</v>
      </c>
      <c r="E1589" s="1">
        <f>equip.xml!E1593</f>
        <v>8</v>
      </c>
      <c r="F1589" s="1">
        <f>equip.xml!F1593</f>
        <v>5</v>
      </c>
      <c r="G1589" s="1">
        <f>equip.xml!G1593</f>
        <v>60</v>
      </c>
      <c r="H1589" s="1">
        <f>equip.xml!H1593</f>
        <v>0</v>
      </c>
      <c r="I1589" s="1">
        <f>equip.xml!J1593</f>
        <v>150</v>
      </c>
      <c r="J1589" s="1">
        <f>equip.xml!K1593</f>
        <v>1500</v>
      </c>
      <c r="K1589" s="1">
        <f>equip.xml!L1593</f>
        <v>32500</v>
      </c>
      <c r="L1589" s="1" t="str">
        <f>equip.xml!M1593</f>
        <v>110_271_271</v>
      </c>
      <c r="M1589" s="7" t="str">
        <f>equip.xml!Q1593</f>
        <v>equipment/8010.png</v>
      </c>
      <c r="N1589" t="str">
        <f>equip.xml!P1593</f>
        <v>10000_1002_60000,30000_30001_1,30000_30002_1,30000_30003_1</v>
      </c>
    </row>
    <row r="1590" spans="1:14">
      <c r="A1590" s="1" t="str">
        <f>equip.xml!A1594</f>
        <v>50600090</v>
      </c>
      <c r="B1590" s="1">
        <f>equip.xml!B1594</f>
        <v>1</v>
      </c>
      <c r="C1590" s="1" t="str">
        <f>equip.xml!C1594</f>
        <v>远征军护手</v>
      </c>
      <c r="D1590" s="1" t="str">
        <f>equip.xml!D1594</f>
        <v>手套</v>
      </c>
      <c r="E1590" s="1">
        <f>equip.xml!E1594</f>
        <v>9</v>
      </c>
      <c r="F1590" s="1">
        <f>equip.xml!F1594</f>
        <v>5</v>
      </c>
      <c r="G1590" s="1">
        <f>equip.xml!G1594</f>
        <v>60</v>
      </c>
      <c r="H1590" s="1">
        <f>equip.xml!H1594</f>
        <v>0</v>
      </c>
      <c r="I1590" s="1">
        <f>equip.xml!J1594</f>
        <v>150</v>
      </c>
      <c r="J1590" s="1">
        <f>equip.xml!K1594</f>
        <v>1500</v>
      </c>
      <c r="K1590" s="1">
        <f>equip.xml!L1594</f>
        <v>32500</v>
      </c>
      <c r="L1590" s="1" t="str">
        <f>equip.xml!M1594</f>
        <v>108_2300_2300</v>
      </c>
      <c r="M1590" s="7" t="str">
        <f>equip.xml!Q1594</f>
        <v>equipment/10010.png</v>
      </c>
      <c r="N1590" t="str">
        <f>equip.xml!P1594</f>
        <v>10000_1002_60000,30000_30001_1,30000_30002_1,30000_30003_1</v>
      </c>
    </row>
    <row r="1591" spans="1:14">
      <c r="A1591" s="1" t="str">
        <f>equip.xml!A1595</f>
        <v>50600100</v>
      </c>
      <c r="B1591" s="1">
        <f>equip.xml!B1595</f>
        <v>1</v>
      </c>
      <c r="C1591" s="1" t="str">
        <f>equip.xml!C1595</f>
        <v>悔恨之链</v>
      </c>
      <c r="D1591" s="1" t="str">
        <f>equip.xml!D1595</f>
        <v>项链</v>
      </c>
      <c r="E1591" s="1">
        <f>equip.xml!E1595</f>
        <v>10</v>
      </c>
      <c r="F1591" s="1">
        <f>equip.xml!F1595</f>
        <v>5</v>
      </c>
      <c r="G1591" s="1">
        <f>equip.xml!G1595</f>
        <v>60</v>
      </c>
      <c r="H1591" s="1">
        <f>equip.xml!H1595</f>
        <v>0</v>
      </c>
      <c r="I1591" s="1">
        <f>equip.xml!J1595</f>
        <v>150</v>
      </c>
      <c r="J1591" s="1">
        <f>equip.xml!K1595</f>
        <v>1500</v>
      </c>
      <c r="K1591" s="1">
        <f>equip.xml!L1595</f>
        <v>32500</v>
      </c>
      <c r="L1591" s="1" t="str">
        <f>equip.xml!M1595</f>
        <v>107_1628_1628</v>
      </c>
      <c r="M1591" s="7" t="str">
        <f>equip.xml!Q1595</f>
        <v>equipment/12010.png</v>
      </c>
      <c r="N1591" t="str">
        <f>equip.xml!P1595</f>
        <v>10000_1002_60000,30000_30001_1,30000_30002_1,30000_30003_1</v>
      </c>
    </row>
    <row r="1592" spans="1:14">
      <c r="A1592" s="1" t="str">
        <f>equip.xml!A1596</f>
        <v>50601050</v>
      </c>
      <c r="B1592" s="1">
        <f>equip.xml!B1596</f>
        <v>1</v>
      </c>
      <c r="C1592" s="1" t="str">
        <f>equip.xml!C1596</f>
        <v>毁灭之刃</v>
      </c>
      <c r="D1592" s="1" t="str">
        <f>equip.xml!D1596</f>
        <v>主手武器</v>
      </c>
      <c r="E1592" s="1">
        <f>equip.xml!E1596</f>
        <v>5</v>
      </c>
      <c r="F1592" s="1">
        <f>equip.xml!F1596</f>
        <v>5</v>
      </c>
      <c r="G1592" s="1">
        <f>equip.xml!G1596</f>
        <v>60</v>
      </c>
      <c r="H1592" s="1" t="str">
        <f>equip.xml!H1596</f>
        <v>1,1001</v>
      </c>
      <c r="I1592" s="1">
        <f>equip.xml!J1596</f>
        <v>150</v>
      </c>
      <c r="J1592" s="1">
        <f>equip.xml!K1596</f>
        <v>1500</v>
      </c>
      <c r="K1592" s="1">
        <f>equip.xml!L1596</f>
        <v>32500</v>
      </c>
      <c r="L1592" s="1" t="str">
        <f>equip.xml!M1596</f>
        <v>103_2007_2007,104_4014_4014</v>
      </c>
      <c r="M1592" s="7" t="str">
        <f>equip.xml!Q1596</f>
        <v>equipment/1118.png</v>
      </c>
      <c r="N1592" t="str">
        <f>equip.xml!P1596</f>
        <v>10000_1002_60000,30000_30001_1,30000_30002_1,30000_30003_1</v>
      </c>
    </row>
    <row r="1593" spans="1:14">
      <c r="A1593" s="1" t="str">
        <f>equip.xml!A1597</f>
        <v>50601051</v>
      </c>
      <c r="B1593" s="1">
        <f>equip.xml!B1597</f>
        <v>1</v>
      </c>
      <c r="C1593" s="1" t="str">
        <f>equip.xml!C1597</f>
        <v>逐光巨剑</v>
      </c>
      <c r="D1593" s="1" t="str">
        <f>equip.xml!D1597</f>
        <v>主手武器</v>
      </c>
      <c r="E1593" s="1">
        <f>equip.xml!E1597</f>
        <v>5</v>
      </c>
      <c r="F1593" s="1">
        <f>equip.xml!F1597</f>
        <v>5</v>
      </c>
      <c r="G1593" s="1">
        <f>equip.xml!G1597</f>
        <v>60</v>
      </c>
      <c r="H1593" s="1" t="str">
        <f>equip.xml!H1597</f>
        <v>1,1001</v>
      </c>
      <c r="I1593" s="1">
        <f>equip.xml!J1597</f>
        <v>150</v>
      </c>
      <c r="J1593" s="1">
        <f>equip.xml!K1597</f>
        <v>1500</v>
      </c>
      <c r="K1593" s="1">
        <f>equip.xml!L1597</f>
        <v>35000</v>
      </c>
      <c r="L1593" s="1" t="str">
        <f>equip.xml!M1597</f>
        <v>103_2252_2252,104_4504_4504</v>
      </c>
      <c r="M1593" s="7" t="str">
        <f>equip.xml!Q1597</f>
        <v>equipment/1122.png</v>
      </c>
      <c r="N1593" t="str">
        <f>equip.xml!P1597</f>
        <v>10000_1002_60000,30000_30001_1,30000_30002_1,30000_30003_1</v>
      </c>
    </row>
    <row r="1594" spans="1:14">
      <c r="A1594" s="1" t="str">
        <f>equip.xml!A1598</f>
        <v>50601060</v>
      </c>
      <c r="B1594" s="1">
        <f>equip.xml!B1598</f>
        <v>1</v>
      </c>
      <c r="C1594" s="1" t="str">
        <f>equip.xml!C1598</f>
        <v>灵魂壁垒</v>
      </c>
      <c r="D1594" s="1" t="str">
        <f>equip.xml!D1598</f>
        <v>副手武器</v>
      </c>
      <c r="E1594" s="1">
        <f>equip.xml!E1598</f>
        <v>6</v>
      </c>
      <c r="F1594" s="1">
        <f>equip.xml!F1598</f>
        <v>5</v>
      </c>
      <c r="G1594" s="1">
        <f>equip.xml!G1598</f>
        <v>60</v>
      </c>
      <c r="H1594" s="1" t="str">
        <f>equip.xml!H1598</f>
        <v>1,1001</v>
      </c>
      <c r="I1594" s="1">
        <f>equip.xml!J1598</f>
        <v>150</v>
      </c>
      <c r="J1594" s="1">
        <f>equip.xml!K1598</f>
        <v>1500</v>
      </c>
      <c r="K1594" s="1">
        <f>equip.xml!L1598</f>
        <v>32500</v>
      </c>
      <c r="L1594" s="1" t="str">
        <f>equip.xml!M1598</f>
        <v>105_2515_2515</v>
      </c>
      <c r="M1594" s="7" t="str">
        <f>equip.xml!Q1598</f>
        <v>equipment/2115.png</v>
      </c>
      <c r="N1594" t="str">
        <f>equip.xml!P1598</f>
        <v>10000_1002_60000,30000_30001_1,30000_30002_1,30000_30003_1</v>
      </c>
    </row>
    <row r="1595" spans="1:14">
      <c r="A1595" s="1" t="str">
        <f>equip.xml!A1599</f>
        <v>50601061</v>
      </c>
      <c r="B1595" s="1">
        <f>equip.xml!B1599</f>
        <v>0</v>
      </c>
      <c r="C1595" s="1" t="str">
        <f>equip.xml!C1599</f>
        <v>尖头盾</v>
      </c>
      <c r="D1595" s="1" t="str">
        <f>equip.xml!D1599</f>
        <v>副手武器</v>
      </c>
      <c r="E1595" s="1">
        <f>equip.xml!E1599</f>
        <v>6</v>
      </c>
      <c r="F1595" s="1">
        <f>equip.xml!F1599</f>
        <v>5</v>
      </c>
      <c r="G1595" s="1">
        <f>equip.xml!G1599</f>
        <v>60</v>
      </c>
      <c r="H1595" s="1" t="str">
        <f>equip.xml!H1599</f>
        <v>1,1001</v>
      </c>
      <c r="I1595" s="1">
        <f>equip.xml!J1599</f>
        <v>150</v>
      </c>
      <c r="J1595" s="1">
        <f>equip.xml!K1599</f>
        <v>1500</v>
      </c>
      <c r="K1595" s="1">
        <f>equip.xml!L1599</f>
        <v>35000</v>
      </c>
      <c r="L1595" s="1" t="str">
        <f>equip.xml!M1599</f>
        <v>105_2704_2704</v>
      </c>
      <c r="M1595" s="7" t="str">
        <f>equip.xml!Q1599</f>
        <v>equipment/2101.png</v>
      </c>
      <c r="N1595" t="str">
        <f>equip.xml!P1599</f>
        <v>10000_1002_60000,30000_30001_1,30000_30002_1,30000_30003_1</v>
      </c>
    </row>
    <row r="1596" spans="1:14">
      <c r="A1596" s="1" t="str">
        <f>equip.xml!A1600</f>
        <v>50602050</v>
      </c>
      <c r="B1596" s="1">
        <f>equip.xml!B1600</f>
        <v>1</v>
      </c>
      <c r="C1596" s="1" t="str">
        <f>equip.xml!C1600</f>
        <v>暗之追猎者</v>
      </c>
      <c r="D1596" s="1" t="str">
        <f>equip.xml!D1600</f>
        <v>主手武器</v>
      </c>
      <c r="E1596" s="1">
        <f>equip.xml!E1600</f>
        <v>5</v>
      </c>
      <c r="F1596" s="1">
        <f>equip.xml!F1600</f>
        <v>5</v>
      </c>
      <c r="G1596" s="1">
        <f>equip.xml!G1600</f>
        <v>60</v>
      </c>
      <c r="H1596" s="1" t="str">
        <f>equip.xml!H1600</f>
        <v>2,1002</v>
      </c>
      <c r="I1596" s="1">
        <f>equip.xml!J1600</f>
        <v>150</v>
      </c>
      <c r="J1596" s="1">
        <f>equip.xml!K1600</f>
        <v>1500</v>
      </c>
      <c r="K1596" s="1">
        <f>equip.xml!L1600</f>
        <v>32500</v>
      </c>
      <c r="L1596" s="1" t="str">
        <f>equip.xml!M1600</f>
        <v>103_2007_2007,104_4014_4014</v>
      </c>
      <c r="M1596" s="7" t="str">
        <f>equip.xml!Q1600</f>
        <v>equipment/1220.png</v>
      </c>
      <c r="N1596" t="str">
        <f>equip.xml!P1600</f>
        <v>10000_1002_60000,30000_30001_1,30000_30002_1,30000_30003_1</v>
      </c>
    </row>
    <row r="1597" spans="1:14">
      <c r="A1597" s="1" t="str">
        <f>equip.xml!A1601</f>
        <v>50602051</v>
      </c>
      <c r="B1597" s="1">
        <f>equip.xml!B1601</f>
        <v>0</v>
      </c>
      <c r="C1597" s="1" t="str">
        <f>equip.xml!C1601</f>
        <v>棘木弓</v>
      </c>
      <c r="D1597" s="1" t="str">
        <f>equip.xml!D1601</f>
        <v>主手武器</v>
      </c>
      <c r="E1597" s="1">
        <f>equip.xml!E1601</f>
        <v>5</v>
      </c>
      <c r="F1597" s="1">
        <f>equip.xml!F1601</f>
        <v>5</v>
      </c>
      <c r="G1597" s="1">
        <f>equip.xml!G1601</f>
        <v>60</v>
      </c>
      <c r="H1597" s="1" t="str">
        <f>equip.xml!H1601</f>
        <v>2,1002</v>
      </c>
      <c r="I1597" s="1">
        <f>equip.xml!J1601</f>
        <v>150</v>
      </c>
      <c r="J1597" s="1">
        <f>equip.xml!K1601</f>
        <v>1500</v>
      </c>
      <c r="K1597" s="1">
        <f>equip.xml!L1601</f>
        <v>35000</v>
      </c>
      <c r="L1597" s="1" t="str">
        <f>equip.xml!M1601</f>
        <v>103_2252_2252,104_4504_4504</v>
      </c>
      <c r="M1597" s="7" t="str">
        <f>equip.xml!Q1601</f>
        <v>equipment/1201.png</v>
      </c>
      <c r="N1597" t="str">
        <f>equip.xml!P1601</f>
        <v>10000_1002_60000,30000_30001_1,30000_30002_1,30000_30003_1</v>
      </c>
    </row>
    <row r="1598" spans="1:14">
      <c r="A1598" s="1" t="str">
        <f>equip.xml!A1602</f>
        <v>50602060</v>
      </c>
      <c r="B1598" s="1">
        <f>equip.xml!B1602</f>
        <v>1</v>
      </c>
      <c r="C1598" s="1" t="str">
        <f>equip.xml!C1602</f>
        <v>猎星箭袋</v>
      </c>
      <c r="D1598" s="1" t="str">
        <f>equip.xml!D1602</f>
        <v>副手武器</v>
      </c>
      <c r="E1598" s="1">
        <f>equip.xml!E1602</f>
        <v>6</v>
      </c>
      <c r="F1598" s="1">
        <f>equip.xml!F1602</f>
        <v>5</v>
      </c>
      <c r="G1598" s="1">
        <f>equip.xml!G1602</f>
        <v>60</v>
      </c>
      <c r="H1598" s="1" t="str">
        <f>equip.xml!H1602</f>
        <v>2,1002</v>
      </c>
      <c r="I1598" s="1">
        <f>equip.xml!J1602</f>
        <v>150</v>
      </c>
      <c r="J1598" s="1">
        <f>equip.xml!K1602</f>
        <v>1500</v>
      </c>
      <c r="K1598" s="1">
        <f>equip.xml!L1602</f>
        <v>32500</v>
      </c>
      <c r="L1598" s="1" t="str">
        <f>equip.xml!M1602</f>
        <v>108_2515_2515</v>
      </c>
      <c r="M1598" s="7" t="str">
        <f>equip.xml!Q1602</f>
        <v>equipment/2215.png</v>
      </c>
      <c r="N1598" t="str">
        <f>equip.xml!P1602</f>
        <v>10000_1002_60000,30000_30001_1,30000_30002_1,30000_30003_1</v>
      </c>
    </row>
    <row r="1599" spans="1:14">
      <c r="A1599" s="1" t="str">
        <f>equip.xml!A1603</f>
        <v>50602061</v>
      </c>
      <c r="B1599" s="1">
        <f>equip.xml!B1603</f>
        <v>0</v>
      </c>
      <c r="C1599" s="1" t="str">
        <f>equip.xml!C1603</f>
        <v>箭筒</v>
      </c>
      <c r="D1599" s="1" t="str">
        <f>equip.xml!D1603</f>
        <v>副手武器</v>
      </c>
      <c r="E1599" s="1">
        <f>equip.xml!E1603</f>
        <v>6</v>
      </c>
      <c r="F1599" s="1">
        <f>equip.xml!F1603</f>
        <v>5</v>
      </c>
      <c r="G1599" s="1">
        <f>equip.xml!G1603</f>
        <v>60</v>
      </c>
      <c r="H1599" s="1" t="str">
        <f>equip.xml!H1603</f>
        <v>2,1002</v>
      </c>
      <c r="I1599" s="1">
        <f>equip.xml!J1603</f>
        <v>150</v>
      </c>
      <c r="J1599" s="1">
        <f>equip.xml!K1603</f>
        <v>1500</v>
      </c>
      <c r="K1599" s="1">
        <f>equip.xml!L1603</f>
        <v>35000</v>
      </c>
      <c r="L1599" s="1" t="str">
        <f>equip.xml!M1603</f>
        <v>108_2704_2704</v>
      </c>
      <c r="M1599" s="7" t="str">
        <f>equip.xml!Q1603</f>
        <v>equipment/2201.png</v>
      </c>
      <c r="N1599" t="str">
        <f>equip.xml!P1603</f>
        <v>10000_1002_60000,30000_30001_1,30000_30002_1,30000_30003_1</v>
      </c>
    </row>
    <row r="1600" spans="1:14">
      <c r="A1600" s="1" t="str">
        <f>equip.xml!A1604</f>
        <v>50603050</v>
      </c>
      <c r="B1600" s="1">
        <f>equip.xml!B1604</f>
        <v>1</v>
      </c>
      <c r="C1600" s="1" t="str">
        <f>equip.xml!C1604</f>
        <v>无尽回响之杖</v>
      </c>
      <c r="D1600" s="1" t="str">
        <f>equip.xml!D1604</f>
        <v>主手武器</v>
      </c>
      <c r="E1600" s="1">
        <f>equip.xml!E1604</f>
        <v>5</v>
      </c>
      <c r="F1600" s="1">
        <f>equip.xml!F1604</f>
        <v>5</v>
      </c>
      <c r="G1600" s="1">
        <f>equip.xml!G1604</f>
        <v>60</v>
      </c>
      <c r="H1600" s="1" t="str">
        <f>equip.xml!H1604</f>
        <v>3,1003</v>
      </c>
      <c r="I1600" s="1">
        <f>equip.xml!J1604</f>
        <v>150</v>
      </c>
      <c r="J1600" s="1">
        <f>equip.xml!K1604</f>
        <v>1500</v>
      </c>
      <c r="K1600" s="1">
        <f>equip.xml!L1604</f>
        <v>32500</v>
      </c>
      <c r="L1600" s="1" t="str">
        <f>equip.xml!M1604</f>
        <v>103_2007_2007,104_4014_4014</v>
      </c>
      <c r="M1600" s="7" t="str">
        <f>equip.xml!Q1604</f>
        <v>equipment/1322.png</v>
      </c>
      <c r="N1600" t="str">
        <f>equip.xml!P1604</f>
        <v>10000_1002_60000,30000_30001_1,30000_30002_1,30000_30003_1</v>
      </c>
    </row>
    <row r="1601" spans="1:14">
      <c r="A1601" s="1" t="str">
        <f>equip.xml!A1605</f>
        <v>50603051</v>
      </c>
      <c r="B1601" s="1">
        <f>equip.xml!B1605</f>
        <v>0</v>
      </c>
      <c r="C1601" s="1" t="str">
        <f>equip.xml!C1605</f>
        <v>日辉法杖</v>
      </c>
      <c r="D1601" s="1" t="str">
        <f>equip.xml!D1605</f>
        <v>主手武器</v>
      </c>
      <c r="E1601" s="1">
        <f>equip.xml!E1605</f>
        <v>5</v>
      </c>
      <c r="F1601" s="1">
        <f>equip.xml!F1605</f>
        <v>5</v>
      </c>
      <c r="G1601" s="1">
        <f>equip.xml!G1605</f>
        <v>60</v>
      </c>
      <c r="H1601" s="1" t="str">
        <f>equip.xml!H1605</f>
        <v>3,1003</v>
      </c>
      <c r="I1601" s="1">
        <f>equip.xml!J1605</f>
        <v>150</v>
      </c>
      <c r="J1601" s="1">
        <f>equip.xml!K1605</f>
        <v>1500</v>
      </c>
      <c r="K1601" s="1">
        <f>equip.xml!L1605</f>
        <v>35000</v>
      </c>
      <c r="L1601" s="1" t="str">
        <f>equip.xml!M1605</f>
        <v>103_2252_2252,104_4504_4504</v>
      </c>
      <c r="M1601" s="7" t="str">
        <f>equip.xml!Q1605</f>
        <v>equipment/1301.png</v>
      </c>
      <c r="N1601" t="str">
        <f>equip.xml!P1605</f>
        <v>10000_1002_60000,30000_30001_1,30000_30002_1,30000_30003_1</v>
      </c>
    </row>
    <row r="1602" spans="1:14">
      <c r="A1602" s="1" t="str">
        <f>equip.xml!A1606</f>
        <v>50603060</v>
      </c>
      <c r="B1602" s="1">
        <f>equip.xml!B1606</f>
        <v>1</v>
      </c>
      <c r="C1602" s="1" t="str">
        <f>equip.xml!C1606</f>
        <v>星图指南</v>
      </c>
      <c r="D1602" s="1" t="str">
        <f>equip.xml!D1606</f>
        <v>副手武器</v>
      </c>
      <c r="E1602" s="1">
        <f>equip.xml!E1606</f>
        <v>6</v>
      </c>
      <c r="F1602" s="1">
        <f>equip.xml!F1606</f>
        <v>5</v>
      </c>
      <c r="G1602" s="1">
        <f>equip.xml!G1606</f>
        <v>60</v>
      </c>
      <c r="H1602" s="1" t="str">
        <f>equip.xml!H1606</f>
        <v>3,1003</v>
      </c>
      <c r="I1602" s="1">
        <f>equip.xml!J1606</f>
        <v>150</v>
      </c>
      <c r="J1602" s="1">
        <f>equip.xml!K1606</f>
        <v>1500</v>
      </c>
      <c r="K1602" s="1">
        <f>equip.xml!L1606</f>
        <v>32500</v>
      </c>
      <c r="L1602" s="1" t="str">
        <f>equip.xml!M1606</f>
        <v>102_2260_2260</v>
      </c>
      <c r="M1602" s="7" t="str">
        <f>equip.xml!Q1606</f>
        <v>equipment/2315.png</v>
      </c>
      <c r="N1602" t="str">
        <f>equip.xml!P1606</f>
        <v>10000_1002_60000,30000_30001_1,30000_30002_1,30000_30003_1</v>
      </c>
    </row>
    <row r="1603" spans="1:14">
      <c r="A1603" s="1" t="str">
        <f>equip.xml!A1607</f>
        <v>50603061</v>
      </c>
      <c r="B1603" s="1">
        <f>equip.xml!B1607</f>
        <v>0</v>
      </c>
      <c r="C1603" s="1" t="str">
        <f>equip.xml!C1607</f>
        <v>法术指南</v>
      </c>
      <c r="D1603" s="1" t="str">
        <f>equip.xml!D1607</f>
        <v>副手武器</v>
      </c>
      <c r="E1603" s="1">
        <f>equip.xml!E1607</f>
        <v>6</v>
      </c>
      <c r="F1603" s="1">
        <f>equip.xml!F1607</f>
        <v>5</v>
      </c>
      <c r="G1603" s="1">
        <f>equip.xml!G1607</f>
        <v>60</v>
      </c>
      <c r="H1603" s="1" t="str">
        <f>equip.xml!H1607</f>
        <v>3,1003</v>
      </c>
      <c r="I1603" s="1">
        <f>equip.xml!J1607</f>
        <v>150</v>
      </c>
      <c r="J1603" s="1">
        <f>equip.xml!K1607</f>
        <v>1500</v>
      </c>
      <c r="K1603" s="1">
        <f>equip.xml!L1607</f>
        <v>35000</v>
      </c>
      <c r="L1603" s="1" t="str">
        <f>equip.xml!M1607</f>
        <v>102_2704_2704</v>
      </c>
      <c r="M1603" s="7" t="str">
        <f>equip.xml!Q1607</f>
        <v>equipment/2301.png</v>
      </c>
      <c r="N1603" t="str">
        <f>equip.xml!P1607</f>
        <v>10000_1002_60000,30000_30001_1,30000_30002_1,30000_30003_1</v>
      </c>
    </row>
    <row r="1604" spans="1:14">
      <c r="A1604" s="1" t="str">
        <f>equip.xml!A1608</f>
        <v>50600040</v>
      </c>
      <c r="B1604" s="1">
        <f>equip.xml!B1608</f>
        <v>1</v>
      </c>
      <c r="C1604" s="1" t="str">
        <f>equip.xml!C1608</f>
        <v>明光战甲</v>
      </c>
      <c r="D1604" s="1" t="str">
        <f>equip.xml!D1608</f>
        <v>胸甲</v>
      </c>
      <c r="E1604" s="1">
        <f>equip.xml!E1608</f>
        <v>4</v>
      </c>
      <c r="F1604" s="1">
        <f>equip.xml!F1608</f>
        <v>5</v>
      </c>
      <c r="G1604" s="1">
        <f>equip.xml!G1608</f>
        <v>60</v>
      </c>
      <c r="H1604" s="1">
        <f>equip.xml!H1608</f>
        <v>0</v>
      </c>
      <c r="I1604" s="1">
        <f>equip.xml!J1608</f>
        <v>150</v>
      </c>
      <c r="J1604" s="1">
        <f>equip.xml!K1608</f>
        <v>1500</v>
      </c>
      <c r="K1604" s="1">
        <f>equip.xml!L1608</f>
        <v>32500</v>
      </c>
      <c r="L1604" s="1" t="str">
        <f>equip.xml!M1608</f>
        <v>105_1377_1377</v>
      </c>
      <c r="M1604" s="7" t="str">
        <f>equip.xml!Q1608</f>
        <v>equipment/5016.png</v>
      </c>
      <c r="N1604" t="str">
        <f>equip.xml!P1608</f>
        <v>10000_1002_60000,30000_30001_1,30000_30002_1,30000_30003_1</v>
      </c>
    </row>
    <row r="1605" spans="1:14">
      <c r="A1605" s="1" t="str">
        <f>equip.xml!A1609</f>
        <v>50600041</v>
      </c>
      <c r="B1605" s="1">
        <f>equip.xml!B1609</f>
        <v>0</v>
      </c>
      <c r="C1605" s="1" t="str">
        <f>equip.xml!C1609</f>
        <v>龙骑战甲</v>
      </c>
      <c r="D1605" s="1" t="str">
        <f>equip.xml!D1609</f>
        <v>胸甲</v>
      </c>
      <c r="E1605" s="1">
        <f>equip.xml!E1609</f>
        <v>4</v>
      </c>
      <c r="F1605" s="1">
        <f>equip.xml!F1609</f>
        <v>5</v>
      </c>
      <c r="G1605" s="1">
        <f>equip.xml!G1609</f>
        <v>60</v>
      </c>
      <c r="H1605" s="1">
        <f>equip.xml!H1609</f>
        <v>0</v>
      </c>
      <c r="I1605" s="1">
        <f>equip.xml!J1609</f>
        <v>150</v>
      </c>
      <c r="J1605" s="1">
        <f>equip.xml!K1609</f>
        <v>1500</v>
      </c>
      <c r="K1605" s="1">
        <f>equip.xml!L1609</f>
        <v>35000</v>
      </c>
      <c r="L1605" s="1" t="str">
        <f>equip.xml!M1609</f>
        <v>105_1477_1477</v>
      </c>
      <c r="M1605" s="7" t="str">
        <f>equip.xml!Q1609</f>
        <v>equipment/5001.png</v>
      </c>
      <c r="N1605" t="str">
        <f>equip.xml!P1609</f>
        <v>10000_1002_60000,30000_30001_1,30000_30002_1,30000_30003_1</v>
      </c>
    </row>
    <row r="1606" spans="1:14">
      <c r="A1606" s="1" t="str">
        <f>equip.xml!A1610</f>
        <v>50600070</v>
      </c>
      <c r="B1606" s="1">
        <f>equip.xml!B1610</f>
        <v>1</v>
      </c>
      <c r="C1606" s="1" t="str">
        <f>equip.xml!C1610</f>
        <v>深渊护腿</v>
      </c>
      <c r="D1606" s="1" t="str">
        <f>equip.xml!D1610</f>
        <v>护腿</v>
      </c>
      <c r="E1606" s="1">
        <f>equip.xml!E1610</f>
        <v>7</v>
      </c>
      <c r="F1606" s="1">
        <f>equip.xml!F1610</f>
        <v>5</v>
      </c>
      <c r="G1606" s="1">
        <f>equip.xml!G1610</f>
        <v>60</v>
      </c>
      <c r="H1606" s="1">
        <f>equip.xml!H1610</f>
        <v>0</v>
      </c>
      <c r="I1606" s="1">
        <f>equip.xml!J1610</f>
        <v>150</v>
      </c>
      <c r="J1606" s="1">
        <f>equip.xml!K1610</f>
        <v>1500</v>
      </c>
      <c r="K1606" s="1">
        <f>equip.xml!L1610</f>
        <v>32500</v>
      </c>
      <c r="L1606" s="1" t="str">
        <f>equip.xml!M1610</f>
        <v>105_1152_1152</v>
      </c>
      <c r="M1606" s="7" t="str">
        <f>equip.xml!Q1610</f>
        <v>equipment/7014.png</v>
      </c>
      <c r="N1606" t="str">
        <f>equip.xml!P1610</f>
        <v>10000_1002_60000,30000_30001_1,30000_30002_1,30000_30003_1</v>
      </c>
    </row>
    <row r="1607" spans="1:14">
      <c r="A1607" s="1" t="str">
        <f>equip.xml!A1611</f>
        <v>50600071</v>
      </c>
      <c r="B1607" s="1">
        <f>equip.xml!B1611</f>
        <v>1</v>
      </c>
      <c r="C1607" s="1" t="str">
        <f>equip.xml!C1611</f>
        <v>光耀腿甲</v>
      </c>
      <c r="D1607" s="1" t="str">
        <f>equip.xml!D1611</f>
        <v>护腿</v>
      </c>
      <c r="E1607" s="1">
        <f>equip.xml!E1611</f>
        <v>7</v>
      </c>
      <c r="F1607" s="1">
        <f>equip.xml!F1611</f>
        <v>5</v>
      </c>
      <c r="G1607" s="1">
        <f>equip.xml!G1611</f>
        <v>60</v>
      </c>
      <c r="H1607" s="1">
        <f>equip.xml!H1611</f>
        <v>0</v>
      </c>
      <c r="I1607" s="1">
        <f>equip.xml!J1611</f>
        <v>150</v>
      </c>
      <c r="J1607" s="1">
        <f>equip.xml!K1611</f>
        <v>1500</v>
      </c>
      <c r="K1607" s="1">
        <f>equip.xml!L1611</f>
        <v>35000</v>
      </c>
      <c r="L1607" s="1" t="str">
        <f>equip.xml!M1611</f>
        <v>105_1342_1342</v>
      </c>
      <c r="M1607" s="7" t="str">
        <f>equip.xml!Q1611</f>
        <v>equipment/7015.png</v>
      </c>
      <c r="N1607" t="str">
        <f>equip.xml!P1611</f>
        <v>10000_1002_60000,30000_30001_1,30000_30002_1,30000_30003_1</v>
      </c>
    </row>
    <row r="1608" spans="1:14">
      <c r="A1608" s="1" t="str">
        <f>equip.xml!A1612</f>
        <v>50650010</v>
      </c>
      <c r="B1608" s="1">
        <f>equip.xml!B1612</f>
        <v>1</v>
      </c>
      <c r="C1608" s="1" t="str">
        <f>equip.xml!C1612</f>
        <v>虚空之冠</v>
      </c>
      <c r="D1608" s="1" t="str">
        <f>equip.xml!D1612</f>
        <v>头盔</v>
      </c>
      <c r="E1608" s="1">
        <f>equip.xml!E1612</f>
        <v>1</v>
      </c>
      <c r="F1608" s="1">
        <f>equip.xml!F1612</f>
        <v>5</v>
      </c>
      <c r="G1608" s="1">
        <f>equip.xml!G1612</f>
        <v>65</v>
      </c>
      <c r="H1608" s="1">
        <f>equip.xml!H1612</f>
        <v>0</v>
      </c>
      <c r="I1608" s="1">
        <f>equip.xml!J1612</f>
        <v>150</v>
      </c>
      <c r="J1608" s="1">
        <f>equip.xml!K1612</f>
        <v>1500</v>
      </c>
      <c r="K1608" s="1">
        <f>equip.xml!L1612</f>
        <v>35000</v>
      </c>
      <c r="L1608" s="1" t="str">
        <f>equip.xml!M1612</f>
        <v>106_2015_2015</v>
      </c>
      <c r="M1608" s="7" t="str">
        <f>equip.xml!Q1612</f>
        <v>equipment/3011.png</v>
      </c>
      <c r="N1608" t="str">
        <f>equip.xml!P1612</f>
        <v>10000_1002_65000,30000_30001_1,30000_30002_1,30000_30003_1</v>
      </c>
    </row>
    <row r="1609" spans="1:14">
      <c r="A1609" s="1" t="str">
        <f>equip.xml!A1613</f>
        <v>50650020</v>
      </c>
      <c r="B1609" s="1">
        <f>equip.xml!B1613</f>
        <v>1</v>
      </c>
      <c r="C1609" s="1" t="str">
        <f>equip.xml!C1613</f>
        <v>圣火指环</v>
      </c>
      <c r="D1609" s="1" t="str">
        <f>equip.xml!D1613</f>
        <v>戒指</v>
      </c>
      <c r="E1609" s="1">
        <f>equip.xml!E1613</f>
        <v>2</v>
      </c>
      <c r="F1609" s="1">
        <f>equip.xml!F1613</f>
        <v>5</v>
      </c>
      <c r="G1609" s="1">
        <f>equip.xml!G1613</f>
        <v>65</v>
      </c>
      <c r="H1609" s="1">
        <f>equip.xml!H1613</f>
        <v>0</v>
      </c>
      <c r="I1609" s="1">
        <f>equip.xml!J1613</f>
        <v>150</v>
      </c>
      <c r="J1609" s="1">
        <f>equip.xml!K1613</f>
        <v>1500</v>
      </c>
      <c r="K1609" s="1">
        <f>equip.xml!L1613</f>
        <v>35000</v>
      </c>
      <c r="L1609" s="1" t="str">
        <f>equip.xml!M1613</f>
        <v>102_1470_1470</v>
      </c>
      <c r="M1609" s="7" t="str">
        <f>equip.xml!Q1613</f>
        <v>equipment/14011.png</v>
      </c>
      <c r="N1609" t="str">
        <f>equip.xml!P1613</f>
        <v>10000_1002_65000,30000_30001_1,30000_30002_1,30000_30003_1</v>
      </c>
    </row>
    <row r="1610" spans="1:14">
      <c r="A1610" s="1" t="str">
        <f>equip.xml!A1614</f>
        <v>50650030</v>
      </c>
      <c r="B1610" s="1">
        <f>equip.xml!B1614</f>
        <v>1</v>
      </c>
      <c r="C1610" s="1" t="str">
        <f>equip.xml!C1614</f>
        <v>统御腰带</v>
      </c>
      <c r="D1610" s="1" t="str">
        <f>equip.xml!D1614</f>
        <v>腰带</v>
      </c>
      <c r="E1610" s="1">
        <f>equip.xml!E1614</f>
        <v>3</v>
      </c>
      <c r="F1610" s="1">
        <f>equip.xml!F1614</f>
        <v>5</v>
      </c>
      <c r="G1610" s="1">
        <f>equip.xml!G1614</f>
        <v>65</v>
      </c>
      <c r="H1610" s="1">
        <f>equip.xml!H1614</f>
        <v>0</v>
      </c>
      <c r="I1610" s="1">
        <f>equip.xml!J1614</f>
        <v>150</v>
      </c>
      <c r="J1610" s="1">
        <f>equip.xml!K1614</f>
        <v>1500</v>
      </c>
      <c r="K1610" s="1">
        <f>equip.xml!L1614</f>
        <v>35000</v>
      </c>
      <c r="L1610" s="1" t="str">
        <f>equip.xml!M1614</f>
        <v>101_16900_16900</v>
      </c>
      <c r="M1610" s="7" t="str">
        <f>equip.xml!Q1614</f>
        <v>equipment/6011.png</v>
      </c>
      <c r="N1610" t="str">
        <f>equip.xml!P1614</f>
        <v>10000_1002_65000,30000_30001_1,30000_30002_1,30000_30003_1</v>
      </c>
    </row>
    <row r="1611" spans="1:14">
      <c r="A1611" s="1" t="str">
        <f>equip.xml!A1615</f>
        <v>50650080</v>
      </c>
      <c r="B1611" s="1">
        <f>equip.xml!B1615</f>
        <v>1</v>
      </c>
      <c r="C1611" s="1" t="str">
        <f>equip.xml!C1615</f>
        <v>狱火战靴</v>
      </c>
      <c r="D1611" s="1" t="str">
        <f>equip.xml!D1615</f>
        <v>鞋子</v>
      </c>
      <c r="E1611" s="1">
        <f>equip.xml!E1615</f>
        <v>8</v>
      </c>
      <c r="F1611" s="1">
        <f>equip.xml!F1615</f>
        <v>5</v>
      </c>
      <c r="G1611" s="1">
        <f>equip.xml!G1615</f>
        <v>65</v>
      </c>
      <c r="H1611" s="1">
        <f>equip.xml!H1615</f>
        <v>0</v>
      </c>
      <c r="I1611" s="1">
        <f>equip.xml!J1615</f>
        <v>150</v>
      </c>
      <c r="J1611" s="1">
        <f>equip.xml!K1615</f>
        <v>1500</v>
      </c>
      <c r="K1611" s="1">
        <f>equip.xml!L1615</f>
        <v>35000</v>
      </c>
      <c r="L1611" s="1" t="str">
        <f>equip.xml!M1615</f>
        <v>110_352_352</v>
      </c>
      <c r="M1611" s="7" t="str">
        <f>equip.xml!Q1615</f>
        <v>equipment/8011.png</v>
      </c>
      <c r="N1611" t="str">
        <f>equip.xml!P1615</f>
        <v>10000_1002_65000,30000_30001_1,30000_30002_1,30000_30003_1</v>
      </c>
    </row>
    <row r="1612" spans="1:14">
      <c r="A1612" s="1" t="str">
        <f>equip.xml!A1616</f>
        <v>50650090</v>
      </c>
      <c r="B1612" s="1">
        <f>equip.xml!B1616</f>
        <v>1</v>
      </c>
      <c r="C1612" s="1" t="str">
        <f>equip.xml!C1616</f>
        <v>荣耀先驱护手</v>
      </c>
      <c r="D1612" s="1" t="str">
        <f>equip.xml!D1616</f>
        <v>手套</v>
      </c>
      <c r="E1612" s="1">
        <f>equip.xml!E1616</f>
        <v>9</v>
      </c>
      <c r="F1612" s="1">
        <f>equip.xml!F1616</f>
        <v>5</v>
      </c>
      <c r="G1612" s="1">
        <f>equip.xml!G1616</f>
        <v>65</v>
      </c>
      <c r="H1612" s="1">
        <f>equip.xml!H1616</f>
        <v>0</v>
      </c>
      <c r="I1612" s="1">
        <f>equip.xml!J1616</f>
        <v>150</v>
      </c>
      <c r="J1612" s="1">
        <f>equip.xml!K1616</f>
        <v>1500</v>
      </c>
      <c r="K1612" s="1">
        <f>equip.xml!L1616</f>
        <v>35000</v>
      </c>
      <c r="L1612" s="1" t="str">
        <f>equip.xml!M1616</f>
        <v>108_3884_3884</v>
      </c>
      <c r="M1612" s="7" t="str">
        <f>equip.xml!Q1616</f>
        <v>equipment/10011.png</v>
      </c>
      <c r="N1612" t="str">
        <f>equip.xml!P1616</f>
        <v>10000_1002_65000,30000_30001_1,30000_30002_1,30000_30003_1</v>
      </c>
    </row>
    <row r="1613" spans="1:14">
      <c r="A1613" s="1" t="str">
        <f>equip.xml!A1617</f>
        <v>50650100</v>
      </c>
      <c r="B1613" s="1">
        <f>equip.xml!B1617</f>
        <v>1</v>
      </c>
      <c r="C1613" s="1" t="str">
        <f>equip.xml!C1617</f>
        <v>救赎坠饰</v>
      </c>
      <c r="D1613" s="1" t="str">
        <f>equip.xml!D1617</f>
        <v>项链</v>
      </c>
      <c r="E1613" s="1">
        <f>equip.xml!E1617</f>
        <v>10</v>
      </c>
      <c r="F1613" s="1">
        <f>equip.xml!F1617</f>
        <v>5</v>
      </c>
      <c r="G1613" s="1">
        <f>equip.xml!G1617</f>
        <v>65</v>
      </c>
      <c r="H1613" s="1">
        <f>equip.xml!H1617</f>
        <v>0</v>
      </c>
      <c r="I1613" s="1">
        <f>equip.xml!J1617</f>
        <v>150</v>
      </c>
      <c r="J1613" s="1">
        <f>equip.xml!K1617</f>
        <v>1500</v>
      </c>
      <c r="K1613" s="1">
        <f>equip.xml!L1617</f>
        <v>35000</v>
      </c>
      <c r="L1613" s="1" t="str">
        <f>equip.xml!M1617</f>
        <v>107_2015_2015</v>
      </c>
      <c r="M1613" s="7" t="str">
        <f>equip.xml!Q1617</f>
        <v>equipment/12011.png</v>
      </c>
      <c r="N1613" t="str">
        <f>equip.xml!P1617</f>
        <v>10000_1002_65000,30000_30001_1,30000_30002_1,30000_30003_1</v>
      </c>
    </row>
    <row r="1614" spans="1:14">
      <c r="A1614" s="1" t="str">
        <f>equip.xml!A1618</f>
        <v>50651050</v>
      </c>
      <c r="B1614" s="1">
        <f>equip.xml!B1618</f>
        <v>1</v>
      </c>
      <c r="C1614" s="1" t="str">
        <f>equip.xml!C1618</f>
        <v>魂歌之刃</v>
      </c>
      <c r="D1614" s="1" t="str">
        <f>equip.xml!D1618</f>
        <v>主手武器</v>
      </c>
      <c r="E1614" s="1">
        <f>equip.xml!E1618</f>
        <v>5</v>
      </c>
      <c r="F1614" s="1">
        <f>equip.xml!F1618</f>
        <v>5</v>
      </c>
      <c r="G1614" s="1">
        <f>equip.xml!G1618</f>
        <v>65</v>
      </c>
      <c r="H1614" s="1" t="str">
        <f>equip.xml!H1618</f>
        <v>1,1001</v>
      </c>
      <c r="I1614" s="1">
        <f>equip.xml!J1618</f>
        <v>150</v>
      </c>
      <c r="J1614" s="1">
        <f>equip.xml!K1618</f>
        <v>1500</v>
      </c>
      <c r="K1614" s="1">
        <f>equip.xml!L1618</f>
        <v>35000</v>
      </c>
      <c r="L1614" s="1" t="str">
        <f>equip.xml!M1618</f>
        <v>103_2619_2619,104_5238_5238</v>
      </c>
      <c r="M1614" s="7" t="str">
        <f>equip.xml!Q1618</f>
        <v>equipment/1123.png</v>
      </c>
      <c r="N1614" t="str">
        <f>equip.xml!P1618</f>
        <v>10000_1002_65000,30000_30001_1,30000_30002_1,30000_30003_1</v>
      </c>
    </row>
    <row r="1615" spans="1:14">
      <c r="A1615" s="1" t="str">
        <f>equip.xml!A1619</f>
        <v>50651051</v>
      </c>
      <c r="B1615" s="1">
        <f>equip.xml!B1619</f>
        <v>0</v>
      </c>
      <c r="C1615" s="1" t="str">
        <f>equip.xml!C1619</f>
        <v>命运</v>
      </c>
      <c r="D1615" s="1" t="str">
        <f>equip.xml!D1619</f>
        <v>主手武器</v>
      </c>
      <c r="E1615" s="1">
        <f>equip.xml!E1619</f>
        <v>5</v>
      </c>
      <c r="F1615" s="1">
        <f>equip.xml!F1619</f>
        <v>5</v>
      </c>
      <c r="G1615" s="1">
        <f>equip.xml!G1619</f>
        <v>65</v>
      </c>
      <c r="H1615" s="1" t="str">
        <f>equip.xml!H1619</f>
        <v>1,1001</v>
      </c>
      <c r="I1615" s="1">
        <f>equip.xml!J1619</f>
        <v>150</v>
      </c>
      <c r="J1615" s="1">
        <f>equip.xml!K1619</f>
        <v>1500</v>
      </c>
      <c r="K1615" s="1">
        <f>equip.xml!L1619</f>
        <v>37500</v>
      </c>
      <c r="L1615" s="1" t="str">
        <f>equip.xml!M1619</f>
        <v>103_2854_2854,104_5708_5708</v>
      </c>
      <c r="M1615" s="7" t="str">
        <f>equip.xml!Q1619</f>
        <v>equipment/1101.png</v>
      </c>
      <c r="N1615" t="str">
        <f>equip.xml!P1619</f>
        <v>10000_1002_65000,30000_30001_1,30000_30002_1,30000_30003_1</v>
      </c>
    </row>
    <row r="1616" spans="1:14">
      <c r="A1616" s="1" t="str">
        <f>equip.xml!A1620</f>
        <v>50651060</v>
      </c>
      <c r="B1616" s="1">
        <f>equip.xml!B1620</f>
        <v>1</v>
      </c>
      <c r="C1616" s="1" t="str">
        <f>equip.xml!C1620</f>
        <v>日怒之盾</v>
      </c>
      <c r="D1616" s="1" t="str">
        <f>equip.xml!D1620</f>
        <v>副手武器</v>
      </c>
      <c r="E1616" s="1">
        <f>equip.xml!E1620</f>
        <v>6</v>
      </c>
      <c r="F1616" s="1">
        <f>equip.xml!F1620</f>
        <v>5</v>
      </c>
      <c r="G1616" s="1">
        <f>equip.xml!G1620</f>
        <v>65</v>
      </c>
      <c r="H1616" s="1" t="str">
        <f>equip.xml!H1620</f>
        <v>1,1001</v>
      </c>
      <c r="I1616" s="1">
        <f>equip.xml!J1620</f>
        <v>150</v>
      </c>
      <c r="J1616" s="1">
        <f>equip.xml!K1620</f>
        <v>1500</v>
      </c>
      <c r="K1616" s="1">
        <f>equip.xml!L1620</f>
        <v>35000</v>
      </c>
      <c r="L1616" s="1" t="str">
        <f>equip.xml!M1620</f>
        <v>105_2988_2988</v>
      </c>
      <c r="M1616" s="7" t="str">
        <f>equip.xml!Q1620</f>
        <v>equipment/2116.png</v>
      </c>
      <c r="N1616" t="str">
        <f>equip.xml!P1620</f>
        <v>10000_1002_65000,30000_30001_1,30000_30002_1,30000_30003_1</v>
      </c>
    </row>
    <row r="1617" spans="1:14">
      <c r="A1617" s="1" t="str">
        <f>equip.xml!A1621</f>
        <v>50651061</v>
      </c>
      <c r="B1617" s="1">
        <f>equip.xml!B1621</f>
        <v>0</v>
      </c>
      <c r="C1617" s="1" t="str">
        <f>equip.xml!C1621</f>
        <v>尖头盾</v>
      </c>
      <c r="D1617" s="1" t="str">
        <f>equip.xml!D1621</f>
        <v>副手武器</v>
      </c>
      <c r="E1617" s="1">
        <f>equip.xml!E1621</f>
        <v>6</v>
      </c>
      <c r="F1617" s="1">
        <f>equip.xml!F1621</f>
        <v>5</v>
      </c>
      <c r="G1617" s="1">
        <f>equip.xml!G1621</f>
        <v>65</v>
      </c>
      <c r="H1617" s="1" t="str">
        <f>equip.xml!H1621</f>
        <v>1,1001</v>
      </c>
      <c r="I1617" s="1">
        <f>equip.xml!J1621</f>
        <v>150</v>
      </c>
      <c r="J1617" s="1">
        <f>equip.xml!K1621</f>
        <v>1500</v>
      </c>
      <c r="K1617" s="1">
        <f>equip.xml!L1621</f>
        <v>37500</v>
      </c>
      <c r="L1617" s="1" t="str">
        <f>equip.xml!M1621</f>
        <v>105_2988_2988</v>
      </c>
      <c r="M1617" s="7" t="str">
        <f>equip.xml!Q1621</f>
        <v>equipment/2101.png</v>
      </c>
      <c r="N1617" t="str">
        <f>equip.xml!P1621</f>
        <v>10000_1002_65000,30000_30001_1,30000_30002_1,30000_30003_1</v>
      </c>
    </row>
    <row r="1618" spans="1:14">
      <c r="A1618" s="1" t="str">
        <f>equip.xml!A1622</f>
        <v>50652050</v>
      </c>
      <c r="B1618" s="1">
        <f>equip.xml!B1622</f>
        <v>1</v>
      </c>
      <c r="C1618" s="1" t="str">
        <f>equip.xml!C1622</f>
        <v>憎恨之击</v>
      </c>
      <c r="D1618" s="1" t="str">
        <f>equip.xml!D1622</f>
        <v>主手武器</v>
      </c>
      <c r="E1618" s="1">
        <f>equip.xml!E1622</f>
        <v>5</v>
      </c>
      <c r="F1618" s="1">
        <f>equip.xml!F1622</f>
        <v>5</v>
      </c>
      <c r="G1618" s="1">
        <f>equip.xml!G1622</f>
        <v>65</v>
      </c>
      <c r="H1618" s="1" t="str">
        <f>equip.xml!H1622</f>
        <v>2,1002</v>
      </c>
      <c r="I1618" s="1">
        <f>equip.xml!J1622</f>
        <v>150</v>
      </c>
      <c r="J1618" s="1">
        <f>equip.xml!K1622</f>
        <v>1500</v>
      </c>
      <c r="K1618" s="1">
        <f>equip.xml!L1622</f>
        <v>35000</v>
      </c>
      <c r="L1618" s="1" t="str">
        <f>equip.xml!M1622</f>
        <v>103_2619_2619,104_5238_5238</v>
      </c>
      <c r="M1618" s="7" t="str">
        <f>equip.xml!Q1622</f>
        <v>equipment/1224.png</v>
      </c>
      <c r="N1618" t="str">
        <f>equip.xml!P1622</f>
        <v>10000_1002_65000,30000_30001_1,30000_30002_1,30000_30003_1</v>
      </c>
    </row>
    <row r="1619" spans="1:14">
      <c r="A1619" s="1" t="str">
        <f>equip.xml!A1623</f>
        <v>50652051</v>
      </c>
      <c r="B1619" s="1">
        <f>equip.xml!B1623</f>
        <v>0</v>
      </c>
      <c r="C1619" s="1" t="str">
        <f>equip.xml!C1623</f>
        <v>日怒凰弓</v>
      </c>
      <c r="D1619" s="1" t="str">
        <f>equip.xml!D1623</f>
        <v>主手武器</v>
      </c>
      <c r="E1619" s="1">
        <f>equip.xml!E1623</f>
        <v>5</v>
      </c>
      <c r="F1619" s="1">
        <f>equip.xml!F1623</f>
        <v>5</v>
      </c>
      <c r="G1619" s="1">
        <f>equip.xml!G1623</f>
        <v>65</v>
      </c>
      <c r="H1619" s="1" t="str">
        <f>equip.xml!H1623</f>
        <v>2,1002</v>
      </c>
      <c r="I1619" s="1">
        <f>equip.xml!J1623</f>
        <v>150</v>
      </c>
      <c r="J1619" s="1">
        <f>equip.xml!K1623</f>
        <v>1500</v>
      </c>
      <c r="K1619" s="1">
        <f>equip.xml!L1623</f>
        <v>37500</v>
      </c>
      <c r="L1619" s="1" t="str">
        <f>equip.xml!M1623</f>
        <v>103_2854_2854,104_5708_5708</v>
      </c>
      <c r="M1619" s="7" t="str">
        <f>equip.xml!Q1623</f>
        <v>equipment/1201.png</v>
      </c>
      <c r="N1619" t="str">
        <f>equip.xml!P1623</f>
        <v>10000_1002_65000,30000_30001_1,30000_30002_1,30000_30003_1</v>
      </c>
    </row>
    <row r="1620" spans="1:14">
      <c r="A1620" s="1" t="str">
        <f>equip.xml!A1624</f>
        <v>50652060</v>
      </c>
      <c r="B1620" s="1">
        <f>equip.xml!B1624</f>
        <v>1</v>
      </c>
      <c r="C1620" s="1" t="str">
        <f>equip.xml!C1624</f>
        <v>追噬之矢</v>
      </c>
      <c r="D1620" s="1" t="str">
        <f>equip.xml!D1624</f>
        <v>副手武器</v>
      </c>
      <c r="E1620" s="1">
        <f>equip.xml!E1624</f>
        <v>6</v>
      </c>
      <c r="F1620" s="1">
        <f>equip.xml!F1624</f>
        <v>5</v>
      </c>
      <c r="G1620" s="1">
        <f>equip.xml!G1624</f>
        <v>65</v>
      </c>
      <c r="H1620" s="1" t="str">
        <f>equip.xml!H1624</f>
        <v>2,1002</v>
      </c>
      <c r="I1620" s="1">
        <f>equip.xml!J1624</f>
        <v>150</v>
      </c>
      <c r="J1620" s="1">
        <f>equip.xml!K1624</f>
        <v>1500</v>
      </c>
      <c r="K1620" s="1">
        <f>equip.xml!L1624</f>
        <v>35000</v>
      </c>
      <c r="L1620" s="1" t="str">
        <f>equip.xml!M1624</f>
        <v>108_2988_2988</v>
      </c>
      <c r="M1620" s="7" t="str">
        <f>equip.xml!Q1624</f>
        <v>equipment/2216.png</v>
      </c>
      <c r="N1620" t="str">
        <f>equip.xml!P1624</f>
        <v>10000_1002_65000,30000_30001_1,30000_30002_1,30000_30003_1</v>
      </c>
    </row>
    <row r="1621" spans="1:14">
      <c r="A1621" s="1" t="str">
        <f>equip.xml!A1625</f>
        <v>50652061</v>
      </c>
      <c r="B1621" s="1">
        <f>equip.xml!B1625</f>
        <v>0</v>
      </c>
      <c r="C1621" s="1" t="str">
        <f>equip.xml!C1625</f>
        <v>箭筒</v>
      </c>
      <c r="D1621" s="1" t="str">
        <f>equip.xml!D1625</f>
        <v>副手武器</v>
      </c>
      <c r="E1621" s="1">
        <f>equip.xml!E1625</f>
        <v>6</v>
      </c>
      <c r="F1621" s="1">
        <f>equip.xml!F1625</f>
        <v>5</v>
      </c>
      <c r="G1621" s="1">
        <f>equip.xml!G1625</f>
        <v>65</v>
      </c>
      <c r="H1621" s="1" t="str">
        <f>equip.xml!H1625</f>
        <v>2,1002</v>
      </c>
      <c r="I1621" s="1">
        <f>equip.xml!J1625</f>
        <v>150</v>
      </c>
      <c r="J1621" s="1">
        <f>equip.xml!K1625</f>
        <v>1500</v>
      </c>
      <c r="K1621" s="1">
        <f>equip.xml!L1625</f>
        <v>37500</v>
      </c>
      <c r="L1621" s="1" t="str">
        <f>equip.xml!M1625</f>
        <v>108_2988_2988</v>
      </c>
      <c r="M1621" s="7" t="str">
        <f>equip.xml!Q1625</f>
        <v>equipment/2201.png</v>
      </c>
      <c r="N1621" t="str">
        <f>equip.xml!P1625</f>
        <v>10000_1002_65000,30000_30001_1,30000_30002_1,30000_30003_1</v>
      </c>
    </row>
    <row r="1622" spans="1:14">
      <c r="A1622" s="1" t="str">
        <f>equip.xml!A1626</f>
        <v>50653050</v>
      </c>
      <c r="B1622" s="1">
        <f>equip.xml!B1626</f>
        <v>1</v>
      </c>
      <c r="C1622" s="1" t="str">
        <f>equip.xml!C1626</f>
        <v>时轮金杖</v>
      </c>
      <c r="D1622" s="1" t="str">
        <f>equip.xml!D1626</f>
        <v>主手武器</v>
      </c>
      <c r="E1622" s="1">
        <f>equip.xml!E1626</f>
        <v>5</v>
      </c>
      <c r="F1622" s="1">
        <f>equip.xml!F1626</f>
        <v>5</v>
      </c>
      <c r="G1622" s="1">
        <f>equip.xml!G1626</f>
        <v>65</v>
      </c>
      <c r="H1622" s="1" t="str">
        <f>equip.xml!H1626</f>
        <v>3,1003</v>
      </c>
      <c r="I1622" s="1">
        <f>equip.xml!J1626</f>
        <v>150</v>
      </c>
      <c r="J1622" s="1">
        <f>equip.xml!K1626</f>
        <v>1500</v>
      </c>
      <c r="K1622" s="1">
        <f>equip.xml!L1626</f>
        <v>35000</v>
      </c>
      <c r="L1622" s="1" t="str">
        <f>equip.xml!M1626</f>
        <v>103_2619_2619,104_5238_5238</v>
      </c>
      <c r="M1622" s="7" t="str">
        <f>equip.xml!Q1626</f>
        <v>equipment/1323.png</v>
      </c>
      <c r="N1622" t="str">
        <f>equip.xml!P1626</f>
        <v>10000_1002_65000,30000_30001_1,30000_30002_1,30000_30003_1</v>
      </c>
    </row>
    <row r="1623" spans="1:14">
      <c r="A1623" s="1" t="str">
        <f>equip.xml!A1627</f>
        <v>50653051</v>
      </c>
      <c r="B1623" s="1">
        <f>equip.xml!B1627</f>
        <v>0</v>
      </c>
      <c r="C1623" s="1" t="str">
        <f>equip.xml!C1627</f>
        <v>学徒法杖</v>
      </c>
      <c r="D1623" s="1" t="str">
        <f>equip.xml!D1627</f>
        <v>主手武器</v>
      </c>
      <c r="E1623" s="1">
        <f>equip.xml!E1627</f>
        <v>5</v>
      </c>
      <c r="F1623" s="1">
        <f>equip.xml!F1627</f>
        <v>5</v>
      </c>
      <c r="G1623" s="1">
        <f>equip.xml!G1627</f>
        <v>65</v>
      </c>
      <c r="H1623" s="1" t="str">
        <f>equip.xml!H1627</f>
        <v>3,1003</v>
      </c>
      <c r="I1623" s="1">
        <f>equip.xml!J1627</f>
        <v>150</v>
      </c>
      <c r="J1623" s="1">
        <f>equip.xml!K1627</f>
        <v>1500</v>
      </c>
      <c r="K1623" s="1">
        <f>equip.xml!L1627</f>
        <v>37500</v>
      </c>
      <c r="L1623" s="1" t="str">
        <f>equip.xml!M1627</f>
        <v>103_2854_2854,104_5708_5708</v>
      </c>
      <c r="M1623" s="7" t="str">
        <f>equip.xml!Q1627</f>
        <v>equipment/1301.png</v>
      </c>
      <c r="N1623" t="str">
        <f>equip.xml!P1627</f>
        <v>10000_1002_65000,30000_30001_1,30000_30002_1,30000_30003_1</v>
      </c>
    </row>
    <row r="1624" spans="1:14">
      <c r="A1624" s="1" t="str">
        <f>equip.xml!A1628</f>
        <v>50653060</v>
      </c>
      <c r="B1624" s="1">
        <f>equip.xml!B1628</f>
        <v>1</v>
      </c>
      <c r="C1624" s="1" t="str">
        <f>equip.xml!C1628</f>
        <v>龙语秘典</v>
      </c>
      <c r="D1624" s="1" t="str">
        <f>equip.xml!D1628</f>
        <v>副手武器</v>
      </c>
      <c r="E1624" s="1">
        <f>equip.xml!E1628</f>
        <v>6</v>
      </c>
      <c r="F1624" s="1">
        <f>equip.xml!F1628</f>
        <v>5</v>
      </c>
      <c r="G1624" s="1">
        <f>equip.xml!G1628</f>
        <v>65</v>
      </c>
      <c r="H1624" s="1" t="str">
        <f>equip.xml!H1628</f>
        <v>3,1003</v>
      </c>
      <c r="I1624" s="1">
        <f>equip.xml!J1628</f>
        <v>150</v>
      </c>
      <c r="J1624" s="1">
        <f>equip.xml!K1628</f>
        <v>1500</v>
      </c>
      <c r="K1624" s="1">
        <f>equip.xml!L1628</f>
        <v>35000</v>
      </c>
      <c r="L1624" s="1" t="str">
        <f>equip.xml!M1628</f>
        <v>102_2620_2620</v>
      </c>
      <c r="M1624" s="7" t="str">
        <f>equip.xml!Q1628</f>
        <v>equipment/2317.png</v>
      </c>
      <c r="N1624" t="str">
        <f>equip.xml!P1628</f>
        <v>10000_1002_65000,30000_30001_1,30000_30002_1,30000_30003_1</v>
      </c>
    </row>
    <row r="1625" spans="1:14">
      <c r="A1625" s="1" t="str">
        <f>equip.xml!A1629</f>
        <v>50653061</v>
      </c>
      <c r="B1625" s="1">
        <f>equip.xml!B1629</f>
        <v>0</v>
      </c>
      <c r="C1625" s="1" t="str">
        <f>equip.xml!C1629</f>
        <v>法术指南</v>
      </c>
      <c r="D1625" s="1" t="str">
        <f>equip.xml!D1629</f>
        <v>副手武器</v>
      </c>
      <c r="E1625" s="1">
        <f>equip.xml!E1629</f>
        <v>6</v>
      </c>
      <c r="F1625" s="1">
        <f>equip.xml!F1629</f>
        <v>5</v>
      </c>
      <c r="G1625" s="1">
        <f>equip.xml!G1629</f>
        <v>65</v>
      </c>
      <c r="H1625" s="1" t="str">
        <f>equip.xml!H1629</f>
        <v>3,1003</v>
      </c>
      <c r="I1625" s="1">
        <f>equip.xml!J1629</f>
        <v>150</v>
      </c>
      <c r="J1625" s="1">
        <f>equip.xml!K1629</f>
        <v>1500</v>
      </c>
      <c r="K1625" s="1">
        <f>equip.xml!L1629</f>
        <v>37500</v>
      </c>
      <c r="L1625" s="1" t="str">
        <f>equip.xml!M1629</f>
        <v>102_2988_2988</v>
      </c>
      <c r="M1625" s="7" t="str">
        <f>equip.xml!Q1629</f>
        <v>equipment/2301.png</v>
      </c>
      <c r="N1625" t="str">
        <f>equip.xml!P1629</f>
        <v>10000_1002_65000,30000_30001_1,30000_30002_1,30000_30003_1</v>
      </c>
    </row>
    <row r="1626" spans="1:14">
      <c r="A1626" s="1" t="str">
        <f>equip.xml!A1630</f>
        <v>50650040</v>
      </c>
      <c r="B1626" s="1">
        <f>equip.xml!B1630</f>
        <v>1</v>
      </c>
      <c r="C1626" s="1" t="str">
        <f>equip.xml!C1630</f>
        <v>末世胸铠</v>
      </c>
      <c r="D1626" s="1" t="str">
        <f>equip.xml!D1630</f>
        <v>胸甲</v>
      </c>
      <c r="E1626" s="1">
        <f>equip.xml!E1630</f>
        <v>4</v>
      </c>
      <c r="F1626" s="1">
        <f>equip.xml!F1630</f>
        <v>5</v>
      </c>
      <c r="G1626" s="1">
        <f>equip.xml!G1630</f>
        <v>65</v>
      </c>
      <c r="H1626" s="1">
        <f>equip.xml!H1630</f>
        <v>0</v>
      </c>
      <c r="I1626" s="1">
        <f>equip.xml!J1630</f>
        <v>150</v>
      </c>
      <c r="J1626" s="1">
        <f>equip.xml!K1630</f>
        <v>1500</v>
      </c>
      <c r="K1626" s="1">
        <f>equip.xml!L1630</f>
        <v>35000</v>
      </c>
      <c r="L1626" s="1" t="str">
        <f>equip.xml!M1630</f>
        <v>105_1628_1628</v>
      </c>
      <c r="M1626" s="7" t="str">
        <f>equip.xml!Q1630</f>
        <v>equipment/5017.png</v>
      </c>
      <c r="N1626" t="str">
        <f>equip.xml!P1630</f>
        <v>10000_1002_65000,30000_30001_1,30000_30002_1,30000_30003_1</v>
      </c>
    </row>
    <row r="1627" spans="1:14">
      <c r="A1627" s="1" t="str">
        <f>equip.xml!A1631</f>
        <v>50650041</v>
      </c>
      <c r="B1627" s="1">
        <f>equip.xml!B1631</f>
        <v>0</v>
      </c>
      <c r="C1627" s="1" t="str">
        <f>equip.xml!C1631</f>
        <v>新兵外套</v>
      </c>
      <c r="D1627" s="1" t="str">
        <f>equip.xml!D1631</f>
        <v>胸甲</v>
      </c>
      <c r="E1627" s="1">
        <f>equip.xml!E1631</f>
        <v>4</v>
      </c>
      <c r="F1627" s="1">
        <f>equip.xml!F1631</f>
        <v>5</v>
      </c>
      <c r="G1627" s="1">
        <f>equip.xml!G1631</f>
        <v>65</v>
      </c>
      <c r="H1627" s="1">
        <f>equip.xml!H1631</f>
        <v>0</v>
      </c>
      <c r="I1627" s="1">
        <f>equip.xml!J1631</f>
        <v>150</v>
      </c>
      <c r="J1627" s="1">
        <f>equip.xml!K1631</f>
        <v>1500</v>
      </c>
      <c r="K1627" s="1">
        <f>equip.xml!L1631</f>
        <v>37500</v>
      </c>
      <c r="L1627" s="1" t="str">
        <f>equip.xml!M1631</f>
        <v>105_1628_1628</v>
      </c>
      <c r="M1627" s="7" t="str">
        <f>equip.xml!Q1631</f>
        <v>equipment/5001.png</v>
      </c>
      <c r="N1627" t="str">
        <f>equip.xml!P1631</f>
        <v>10000_1002_65000,30000_30001_1,30000_30002_1,30000_30003_1</v>
      </c>
    </row>
    <row r="1628" spans="1:14">
      <c r="A1628" s="1" t="str">
        <f>equip.xml!A1632</f>
        <v>50650070</v>
      </c>
      <c r="B1628" s="1">
        <f>equip.xml!B1632</f>
        <v>1</v>
      </c>
      <c r="C1628" s="1" t="str">
        <f>equip.xml!C1632</f>
        <v>止战腿甲</v>
      </c>
      <c r="D1628" s="1" t="str">
        <f>equip.xml!D1632</f>
        <v>护腿</v>
      </c>
      <c r="E1628" s="1">
        <f>equip.xml!E1632</f>
        <v>7</v>
      </c>
      <c r="F1628" s="1">
        <f>equip.xml!F1632</f>
        <v>5</v>
      </c>
      <c r="G1628" s="1">
        <f>equip.xml!G1632</f>
        <v>65</v>
      </c>
      <c r="H1628" s="1">
        <f>equip.xml!H1632</f>
        <v>0</v>
      </c>
      <c r="I1628" s="1">
        <f>equip.xml!J1632</f>
        <v>150</v>
      </c>
      <c r="J1628" s="1">
        <f>equip.xml!K1632</f>
        <v>1500</v>
      </c>
      <c r="K1628" s="1">
        <f>equip.xml!L1632</f>
        <v>35000</v>
      </c>
      <c r="L1628" s="1" t="str">
        <f>equip.xml!M1632</f>
        <v>105_1627_1627</v>
      </c>
      <c r="M1628" s="7" t="str">
        <f>equip.xml!Q1632</f>
        <v>equipment/7017.png</v>
      </c>
      <c r="N1628" t="str">
        <f>equip.xml!P1632</f>
        <v>10000_1002_65000,30000_30001_1,30000_30002_1,30000_30003_1</v>
      </c>
    </row>
    <row r="1629" spans="1:14">
      <c r="A1629" s="1" t="str">
        <f>equip.xml!A1633</f>
        <v>50650071</v>
      </c>
      <c r="B1629" s="1">
        <f>equip.xml!B1633</f>
        <v>0</v>
      </c>
      <c r="C1629" s="1" t="str">
        <f>equip.xml!C1633</f>
        <v>学徒短裤</v>
      </c>
      <c r="D1629" s="1" t="str">
        <f>equip.xml!D1633</f>
        <v>护腿</v>
      </c>
      <c r="E1629" s="1">
        <f>equip.xml!E1633</f>
        <v>7</v>
      </c>
      <c r="F1629" s="1">
        <f>equip.xml!F1633</f>
        <v>5</v>
      </c>
      <c r="G1629" s="1">
        <f>equip.xml!G1633</f>
        <v>65</v>
      </c>
      <c r="H1629" s="1">
        <f>equip.xml!H1633</f>
        <v>0</v>
      </c>
      <c r="I1629" s="1">
        <f>equip.xml!J1633</f>
        <v>150</v>
      </c>
      <c r="J1629" s="1">
        <f>equip.xml!K1633</f>
        <v>1500</v>
      </c>
      <c r="K1629" s="1">
        <f>equip.xml!L1633</f>
        <v>37500</v>
      </c>
      <c r="L1629" s="1" t="str">
        <f>equip.xml!M1633</f>
        <v>105_1627_1627</v>
      </c>
      <c r="M1629" s="7" t="str">
        <f>equip.xml!Q1633</f>
        <v>equipment/7001.png</v>
      </c>
      <c r="N1629" t="str">
        <f>equip.xml!P1633</f>
        <v>10000_1002_65000,30000_30001_1,30000_30002_1,30000_30003_1</v>
      </c>
    </row>
    <row r="1630" spans="1:14">
      <c r="A1630" s="1" t="str">
        <f>equip.xml!A1634</f>
        <v>50700010</v>
      </c>
      <c r="B1630" s="1">
        <f>equip.xml!B1634</f>
        <v>0</v>
      </c>
      <c r="C1630" s="1" t="str">
        <f>equip.xml!C1634</f>
        <v>残阳王冠</v>
      </c>
      <c r="D1630" s="1" t="str">
        <f>equip.xml!D1634</f>
        <v>头盔</v>
      </c>
      <c r="E1630" s="1">
        <f>equip.xml!E1634</f>
        <v>1</v>
      </c>
      <c r="F1630" s="1">
        <f>equip.xml!F1634</f>
        <v>5</v>
      </c>
      <c r="G1630" s="1">
        <f>equip.xml!G1634</f>
        <v>70</v>
      </c>
      <c r="H1630" s="1">
        <f>equip.xml!H1634</f>
        <v>0</v>
      </c>
      <c r="I1630" s="1">
        <f>equip.xml!J1634</f>
        <v>150</v>
      </c>
      <c r="J1630" s="1">
        <f>equip.xml!K1634</f>
        <v>1500</v>
      </c>
      <c r="K1630" s="1">
        <f>equip.xml!L1634</f>
        <v>37500</v>
      </c>
      <c r="L1630" s="1" t="str">
        <f>equip.xml!M1634</f>
        <v>106_0_0</v>
      </c>
      <c r="M1630" s="7" t="str">
        <f>equip.xml!Q1634</f>
        <v>equipment/3001.png</v>
      </c>
      <c r="N1630" t="str">
        <f>equip.xml!P1634</f>
        <v>10000_1002_70000,30000_30001_1,30000_30002_1,30000_30003_1</v>
      </c>
    </row>
    <row r="1631" spans="1:14">
      <c r="A1631" s="1" t="str">
        <f>equip.xml!A1635</f>
        <v>50700020</v>
      </c>
      <c r="B1631" s="1">
        <f>equip.xml!B1635</f>
        <v>0</v>
      </c>
      <c r="C1631" s="1" t="str">
        <f>equip.xml!C1635</f>
        <v>至尊三戒</v>
      </c>
      <c r="D1631" s="1" t="str">
        <f>equip.xml!D1635</f>
        <v>戒指</v>
      </c>
      <c r="E1631" s="1">
        <f>equip.xml!E1635</f>
        <v>2</v>
      </c>
      <c r="F1631" s="1">
        <f>equip.xml!F1635</f>
        <v>5</v>
      </c>
      <c r="G1631" s="1">
        <f>equip.xml!G1635</f>
        <v>70</v>
      </c>
      <c r="H1631" s="1">
        <f>equip.xml!H1635</f>
        <v>0</v>
      </c>
      <c r="I1631" s="1">
        <f>equip.xml!J1635</f>
        <v>150</v>
      </c>
      <c r="J1631" s="1">
        <f>equip.xml!K1635</f>
        <v>1500</v>
      </c>
      <c r="K1631" s="1">
        <f>equip.xml!L1635</f>
        <v>37500</v>
      </c>
      <c r="L1631" s="1" t="str">
        <f>equip.xml!M1635</f>
        <v>102_0_0</v>
      </c>
      <c r="M1631" s="7" t="str">
        <f>equip.xml!Q1635</f>
        <v>equipment/14001.png</v>
      </c>
      <c r="N1631" t="str">
        <f>equip.xml!P1635</f>
        <v>10000_1002_70000,30000_30001_1,30000_30002_1,30000_30003_1</v>
      </c>
    </row>
    <row r="1632" spans="1:14">
      <c r="A1632" s="1" t="str">
        <f>equip.xml!A1636</f>
        <v>50700030</v>
      </c>
      <c r="B1632" s="1">
        <f>equip.xml!B1636</f>
        <v>0</v>
      </c>
      <c r="C1632" s="1" t="str">
        <f>equip.xml!C1636</f>
        <v>雷神护腰</v>
      </c>
      <c r="D1632" s="1" t="str">
        <f>equip.xml!D1636</f>
        <v>腰带</v>
      </c>
      <c r="E1632" s="1">
        <f>equip.xml!E1636</f>
        <v>3</v>
      </c>
      <c r="F1632" s="1">
        <f>equip.xml!F1636</f>
        <v>5</v>
      </c>
      <c r="G1632" s="1">
        <f>equip.xml!G1636</f>
        <v>70</v>
      </c>
      <c r="H1632" s="1">
        <f>equip.xml!H1636</f>
        <v>0</v>
      </c>
      <c r="I1632" s="1">
        <f>equip.xml!J1636</f>
        <v>150</v>
      </c>
      <c r="J1632" s="1">
        <f>equip.xml!K1636</f>
        <v>1500</v>
      </c>
      <c r="K1632" s="1">
        <f>equip.xml!L1636</f>
        <v>37500</v>
      </c>
      <c r="L1632" s="1" t="str">
        <f>equip.xml!M1636</f>
        <v>101_0_0</v>
      </c>
      <c r="M1632" s="7" t="str">
        <f>equip.xml!Q1636</f>
        <v>equipment/6001.png</v>
      </c>
      <c r="N1632" t="str">
        <f>equip.xml!P1636</f>
        <v>10000_1002_70000,30000_30001_1,30000_30002_1,30000_30003_1</v>
      </c>
    </row>
    <row r="1633" spans="1:14">
      <c r="A1633" s="1" t="str">
        <f>equip.xml!A1637</f>
        <v>50700080</v>
      </c>
      <c r="B1633" s="1">
        <f>equip.xml!B1637</f>
        <v>0</v>
      </c>
      <c r="C1633" s="1" t="str">
        <f>equip.xml!C1637</f>
        <v>星旅之靴</v>
      </c>
      <c r="D1633" s="1" t="str">
        <f>equip.xml!D1637</f>
        <v>鞋子</v>
      </c>
      <c r="E1633" s="1">
        <f>equip.xml!E1637</f>
        <v>8</v>
      </c>
      <c r="F1633" s="1">
        <f>equip.xml!F1637</f>
        <v>5</v>
      </c>
      <c r="G1633" s="1">
        <f>equip.xml!G1637</f>
        <v>70</v>
      </c>
      <c r="H1633" s="1">
        <f>equip.xml!H1637</f>
        <v>0</v>
      </c>
      <c r="I1633" s="1">
        <f>equip.xml!J1637</f>
        <v>150</v>
      </c>
      <c r="J1633" s="1">
        <f>equip.xml!K1637</f>
        <v>1500</v>
      </c>
      <c r="K1633" s="1">
        <f>equip.xml!L1637</f>
        <v>37500</v>
      </c>
      <c r="L1633" s="1" t="str">
        <f>equip.xml!M1637</f>
        <v>110_0_0</v>
      </c>
      <c r="M1633" s="7" t="str">
        <f>equip.xml!Q1637</f>
        <v>equipment/8001.png</v>
      </c>
      <c r="N1633" t="str">
        <f>equip.xml!P1637</f>
        <v>10000_1002_70000,30000_30001_1,30000_30002_1,30000_30003_1</v>
      </c>
    </row>
    <row r="1634" spans="1:14">
      <c r="A1634" s="1" t="str">
        <f>equip.xml!A1638</f>
        <v>50700090</v>
      </c>
      <c r="B1634" s="1">
        <f>equip.xml!B1638</f>
        <v>0</v>
      </c>
      <c r="C1634" s="1" t="str">
        <f>equip.xml!C1638</f>
        <v>泰坦之拳</v>
      </c>
      <c r="D1634" s="1" t="str">
        <f>equip.xml!D1638</f>
        <v>手套</v>
      </c>
      <c r="E1634" s="1">
        <f>equip.xml!E1638</f>
        <v>9</v>
      </c>
      <c r="F1634" s="1">
        <f>equip.xml!F1638</f>
        <v>5</v>
      </c>
      <c r="G1634" s="1">
        <f>equip.xml!G1638</f>
        <v>70</v>
      </c>
      <c r="H1634" s="1">
        <f>equip.xml!H1638</f>
        <v>0</v>
      </c>
      <c r="I1634" s="1">
        <f>equip.xml!J1638</f>
        <v>150</v>
      </c>
      <c r="J1634" s="1">
        <f>equip.xml!K1638</f>
        <v>1500</v>
      </c>
      <c r="K1634" s="1">
        <f>equip.xml!L1638</f>
        <v>37500</v>
      </c>
      <c r="L1634" s="1" t="str">
        <f>equip.xml!M1638</f>
        <v>108_0_0</v>
      </c>
      <c r="M1634" s="7" t="str">
        <f>equip.xml!Q1638</f>
        <v>equipment/10001.png</v>
      </c>
      <c r="N1634" t="str">
        <f>equip.xml!P1638</f>
        <v>10000_1002_70000,30000_30001_1,30000_30002_1,30000_30003_1</v>
      </c>
    </row>
    <row r="1635" spans="1:14">
      <c r="A1635" s="1" t="str">
        <f>equip.xml!A1639</f>
        <v>50700100</v>
      </c>
      <c r="B1635" s="1">
        <f>equip.xml!B1639</f>
        <v>0</v>
      </c>
      <c r="C1635" s="1" t="str">
        <f>equip.xml!C1639</f>
        <v>岁月永恒护符</v>
      </c>
      <c r="D1635" s="1" t="str">
        <f>equip.xml!D1639</f>
        <v>项链</v>
      </c>
      <c r="E1635" s="1">
        <f>equip.xml!E1639</f>
        <v>10</v>
      </c>
      <c r="F1635" s="1">
        <f>equip.xml!F1639</f>
        <v>5</v>
      </c>
      <c r="G1635" s="1">
        <f>equip.xml!G1639</f>
        <v>70</v>
      </c>
      <c r="H1635" s="1">
        <f>equip.xml!H1639</f>
        <v>0</v>
      </c>
      <c r="I1635" s="1">
        <f>equip.xml!J1639</f>
        <v>150</v>
      </c>
      <c r="J1635" s="1">
        <f>equip.xml!K1639</f>
        <v>1500</v>
      </c>
      <c r="K1635" s="1">
        <f>equip.xml!L1639</f>
        <v>37500</v>
      </c>
      <c r="L1635" s="1" t="str">
        <f>equip.xml!M1639</f>
        <v>107_0_0</v>
      </c>
      <c r="M1635" s="7" t="str">
        <f>equip.xml!Q1639</f>
        <v>equipment/12001.png</v>
      </c>
      <c r="N1635" t="str">
        <f>equip.xml!P1639</f>
        <v>10000_1002_70000,30000_30001_1,30000_30002_1,30000_30003_1</v>
      </c>
    </row>
    <row r="1636" spans="1:14">
      <c r="A1636" s="1" t="str">
        <f>equip.xml!A1640</f>
        <v>50701050</v>
      </c>
      <c r="B1636" s="1">
        <f>equip.xml!B1640</f>
        <v>1</v>
      </c>
      <c r="C1636" s="1" t="str">
        <f>equip.xml!C1640</f>
        <v>命运</v>
      </c>
      <c r="D1636" s="1" t="str">
        <f>equip.xml!D1640</f>
        <v>主手武器</v>
      </c>
      <c r="E1636" s="1">
        <f>equip.xml!E1640</f>
        <v>5</v>
      </c>
      <c r="F1636" s="1">
        <f>equip.xml!F1640</f>
        <v>5</v>
      </c>
      <c r="G1636" s="1">
        <f>equip.xml!G1640</f>
        <v>70</v>
      </c>
      <c r="H1636" s="1" t="str">
        <f>equip.xml!H1640</f>
        <v>1,1001</v>
      </c>
      <c r="I1636" s="1">
        <f>equip.xml!J1640</f>
        <v>150</v>
      </c>
      <c r="J1636" s="1">
        <f>equip.xml!K1640</f>
        <v>1500</v>
      </c>
      <c r="K1636" s="1">
        <f>equip.xml!L1640</f>
        <v>37500</v>
      </c>
      <c r="L1636" s="1" t="str">
        <f>equip.xml!M1640</f>
        <v>103_3269_3269,104_6538_6538</v>
      </c>
      <c r="M1636" s="7" t="str">
        <f>equip.xml!Q1640</f>
        <v>equipment/1124.png</v>
      </c>
      <c r="N1636" t="str">
        <f>equip.xml!P1640</f>
        <v>10000_1002_70000,30000_30001_1,30000_30002_1,30000_30003_1</v>
      </c>
    </row>
    <row r="1637" spans="1:14">
      <c r="A1637" s="1" t="str">
        <f>equip.xml!A1641</f>
        <v>50701051</v>
      </c>
      <c r="B1637" s="1">
        <f>equip.xml!B1641</f>
        <v>0</v>
      </c>
      <c r="C1637" s="1" t="str">
        <f>equip.xml!C1641</f>
        <v>灰烬使者</v>
      </c>
      <c r="D1637" s="1" t="str">
        <f>equip.xml!D1641</f>
        <v>主手武器</v>
      </c>
      <c r="E1637" s="1">
        <f>equip.xml!E1641</f>
        <v>5</v>
      </c>
      <c r="F1637" s="1">
        <f>equip.xml!F1641</f>
        <v>5</v>
      </c>
      <c r="G1637" s="1">
        <f>equip.xml!G1641</f>
        <v>70</v>
      </c>
      <c r="H1637" s="1" t="str">
        <f>equip.xml!H1641</f>
        <v>1,1001</v>
      </c>
      <c r="I1637" s="1">
        <f>equip.xml!J1641</f>
        <v>150</v>
      </c>
      <c r="J1637" s="1">
        <f>equip.xml!K1641</f>
        <v>1500</v>
      </c>
      <c r="K1637" s="1">
        <f>equip.xml!L1641</f>
        <v>40000</v>
      </c>
      <c r="L1637" s="1" t="str">
        <f>equip.xml!M1641</f>
        <v>103_3269_3269,104_6538_6538</v>
      </c>
      <c r="M1637" s="7" t="str">
        <f>equip.xml!Q1641</f>
        <v>equipment/1101.png</v>
      </c>
      <c r="N1637" t="str">
        <f>equip.xml!P1641</f>
        <v>10000_1002_70000,30000_30001_1,30000_30002_1,30000_30003_1</v>
      </c>
    </row>
    <row r="1638" spans="1:14">
      <c r="A1638" s="1" t="str">
        <f>equip.xml!A1642</f>
        <v>50701060</v>
      </c>
      <c r="B1638" s="1">
        <f>equip.xml!B1642</f>
        <v>1</v>
      </c>
      <c r="C1638" s="1" t="str">
        <f>equip.xml!C1642</f>
        <v>永恒之盾</v>
      </c>
      <c r="D1638" s="1" t="str">
        <f>equip.xml!D1642</f>
        <v>副手武器</v>
      </c>
      <c r="E1638" s="1">
        <f>equip.xml!E1642</f>
        <v>6</v>
      </c>
      <c r="F1638" s="1">
        <f>equip.xml!F1642</f>
        <v>5</v>
      </c>
      <c r="G1638" s="1">
        <f>equip.xml!G1642</f>
        <v>70</v>
      </c>
      <c r="H1638" s="1" t="str">
        <f>equip.xml!H1642</f>
        <v>1,1001</v>
      </c>
      <c r="I1638" s="1">
        <f>equip.xml!J1642</f>
        <v>150</v>
      </c>
      <c r="J1638" s="1">
        <f>equip.xml!K1642</f>
        <v>1500</v>
      </c>
      <c r="K1638" s="1">
        <f>equip.xml!L1642</f>
        <v>37500</v>
      </c>
      <c r="L1638" s="1" t="str">
        <f>equip.xml!M1642</f>
        <v>105_3522_3522</v>
      </c>
      <c r="M1638" s="7" t="str">
        <f>equip.xml!Q1642</f>
        <v>equipment/2118.png</v>
      </c>
      <c r="N1638" t="str">
        <f>equip.xml!P1642</f>
        <v>10000_1002_70000,30000_30001_1,30000_30002_1,30000_30003_1</v>
      </c>
    </row>
    <row r="1639" spans="1:14">
      <c r="A1639" s="1" t="str">
        <f>equip.xml!A1643</f>
        <v>50701061</v>
      </c>
      <c r="B1639" s="1">
        <f>equip.xml!B1643</f>
        <v>0</v>
      </c>
      <c r="C1639" s="1" t="str">
        <f>equip.xml!C1643</f>
        <v>相位壁垒</v>
      </c>
      <c r="D1639" s="1" t="str">
        <f>equip.xml!D1643</f>
        <v>副手武器</v>
      </c>
      <c r="E1639" s="1">
        <f>equip.xml!E1643</f>
        <v>6</v>
      </c>
      <c r="F1639" s="1">
        <f>equip.xml!F1643</f>
        <v>5</v>
      </c>
      <c r="G1639" s="1">
        <f>equip.xml!G1643</f>
        <v>70</v>
      </c>
      <c r="H1639" s="1" t="str">
        <f>equip.xml!H1643</f>
        <v>1,1001</v>
      </c>
      <c r="I1639" s="1">
        <f>equip.xml!J1643</f>
        <v>150</v>
      </c>
      <c r="J1639" s="1">
        <f>equip.xml!K1643</f>
        <v>1500</v>
      </c>
      <c r="K1639" s="1">
        <f>equip.xml!L1643</f>
        <v>40000</v>
      </c>
      <c r="L1639" s="1" t="str">
        <f>equip.xml!M1643</f>
        <v>105_3522_3522</v>
      </c>
      <c r="M1639" s="7" t="str">
        <f>equip.xml!Q1643</f>
        <v>equipment/2101.png</v>
      </c>
      <c r="N1639" t="str">
        <f>equip.xml!P1643</f>
        <v>10000_1002_70000,30000_30001_1,30000_30002_1,30000_30003_1</v>
      </c>
    </row>
    <row r="1640" spans="1:14">
      <c r="A1640" s="1" t="str">
        <f>equip.xml!A1644</f>
        <v>50702050</v>
      </c>
      <c r="B1640" s="1">
        <f>equip.xml!B1644</f>
        <v>1</v>
      </c>
      <c r="C1640" s="1" t="str">
        <f>equip.xml!C1644</f>
        <v>日怒凰弓</v>
      </c>
      <c r="D1640" s="1" t="str">
        <f>equip.xml!D1644</f>
        <v>主手武器</v>
      </c>
      <c r="E1640" s="1">
        <f>equip.xml!E1644</f>
        <v>5</v>
      </c>
      <c r="F1640" s="1">
        <f>equip.xml!F1644</f>
        <v>5</v>
      </c>
      <c r="G1640" s="1">
        <f>equip.xml!G1644</f>
        <v>70</v>
      </c>
      <c r="H1640" s="1" t="str">
        <f>equip.xml!H1644</f>
        <v>2,1002</v>
      </c>
      <c r="I1640" s="1">
        <f>equip.xml!J1644</f>
        <v>150</v>
      </c>
      <c r="J1640" s="1">
        <f>equip.xml!K1644</f>
        <v>1500</v>
      </c>
      <c r="K1640" s="1">
        <f>equip.xml!L1644</f>
        <v>37500</v>
      </c>
      <c r="L1640" s="1" t="str">
        <f>equip.xml!M1644</f>
        <v>103_3269_3269,104_6538_6538</v>
      </c>
      <c r="M1640" s="7" t="str">
        <f>equip.xml!Q1644</f>
        <v>equipment/1222.png</v>
      </c>
      <c r="N1640" t="str">
        <f>equip.xml!P1644</f>
        <v>10000_1002_70000,30000_30001_1,30000_30002_1,30000_30003_1</v>
      </c>
    </row>
    <row r="1641" spans="1:14">
      <c r="A1641" s="1" t="str">
        <f>equip.xml!A1645</f>
        <v>50702051</v>
      </c>
      <c r="B1641" s="1">
        <f>equip.xml!B1645</f>
        <v>0</v>
      </c>
      <c r="C1641" s="1" t="str">
        <f>equip.xml!C1645</f>
        <v>群星之怒</v>
      </c>
      <c r="D1641" s="1" t="str">
        <f>equip.xml!D1645</f>
        <v>主手武器</v>
      </c>
      <c r="E1641" s="1">
        <f>equip.xml!E1645</f>
        <v>5</v>
      </c>
      <c r="F1641" s="1">
        <f>equip.xml!F1645</f>
        <v>5</v>
      </c>
      <c r="G1641" s="1">
        <f>equip.xml!G1645</f>
        <v>70</v>
      </c>
      <c r="H1641" s="1" t="str">
        <f>equip.xml!H1645</f>
        <v>2,1002</v>
      </c>
      <c r="I1641" s="1">
        <f>equip.xml!J1645</f>
        <v>150</v>
      </c>
      <c r="J1641" s="1">
        <f>equip.xml!K1645</f>
        <v>1500</v>
      </c>
      <c r="K1641" s="1">
        <f>equip.xml!L1645</f>
        <v>40000</v>
      </c>
      <c r="L1641" s="1" t="str">
        <f>equip.xml!M1645</f>
        <v>103_3269_3269,104_6538_6538</v>
      </c>
      <c r="M1641" s="7" t="str">
        <f>equip.xml!Q1645</f>
        <v>equipment/1201.png</v>
      </c>
      <c r="N1641" t="str">
        <f>equip.xml!P1645</f>
        <v>10000_1002_70000,30000_30001_1,30000_30002_1,30000_30003_1</v>
      </c>
    </row>
    <row r="1642" spans="1:14">
      <c r="A1642" s="1" t="str">
        <f>equip.xml!A1646</f>
        <v>50702060</v>
      </c>
      <c r="B1642" s="1">
        <f>equip.xml!B1646</f>
        <v>1</v>
      </c>
      <c r="C1642" s="1" t="str">
        <f>equip.xml!C1646</f>
        <v>逐日之矢</v>
      </c>
      <c r="D1642" s="1" t="str">
        <f>equip.xml!D1646</f>
        <v>副手武器</v>
      </c>
      <c r="E1642" s="1">
        <f>equip.xml!E1646</f>
        <v>6</v>
      </c>
      <c r="F1642" s="1">
        <f>equip.xml!F1646</f>
        <v>5</v>
      </c>
      <c r="G1642" s="1">
        <f>equip.xml!G1646</f>
        <v>70</v>
      </c>
      <c r="H1642" s="1" t="str">
        <f>equip.xml!H1646</f>
        <v>2,1002</v>
      </c>
      <c r="I1642" s="1">
        <f>equip.xml!J1646</f>
        <v>150</v>
      </c>
      <c r="J1642" s="1">
        <f>equip.xml!K1646</f>
        <v>1500</v>
      </c>
      <c r="K1642" s="1">
        <f>equip.xml!L1646</f>
        <v>37500</v>
      </c>
      <c r="L1642" s="1" t="str">
        <f>equip.xml!M1646</f>
        <v>108_3522_3522</v>
      </c>
      <c r="M1642" s="7" t="str">
        <f>equip.xml!Q1646</f>
        <v>equipment/2218.png</v>
      </c>
      <c r="N1642" t="str">
        <f>equip.xml!P1646</f>
        <v>10000_1002_70000,30000_30001_1,30000_30002_1,30000_30003_1</v>
      </c>
    </row>
    <row r="1643" spans="1:14">
      <c r="A1643" s="1" t="str">
        <f>equip.xml!A1647</f>
        <v>50702061</v>
      </c>
      <c r="B1643" s="1">
        <f>equip.xml!B1647</f>
        <v>0</v>
      </c>
      <c r="C1643" s="1" t="str">
        <f>equip.xml!C1647</f>
        <v>箭筒</v>
      </c>
      <c r="D1643" s="1" t="str">
        <f>equip.xml!D1647</f>
        <v>副手武器</v>
      </c>
      <c r="E1643" s="1">
        <f>equip.xml!E1647</f>
        <v>6</v>
      </c>
      <c r="F1643" s="1">
        <f>equip.xml!F1647</f>
        <v>5</v>
      </c>
      <c r="G1643" s="1">
        <f>equip.xml!G1647</f>
        <v>70</v>
      </c>
      <c r="H1643" s="1" t="str">
        <f>equip.xml!H1647</f>
        <v>2,1002</v>
      </c>
      <c r="I1643" s="1">
        <f>equip.xml!J1647</f>
        <v>150</v>
      </c>
      <c r="J1643" s="1">
        <f>equip.xml!K1647</f>
        <v>1500</v>
      </c>
      <c r="K1643" s="1">
        <f>equip.xml!L1647</f>
        <v>40000</v>
      </c>
      <c r="L1643" s="1" t="str">
        <f>equip.xml!M1647</f>
        <v>108_3522_3522</v>
      </c>
      <c r="M1643" s="7" t="str">
        <f>equip.xml!Q1647</f>
        <v>equipment/2201.png</v>
      </c>
      <c r="N1643" t="str">
        <f>equip.xml!P1647</f>
        <v>10000_1002_70000,30000_30001_1,30000_30002_1,30000_30003_1</v>
      </c>
    </row>
    <row r="1644" spans="1:14">
      <c r="A1644" s="1" t="str">
        <f>equip.xml!A1648</f>
        <v>50703050</v>
      </c>
      <c r="B1644" s="1">
        <f>equip.xml!B1648</f>
        <v>1</v>
      </c>
      <c r="C1644" s="1" t="str">
        <f>equip.xml!C1648</f>
        <v>瓦解法杖</v>
      </c>
      <c r="D1644" s="1" t="str">
        <f>equip.xml!D1648</f>
        <v>主手武器</v>
      </c>
      <c r="E1644" s="1">
        <f>equip.xml!E1648</f>
        <v>5</v>
      </c>
      <c r="F1644" s="1">
        <f>equip.xml!F1648</f>
        <v>5</v>
      </c>
      <c r="G1644" s="1">
        <f>equip.xml!G1648</f>
        <v>70</v>
      </c>
      <c r="H1644" s="1" t="str">
        <f>equip.xml!H1648</f>
        <v>3,1003</v>
      </c>
      <c r="I1644" s="1">
        <f>equip.xml!J1648</f>
        <v>150</v>
      </c>
      <c r="J1644" s="1">
        <f>equip.xml!K1648</f>
        <v>1500</v>
      </c>
      <c r="K1644" s="1">
        <f>equip.xml!L1648</f>
        <v>37500</v>
      </c>
      <c r="L1644" s="1" t="str">
        <f>equip.xml!M1648</f>
        <v>103_3269_3269,104_6538_6538</v>
      </c>
      <c r="M1644" s="7" t="str">
        <f>equip.xml!Q1648</f>
        <v>equipment/1324.png</v>
      </c>
      <c r="N1644" t="str">
        <f>equip.xml!P1648</f>
        <v>10000_1002_70000,30000_30001_1,30000_30002_1,30000_30003_1</v>
      </c>
    </row>
    <row r="1645" spans="1:14">
      <c r="A1645" s="1" t="str">
        <f>equip.xml!A1649</f>
        <v>50703051</v>
      </c>
      <c r="B1645" s="1">
        <f>equip.xml!B1649</f>
        <v>0</v>
      </c>
      <c r="C1645" s="1" t="str">
        <f>equip.xml!C1649</f>
        <v>守护者之杖</v>
      </c>
      <c r="D1645" s="1" t="str">
        <f>equip.xml!D1649</f>
        <v>主手武器</v>
      </c>
      <c r="E1645" s="1">
        <f>equip.xml!E1649</f>
        <v>5</v>
      </c>
      <c r="F1645" s="1">
        <f>equip.xml!F1649</f>
        <v>5</v>
      </c>
      <c r="G1645" s="1">
        <f>equip.xml!G1649</f>
        <v>70</v>
      </c>
      <c r="H1645" s="1" t="str">
        <f>equip.xml!H1649</f>
        <v>3,1003</v>
      </c>
      <c r="I1645" s="1">
        <f>equip.xml!J1649</f>
        <v>150</v>
      </c>
      <c r="J1645" s="1">
        <f>equip.xml!K1649</f>
        <v>1500</v>
      </c>
      <c r="K1645" s="1">
        <f>equip.xml!L1649</f>
        <v>40000</v>
      </c>
      <c r="L1645" s="1" t="str">
        <f>equip.xml!M1649</f>
        <v>103_3269_3269,104_6538_6538</v>
      </c>
      <c r="M1645" s="7" t="str">
        <f>equip.xml!Q1649</f>
        <v>equipment/1301.png</v>
      </c>
      <c r="N1645" t="str">
        <f>equip.xml!P1649</f>
        <v>10000_1002_70000,30000_30001_1,30000_30002_1,30000_30003_1</v>
      </c>
    </row>
    <row r="1646" spans="1:14">
      <c r="A1646" s="1" t="str">
        <f>equip.xml!A1650</f>
        <v>50703060</v>
      </c>
      <c r="B1646" s="1">
        <f>equip.xml!B1650</f>
        <v>1</v>
      </c>
      <c r="C1646" s="1" t="str">
        <f>equip.xml!C1650</f>
        <v>虚空魔典</v>
      </c>
      <c r="D1646" s="1" t="str">
        <f>equip.xml!D1650</f>
        <v>副手武器</v>
      </c>
      <c r="E1646" s="1">
        <f>equip.xml!E1650</f>
        <v>6</v>
      </c>
      <c r="F1646" s="1">
        <f>equip.xml!F1650</f>
        <v>5</v>
      </c>
      <c r="G1646" s="1">
        <f>equip.xml!G1650</f>
        <v>70</v>
      </c>
      <c r="H1646" s="1" t="str">
        <f>equip.xml!H1650</f>
        <v>3,1003</v>
      </c>
      <c r="I1646" s="1">
        <f>equip.xml!J1650</f>
        <v>150</v>
      </c>
      <c r="J1646" s="1">
        <f>equip.xml!K1650</f>
        <v>1500</v>
      </c>
      <c r="K1646" s="1">
        <f>equip.xml!L1650</f>
        <v>37500</v>
      </c>
      <c r="L1646" s="1" t="str">
        <f>equip.xml!M1650</f>
        <v>102_3522_3522</v>
      </c>
      <c r="M1646" s="7" t="str">
        <f>equip.xml!Q1650</f>
        <v>equipment/2318.png</v>
      </c>
      <c r="N1646" t="str">
        <f>equip.xml!P1650</f>
        <v>10000_1002_70000,30000_30001_1,30000_30002_1,30000_30003_1</v>
      </c>
    </row>
    <row r="1647" spans="1:14">
      <c r="A1647" s="1" t="str">
        <f>equip.xml!A1651</f>
        <v>50703061</v>
      </c>
      <c r="B1647" s="1">
        <f>equip.xml!B1651</f>
        <v>0</v>
      </c>
      <c r="C1647" s="1" t="str">
        <f>equip.xml!C1651</f>
        <v>星界之书</v>
      </c>
      <c r="D1647" s="1" t="str">
        <f>equip.xml!D1651</f>
        <v>副手武器</v>
      </c>
      <c r="E1647" s="1">
        <f>equip.xml!E1651</f>
        <v>6</v>
      </c>
      <c r="F1647" s="1">
        <f>equip.xml!F1651</f>
        <v>5</v>
      </c>
      <c r="G1647" s="1">
        <f>equip.xml!G1651</f>
        <v>70</v>
      </c>
      <c r="H1647" s="1" t="str">
        <f>equip.xml!H1651</f>
        <v>3,1003</v>
      </c>
      <c r="I1647" s="1">
        <f>equip.xml!J1651</f>
        <v>150</v>
      </c>
      <c r="J1647" s="1">
        <f>equip.xml!K1651</f>
        <v>1500</v>
      </c>
      <c r="K1647" s="1">
        <f>equip.xml!L1651</f>
        <v>40000</v>
      </c>
      <c r="L1647" s="1" t="str">
        <f>equip.xml!M1651</f>
        <v>102_3080_3080</v>
      </c>
      <c r="M1647" s="7" t="str">
        <f>equip.xml!Q1651</f>
        <v>equipment/2301.png</v>
      </c>
      <c r="N1647" t="str">
        <f>equip.xml!P1651</f>
        <v>10000_1002_70000,30000_30001_1,30000_30002_1,30000_30003_1</v>
      </c>
    </row>
    <row r="1648" spans="1:14">
      <c r="A1648" s="1" t="str">
        <f>equip.xml!A1652</f>
        <v>50700040</v>
      </c>
      <c r="B1648" s="1">
        <f>equip.xml!B1652</f>
        <v>0</v>
      </c>
      <c r="C1648" s="1" t="str">
        <f>equip.xml!C1652</f>
        <v>湮没胸甲</v>
      </c>
      <c r="D1648" s="1" t="str">
        <f>equip.xml!D1652</f>
        <v>胸甲</v>
      </c>
      <c r="E1648" s="1">
        <f>equip.xml!E1652</f>
        <v>4</v>
      </c>
      <c r="F1648" s="1">
        <f>equip.xml!F1652</f>
        <v>5</v>
      </c>
      <c r="G1648" s="1">
        <f>equip.xml!G1652</f>
        <v>70</v>
      </c>
      <c r="H1648" s="1">
        <f>equip.xml!H1652</f>
        <v>0</v>
      </c>
      <c r="I1648" s="1">
        <f>equip.xml!J1652</f>
        <v>150</v>
      </c>
      <c r="J1648" s="1">
        <f>equip.xml!K1652</f>
        <v>1500</v>
      </c>
      <c r="K1648" s="1">
        <f>equip.xml!L1652</f>
        <v>37500</v>
      </c>
      <c r="L1648" s="1" t="str">
        <f>equip.xml!M1652</f>
        <v>105_0_0</v>
      </c>
      <c r="M1648" s="7" t="str">
        <f>equip.xml!Q1652</f>
        <v>equipment/5001.png</v>
      </c>
      <c r="N1648" t="str">
        <f>equip.xml!P1652</f>
        <v>10000_1002_70000,30000_30001_1,30000_30002_1,30000_30003_1</v>
      </c>
    </row>
    <row r="1649" spans="1:14">
      <c r="A1649" s="1" t="str">
        <f>equip.xml!A1653</f>
        <v>50700041</v>
      </c>
      <c r="B1649" s="1">
        <f>equip.xml!B1653</f>
        <v>0</v>
      </c>
      <c r="C1649" s="1" t="str">
        <f>equip.xml!C1653</f>
        <v>碎界之铠</v>
      </c>
      <c r="D1649" s="1" t="str">
        <f>equip.xml!D1653</f>
        <v>胸甲</v>
      </c>
      <c r="E1649" s="1">
        <f>equip.xml!E1653</f>
        <v>4</v>
      </c>
      <c r="F1649" s="1">
        <f>equip.xml!F1653</f>
        <v>5</v>
      </c>
      <c r="G1649" s="1">
        <f>equip.xml!G1653</f>
        <v>70</v>
      </c>
      <c r="H1649" s="1">
        <f>equip.xml!H1653</f>
        <v>0</v>
      </c>
      <c r="I1649" s="1">
        <f>equip.xml!J1653</f>
        <v>150</v>
      </c>
      <c r="J1649" s="1">
        <f>equip.xml!K1653</f>
        <v>1500</v>
      </c>
      <c r="K1649" s="1">
        <f>equip.xml!L1653</f>
        <v>40000</v>
      </c>
      <c r="L1649" s="1" t="str">
        <f>equip.xml!M1653</f>
        <v>105_0_0</v>
      </c>
      <c r="M1649" s="7" t="str">
        <f>equip.xml!Q1653</f>
        <v>equipment/5001.png</v>
      </c>
      <c r="N1649" t="str">
        <f>equip.xml!P1653</f>
        <v>10000_1002_70000,30000_30001_1,30000_30002_1,30000_30003_1</v>
      </c>
    </row>
    <row r="1650" spans="1:14">
      <c r="A1650" s="1" t="str">
        <f>equip.xml!A1654</f>
        <v>50700070</v>
      </c>
      <c r="B1650" s="1">
        <f>equip.xml!B1654</f>
        <v>0</v>
      </c>
      <c r="C1650" s="1" t="str">
        <f>equip.xml!C1654</f>
        <v>魂卫护腿</v>
      </c>
      <c r="D1650" s="1" t="str">
        <f>equip.xml!D1654</f>
        <v>护腿</v>
      </c>
      <c r="E1650" s="1">
        <f>equip.xml!E1654</f>
        <v>7</v>
      </c>
      <c r="F1650" s="1">
        <f>equip.xml!F1654</f>
        <v>5</v>
      </c>
      <c r="G1650" s="1">
        <f>equip.xml!G1654</f>
        <v>70</v>
      </c>
      <c r="H1650" s="1">
        <f>equip.xml!H1654</f>
        <v>0</v>
      </c>
      <c r="I1650" s="1">
        <f>equip.xml!J1654</f>
        <v>150</v>
      </c>
      <c r="J1650" s="1">
        <f>equip.xml!K1654</f>
        <v>1500</v>
      </c>
      <c r="K1650" s="1">
        <f>equip.xml!L1654</f>
        <v>37500</v>
      </c>
      <c r="L1650" s="1" t="str">
        <f>equip.xml!M1654</f>
        <v>105_0_0</v>
      </c>
      <c r="M1650" s="7" t="str">
        <f>equip.xml!Q1654</f>
        <v>equipment/7001.png</v>
      </c>
      <c r="N1650" t="str">
        <f>equip.xml!P1654</f>
        <v>10000_1002_70000,30000_30001_1,30000_30002_1,30000_30003_1</v>
      </c>
    </row>
    <row r="1651" spans="1:14">
      <c r="A1651" s="1" t="str">
        <f>equip.xml!A1655</f>
        <v>50700071</v>
      </c>
      <c r="B1651" s="1">
        <f>equip.xml!B1655</f>
        <v>0</v>
      </c>
      <c r="C1651" s="1" t="str">
        <f>equip.xml!C1655</f>
        <v>不朽护腿</v>
      </c>
      <c r="D1651" s="1" t="str">
        <f>equip.xml!D1655</f>
        <v>护腿</v>
      </c>
      <c r="E1651" s="1">
        <f>equip.xml!E1655</f>
        <v>7</v>
      </c>
      <c r="F1651" s="1">
        <f>equip.xml!F1655</f>
        <v>5</v>
      </c>
      <c r="G1651" s="1">
        <f>equip.xml!G1655</f>
        <v>70</v>
      </c>
      <c r="H1651" s="1">
        <f>equip.xml!H1655</f>
        <v>0</v>
      </c>
      <c r="I1651" s="1">
        <f>equip.xml!J1655</f>
        <v>150</v>
      </c>
      <c r="J1651" s="1">
        <f>equip.xml!K1655</f>
        <v>1500</v>
      </c>
      <c r="K1651" s="1">
        <f>equip.xml!L1655</f>
        <v>40000</v>
      </c>
      <c r="L1651" s="1" t="str">
        <f>equip.xml!M1655</f>
        <v>105_0_0</v>
      </c>
      <c r="M1651" s="7" t="str">
        <f>equip.xml!Q1655</f>
        <v>equipment/7001.png</v>
      </c>
      <c r="N1651" t="str">
        <f>equip.xml!P1655</f>
        <v>10000_1002_70000,30000_30001_1,30000_30002_1,30000_30003_1</v>
      </c>
    </row>
    <row r="1652" spans="1:14">
      <c r="A1652" s="1">
        <f>equip.xml!A1656</f>
        <v>50301052</v>
      </c>
      <c r="B1652" s="1">
        <f>equip.xml!B1656</f>
        <v>0</v>
      </c>
      <c r="C1652" s="1" t="str">
        <f>equip.xml!C1656</f>
        <v>炽热长剑</v>
      </c>
      <c r="D1652" s="1" t="str">
        <f>equip.xml!D1656</f>
        <v>主手武器</v>
      </c>
      <c r="E1652" s="1">
        <f>equip.xml!E1656</f>
        <v>5</v>
      </c>
      <c r="F1652" s="1">
        <f>equip.xml!F1656</f>
        <v>5</v>
      </c>
      <c r="G1652" s="1">
        <f>equip.xml!G1656</f>
        <v>30</v>
      </c>
      <c r="H1652" s="1" t="str">
        <f>equip.xml!H1656</f>
        <v>1,1001</v>
      </c>
      <c r="I1652" s="1">
        <f>equip.xml!J1656</f>
        <v>150</v>
      </c>
      <c r="J1652" s="1">
        <f>equip.xml!K1656</f>
        <v>1500</v>
      </c>
      <c r="K1652" s="1">
        <f>equip.xml!L1656</f>
        <v>17500</v>
      </c>
      <c r="L1652" s="1" t="str">
        <f>equip.xml!M1656</f>
        <v>103_275_275,104_550_550</v>
      </c>
      <c r="M1652" s="7" t="str">
        <f>equip.xml!Q1656</f>
        <v>equipment/1112.png</v>
      </c>
      <c r="N1652" t="str">
        <f>equip.xml!P1656</f>
        <v>10000_1002_30000,30000_30001_1,30000_30002_1,30000_30003_1</v>
      </c>
    </row>
    <row r="1653" spans="1:14">
      <c r="A1653" s="1">
        <f>equip.xml!A1657</f>
        <v>50302052</v>
      </c>
      <c r="B1653" s="1">
        <f>equip.xml!B1657</f>
        <v>0</v>
      </c>
      <c r="C1653" s="1" t="str">
        <f>equip.xml!C1657</f>
        <v>红木长弓</v>
      </c>
      <c r="D1653" s="1" t="str">
        <f>equip.xml!D1657</f>
        <v>主手武器</v>
      </c>
      <c r="E1653" s="1">
        <f>equip.xml!E1657</f>
        <v>5</v>
      </c>
      <c r="F1653" s="1">
        <f>equip.xml!F1657</f>
        <v>5</v>
      </c>
      <c r="G1653" s="1">
        <f>equip.xml!G1657</f>
        <v>30</v>
      </c>
      <c r="H1653" s="1" t="str">
        <f>equip.xml!H1657</f>
        <v>2,1002</v>
      </c>
      <c r="I1653" s="1">
        <f>equip.xml!J1657</f>
        <v>150</v>
      </c>
      <c r="J1653" s="1">
        <f>equip.xml!K1657</f>
        <v>1500</v>
      </c>
      <c r="K1653" s="1">
        <f>equip.xml!L1657</f>
        <v>17500</v>
      </c>
      <c r="L1653" s="1" t="str">
        <f>equip.xml!M1657</f>
        <v>103_275_275,104_550_550</v>
      </c>
      <c r="M1653" s="7" t="str">
        <f>equip.xml!Q1657</f>
        <v>equipment/1211.png</v>
      </c>
      <c r="N1653" t="str">
        <f>equip.xml!P1657</f>
        <v>10000_1002_30000,30000_30001_1,30000_30002_1,30000_30003_1</v>
      </c>
    </row>
    <row r="1654" spans="1:14">
      <c r="A1654" s="1">
        <f>equip.xml!A1658</f>
        <v>50303052</v>
      </c>
      <c r="B1654" s="1">
        <f>equip.xml!B1658</f>
        <v>0</v>
      </c>
      <c r="C1654" s="1" t="str">
        <f>equip.xml!C1658</f>
        <v>荒骨法杖</v>
      </c>
      <c r="D1654" s="1" t="str">
        <f>equip.xml!D1658</f>
        <v>主手武器</v>
      </c>
      <c r="E1654" s="1">
        <f>equip.xml!E1658</f>
        <v>5</v>
      </c>
      <c r="F1654" s="1">
        <f>equip.xml!F1658</f>
        <v>5</v>
      </c>
      <c r="G1654" s="1">
        <f>equip.xml!G1658</f>
        <v>30</v>
      </c>
      <c r="H1654" s="1" t="str">
        <f>equip.xml!H1658</f>
        <v>3,1003</v>
      </c>
      <c r="I1654" s="1">
        <f>equip.xml!J1658</f>
        <v>150</v>
      </c>
      <c r="J1654" s="1">
        <f>equip.xml!K1658</f>
        <v>1500</v>
      </c>
      <c r="K1654" s="1">
        <f>equip.xml!L1658</f>
        <v>17500</v>
      </c>
      <c r="L1654" s="1" t="str">
        <f>equip.xml!M1658</f>
        <v>103_275_275,104_550_550</v>
      </c>
      <c r="M1654" s="7" t="str">
        <f>equip.xml!Q1658</f>
        <v>equipment/1312.png</v>
      </c>
      <c r="N1654" t="str">
        <f>equip.xml!P1658</f>
        <v>10000_1002_30000,30000_30001_1,30000_30002_1,30000_30003_1</v>
      </c>
    </row>
    <row r="1655" spans="1:14">
      <c r="A1655" s="1">
        <f>equip.xml!A1659</f>
        <v>50201052</v>
      </c>
      <c r="B1655" s="1">
        <f>equip.xml!B1659</f>
        <v>0</v>
      </c>
      <c r="C1655" s="1" t="str">
        <f>equip.xml!C1659</f>
        <v>勇者长剑</v>
      </c>
      <c r="D1655" s="1" t="str">
        <f>equip.xml!D1659</f>
        <v>主手武器</v>
      </c>
      <c r="E1655" s="1">
        <f>equip.xml!E1659</f>
        <v>5</v>
      </c>
      <c r="F1655" s="1">
        <f>equip.xml!F1659</f>
        <v>5</v>
      </c>
      <c r="G1655" s="1">
        <f>equip.xml!G1659</f>
        <v>20</v>
      </c>
      <c r="H1655" s="1" t="str">
        <f>equip.xml!H1659</f>
        <v>1,1001</v>
      </c>
      <c r="I1655" s="1">
        <f>equip.xml!J1659</f>
        <v>150</v>
      </c>
      <c r="J1655" s="1">
        <f>equip.xml!K1659</f>
        <v>1500</v>
      </c>
      <c r="K1655" s="1">
        <f>equip.xml!L1659</f>
        <v>12500</v>
      </c>
      <c r="L1655" s="1" t="str">
        <f>equip.xml!M1659</f>
        <v>103_113_113,104_226_226</v>
      </c>
      <c r="M1655" s="7" t="str">
        <f>equip.xml!Q1659</f>
        <v>equipment/1109.png</v>
      </c>
      <c r="N1655" t="str">
        <f>equip.xml!P1659</f>
        <v>10000_1002_20000,30000_30001_1,30000_30002_1,30000_30003_1</v>
      </c>
    </row>
    <row r="1656" spans="1:14">
      <c r="A1656" s="1">
        <f>equip.xml!A1660</f>
        <v>50202052</v>
      </c>
      <c r="B1656" s="1">
        <f>equip.xml!B1660</f>
        <v>0</v>
      </c>
      <c r="C1656" s="1" t="str">
        <f>equip.xml!C1660</f>
        <v>护卫之弓</v>
      </c>
      <c r="D1656" s="1" t="str">
        <f>equip.xml!D1660</f>
        <v>主手武器</v>
      </c>
      <c r="E1656" s="1">
        <f>equip.xml!E1660</f>
        <v>5</v>
      </c>
      <c r="F1656" s="1">
        <f>equip.xml!F1660</f>
        <v>5</v>
      </c>
      <c r="G1656" s="1">
        <f>equip.xml!G1660</f>
        <v>20</v>
      </c>
      <c r="H1656" s="1" t="str">
        <f>equip.xml!H1660</f>
        <v>2,1002</v>
      </c>
      <c r="I1656" s="1">
        <f>equip.xml!J1660</f>
        <v>150</v>
      </c>
      <c r="J1656" s="1">
        <f>equip.xml!K1660</f>
        <v>1500</v>
      </c>
      <c r="K1656" s="1">
        <f>equip.xml!L1660</f>
        <v>12500</v>
      </c>
      <c r="L1656" s="1" t="str">
        <f>equip.xml!M1660</f>
        <v>103_113_113,104_226_226</v>
      </c>
      <c r="M1656" s="7" t="str">
        <f>equip.xml!Q1660</f>
        <v>equipment/1209.png</v>
      </c>
      <c r="N1656" t="str">
        <f>equip.xml!P1660</f>
        <v>10000_1002_20000,30000_30001_1,30000_30002_1,30000_30003_1</v>
      </c>
    </row>
    <row r="1657" spans="1:14">
      <c r="A1657" s="1">
        <f>equip.xml!A1661</f>
        <v>50203052</v>
      </c>
      <c r="B1657" s="1">
        <f>equip.xml!B1661</f>
        <v>0</v>
      </c>
      <c r="C1657" s="1" t="str">
        <f>equip.xml!C1661</f>
        <v>保护法杖</v>
      </c>
      <c r="D1657" s="1" t="str">
        <f>equip.xml!D1661</f>
        <v>主手武器</v>
      </c>
      <c r="E1657" s="1">
        <f>equip.xml!E1661</f>
        <v>5</v>
      </c>
      <c r="F1657" s="1">
        <f>equip.xml!F1661</f>
        <v>5</v>
      </c>
      <c r="G1657" s="1">
        <f>equip.xml!G1661</f>
        <v>20</v>
      </c>
      <c r="H1657" s="1" t="str">
        <f>equip.xml!H1661</f>
        <v>3,1003</v>
      </c>
      <c r="I1657" s="1">
        <f>equip.xml!J1661</f>
        <v>150</v>
      </c>
      <c r="J1657" s="1">
        <f>equip.xml!K1661</f>
        <v>1500</v>
      </c>
      <c r="K1657" s="1">
        <f>equip.xml!L1661</f>
        <v>12500</v>
      </c>
      <c r="L1657" s="1" t="str">
        <f>equip.xml!M1661</f>
        <v>103_113_113,104_226_226</v>
      </c>
      <c r="M1657" s="7" t="str">
        <f>equip.xml!Q1661</f>
        <v>equipment/1309.png</v>
      </c>
      <c r="N1657" t="str">
        <f>equip.xml!P1661</f>
        <v>10000_1002_20000,30000_30001_1,30000_30002_1,30000_30003_1</v>
      </c>
    </row>
    <row r="1658" spans="1:14">
      <c r="A1658" s="1">
        <f>equip.xml!A1662</f>
        <v>50351062</v>
      </c>
      <c r="B1658" s="1">
        <f>equip.xml!B1662</f>
        <v>0</v>
      </c>
      <c r="C1658" s="1" t="str">
        <f>equip.xml!C1662</f>
        <v>符记盾牌</v>
      </c>
      <c r="D1658" s="1" t="str">
        <f>equip.xml!D1662</f>
        <v>副手武器</v>
      </c>
      <c r="E1658" s="1">
        <f>equip.xml!E1662</f>
        <v>6</v>
      </c>
      <c r="F1658" s="1">
        <f>equip.xml!F1662</f>
        <v>5</v>
      </c>
      <c r="G1658" s="1">
        <f>equip.xml!G1662</f>
        <v>35</v>
      </c>
      <c r="H1658" s="1" t="str">
        <f>equip.xml!H1662</f>
        <v>1,1001</v>
      </c>
      <c r="I1658" s="1">
        <f>equip.xml!J1662</f>
        <v>150</v>
      </c>
      <c r="J1658" s="1">
        <f>equip.xml!K1662</f>
        <v>1500</v>
      </c>
      <c r="K1658" s="1">
        <f>equip.xml!L1662</f>
        <v>20000</v>
      </c>
      <c r="L1658" s="1" t="str">
        <f>equip.xml!M1662</f>
        <v>105_676_676</v>
      </c>
      <c r="M1658" s="7" t="str">
        <f>equip.xml!Q1662</f>
        <v>equipment/2108.png</v>
      </c>
      <c r="N1658" t="str">
        <f>equip.xml!P1662</f>
        <v>10000_1002_35000,30000_30001_1,30000_30002_1,30000_30003_1</v>
      </c>
    </row>
    <row r="1659" spans="1:14">
      <c r="A1659" s="1">
        <f>equip.xml!A1663</f>
        <v>50352062</v>
      </c>
      <c r="B1659" s="1">
        <f>equip.xml!B1663</f>
        <v>0</v>
      </c>
      <c r="C1659" s="1" t="str">
        <f>equip.xml!C1663</f>
        <v>游侠箭筒</v>
      </c>
      <c r="D1659" s="1" t="str">
        <f>equip.xml!D1663</f>
        <v>副手武器</v>
      </c>
      <c r="E1659" s="1">
        <f>equip.xml!E1663</f>
        <v>6</v>
      </c>
      <c r="F1659" s="1">
        <f>equip.xml!F1663</f>
        <v>5</v>
      </c>
      <c r="G1659" s="1">
        <f>equip.xml!G1663</f>
        <v>35</v>
      </c>
      <c r="H1659" s="1" t="str">
        <f>equip.xml!H1663</f>
        <v>2,1002</v>
      </c>
      <c r="I1659" s="1">
        <f>equip.xml!J1663</f>
        <v>150</v>
      </c>
      <c r="J1659" s="1">
        <f>equip.xml!K1663</f>
        <v>1500</v>
      </c>
      <c r="K1659" s="1">
        <f>equip.xml!L1663</f>
        <v>20000</v>
      </c>
      <c r="L1659" s="1" t="str">
        <f>equip.xml!M1663</f>
        <v>108_676_676</v>
      </c>
      <c r="M1659" s="7" t="str">
        <f>equip.xml!Q1663</f>
        <v>equipment/2208.png</v>
      </c>
      <c r="N1659" t="str">
        <f>equip.xml!P1663</f>
        <v>10000_1002_35000,30000_30001_1,30000_30002_1,30000_30003_1</v>
      </c>
    </row>
    <row r="1660" spans="1:14">
      <c r="A1660" s="1">
        <f>equip.xml!A1664</f>
        <v>50353062</v>
      </c>
      <c r="B1660" s="1">
        <f>equip.xml!B1664</f>
        <v>0</v>
      </c>
      <c r="C1660" s="1" t="str">
        <f>equip.xml!C1664</f>
        <v>召唤魔典</v>
      </c>
      <c r="D1660" s="1" t="str">
        <f>equip.xml!D1664</f>
        <v>副手武器</v>
      </c>
      <c r="E1660" s="1">
        <f>equip.xml!E1664</f>
        <v>6</v>
      </c>
      <c r="F1660" s="1">
        <f>equip.xml!F1664</f>
        <v>5</v>
      </c>
      <c r="G1660" s="1">
        <f>equip.xml!G1664</f>
        <v>35</v>
      </c>
      <c r="H1660" s="1" t="str">
        <f>equip.xml!H1664</f>
        <v>3,1003</v>
      </c>
      <c r="I1660" s="1">
        <f>equip.xml!J1664</f>
        <v>150</v>
      </c>
      <c r="J1660" s="1">
        <f>equip.xml!K1664</f>
        <v>1500</v>
      </c>
      <c r="K1660" s="1">
        <f>equip.xml!L1664</f>
        <v>20000</v>
      </c>
      <c r="L1660" s="1" t="str">
        <f>equip.xml!M1664</f>
        <v>102_1040_1040</v>
      </c>
      <c r="M1660" s="7" t="str">
        <f>equip.xml!Q1664</f>
        <v>equipment/2308.png</v>
      </c>
      <c r="N1660" t="str">
        <f>equip.xml!P1664</f>
        <v>10000_1002_35000,30000_30001_1,30000_30002_1,30000_30003_1</v>
      </c>
    </row>
    <row r="1661" spans="1:14">
      <c r="A1661" s="1">
        <f>equip.xml!A1665</f>
        <v>66666666</v>
      </c>
      <c r="B1661" s="1">
        <f>equip.xml!B1665</f>
        <v>0</v>
      </c>
      <c r="C1661" s="1" t="str">
        <f>equip.xml!C1665</f>
        <v>埃提耶什，守护者的传说之杖</v>
      </c>
      <c r="D1661" s="1" t="str">
        <f>equip.xml!D1665</f>
        <v>主手武器</v>
      </c>
      <c r="E1661" s="1">
        <f>equip.xml!E1665</f>
        <v>5</v>
      </c>
      <c r="F1661" s="1">
        <f>equip.xml!F1665</f>
        <v>5</v>
      </c>
      <c r="G1661" s="1">
        <f>equip.xml!G1665</f>
        <v>1</v>
      </c>
      <c r="H1661" s="1" t="str">
        <f>equip.xml!H1665</f>
        <v>0</v>
      </c>
      <c r="I1661" s="1">
        <f>equip.xml!J1665</f>
        <v>150</v>
      </c>
      <c r="J1661" s="1">
        <f>equip.xml!K1665</f>
        <v>1500</v>
      </c>
      <c r="K1661" s="1">
        <f>equip.xml!L1665</f>
        <v>40000</v>
      </c>
      <c r="L1661" s="1" t="str">
        <f>equip.xml!M1665</f>
        <v>103_99999_99999,104_99999_99999</v>
      </c>
      <c r="M1661" s="7" t="str">
        <f>equip.xml!Q1665</f>
        <v>equipment/101301.png</v>
      </c>
      <c r="N1661" t="str">
        <f>equip.xml!P1665</f>
        <v>10000_1002_70000,30000_30001_1,30000_30002_1,30000_30003_1</v>
      </c>
    </row>
    <row r="1662" spans="1:14">
      <c r="A1662" s="1">
        <f>equip.xml!A1666</f>
        <v>50250022</v>
      </c>
      <c r="B1662" s="1">
        <f>equip.xml!B1666</f>
        <v>0</v>
      </c>
      <c r="C1662" s="1" t="str">
        <f>equip.xml!C1666</f>
        <v>血岩戒指</v>
      </c>
      <c r="D1662" s="1" t="str">
        <f>equip.xml!D1666</f>
        <v>戒指</v>
      </c>
      <c r="E1662" s="1">
        <f>equip.xml!E1666</f>
        <v>2</v>
      </c>
      <c r="F1662" s="1">
        <f>equip.xml!F1666</f>
        <v>5</v>
      </c>
      <c r="G1662" s="1">
        <f>equip.xml!G1666</f>
        <v>25</v>
      </c>
      <c r="H1662" s="1">
        <f>equip.xml!H1666</f>
        <v>0</v>
      </c>
      <c r="I1662" s="1">
        <f>equip.xml!J1666</f>
        <v>150</v>
      </c>
      <c r="J1662" s="1">
        <f>equip.xml!K1666</f>
        <v>1500</v>
      </c>
      <c r="K1662" s="1">
        <f>equip.xml!L1666</f>
        <v>15000</v>
      </c>
      <c r="L1662" s="1" t="str">
        <f>equip.xml!M1666</f>
        <v>102_330_330</v>
      </c>
      <c r="M1662" s="7" t="str">
        <f>equip.xml!Q1666</f>
        <v>equipment/14004.png</v>
      </c>
      <c r="N1662" t="str">
        <f>equip.xml!P1666</f>
        <v>10000_1002_25000,30000_30001_1,30000_30002_1,30000_30003_1</v>
      </c>
    </row>
    <row r="1663" spans="1:14">
      <c r="A1663" s="1">
        <f>equip.xml!A1667</f>
        <v>50300082</v>
      </c>
      <c r="B1663" s="1">
        <f>equip.xml!B1667</f>
        <v>0</v>
      </c>
      <c r="C1663" s="1" t="str">
        <f>equip.xml!C1667</f>
        <v>镶饰胫甲</v>
      </c>
      <c r="D1663" s="1" t="str">
        <f>equip.xml!D1667</f>
        <v>鞋子</v>
      </c>
      <c r="E1663" s="1">
        <f>equip.xml!E1667</f>
        <v>8</v>
      </c>
      <c r="F1663" s="1">
        <f>equip.xml!F1667</f>
        <v>5</v>
      </c>
      <c r="G1663" s="1">
        <f>equip.xml!G1667</f>
        <v>30</v>
      </c>
      <c r="H1663" s="1">
        <f>equip.xml!H1667</f>
        <v>0</v>
      </c>
      <c r="I1663" s="1">
        <f>equip.xml!J1667</f>
        <v>150</v>
      </c>
      <c r="J1663" s="1">
        <f>equip.xml!K1667</f>
        <v>1500</v>
      </c>
      <c r="K1663" s="1">
        <f>equip.xml!L1667</f>
        <v>17500</v>
      </c>
      <c r="L1663" s="1" t="str">
        <f>equip.xml!M1667</f>
        <v>110_65_65</v>
      </c>
      <c r="M1663" s="7" t="str">
        <f>equip.xml!Q1667</f>
        <v>equipment/8005.png</v>
      </c>
      <c r="N1663" t="str">
        <f>equip.xml!P1667</f>
        <v>10000_1002_30000,30000_30001_1,30000_30002_1,30000_30003_1</v>
      </c>
    </row>
    <row r="1664" spans="1:14">
      <c r="A1664" s="1">
        <f>equip.xml!A1668</f>
        <v>50350102</v>
      </c>
      <c r="B1664" s="1">
        <f>equip.xml!B1668</f>
        <v>0</v>
      </c>
      <c r="C1664" s="1" t="str">
        <f>equip.xml!C1668</f>
        <v>苍蓝挂坠</v>
      </c>
      <c r="D1664" s="1" t="str">
        <f>equip.xml!D1668</f>
        <v>项链</v>
      </c>
      <c r="E1664" s="1">
        <f>equip.xml!E1668</f>
        <v>10</v>
      </c>
      <c r="F1664" s="1">
        <f>equip.xml!F1668</f>
        <v>5</v>
      </c>
      <c r="G1664" s="1">
        <f>equip.xml!G1668</f>
        <v>35</v>
      </c>
      <c r="H1664" s="1">
        <f>equip.xml!H1668</f>
        <v>0</v>
      </c>
      <c r="I1664" s="1">
        <f>equip.xml!J1668</f>
        <v>150</v>
      </c>
      <c r="J1664" s="1">
        <f>equip.xml!K1668</f>
        <v>1500</v>
      </c>
      <c r="K1664" s="1">
        <f>equip.xml!L1668</f>
        <v>20000</v>
      </c>
      <c r="L1664" s="1" t="str">
        <f>equip.xml!M1668</f>
        <v>107_542_542</v>
      </c>
      <c r="M1664" s="7" t="str">
        <f>equip.xml!Q1668</f>
        <v>equipment/12006.png</v>
      </c>
      <c r="N1664" t="str">
        <f>equip.xml!P1668</f>
        <v>10000_1002_35000,30000_30001_1,30000_30002_1,30000_30003_1</v>
      </c>
    </row>
    <row r="1665" spans="13:13">
      <c r="M1665" s="7"/>
    </row>
    <row r="1666" spans="13:13">
      <c r="M1666" s="7"/>
    </row>
    <row r="1667" spans="13:13">
      <c r="M1667" s="7"/>
    </row>
    <row r="1668" spans="13:13">
      <c r="M1668" s="7"/>
    </row>
    <row r="1669" spans="13:13">
      <c r="M1669" s="7"/>
    </row>
    <row r="1670" spans="13:13">
      <c r="M1670" s="7"/>
    </row>
    <row r="1671" spans="13:13">
      <c r="M1671" s="7"/>
    </row>
    <row r="1672" spans="13:13">
      <c r="M1672" s="7"/>
    </row>
    <row r="1673" spans="13:13">
      <c r="M1673" s="7"/>
    </row>
    <row r="1674" spans="13:13">
      <c r="M1674" s="7"/>
    </row>
    <row r="1675" spans="13:13">
      <c r="M1675" s="7"/>
    </row>
    <row r="1676" spans="13:13">
      <c r="M1676" s="7"/>
    </row>
    <row r="1677" spans="13:13">
      <c r="M1677" s="7"/>
    </row>
    <row r="1678" spans="13:13">
      <c r="M1678" s="7"/>
    </row>
    <row r="1679" spans="13:13">
      <c r="M1679" s="7"/>
    </row>
    <row r="1680" spans="13:13">
      <c r="M1680" s="7"/>
    </row>
    <row r="1681" spans="13:13">
      <c r="M1681" s="7"/>
    </row>
    <row r="1682" spans="13:13">
      <c r="M1682" s="7"/>
    </row>
    <row r="1683" spans="13:13">
      <c r="M1683" s="7"/>
    </row>
    <row r="1684" spans="13:13">
      <c r="M1684" s="7"/>
    </row>
    <row r="1685" spans="13:13">
      <c r="M1685" s="7"/>
    </row>
    <row r="1686" spans="13:13">
      <c r="M1686" s="7"/>
    </row>
    <row r="1687" spans="13:13">
      <c r="M1687" s="7"/>
    </row>
    <row r="1688" spans="13:13">
      <c r="M1688" s="7"/>
    </row>
    <row r="1689" spans="13:13">
      <c r="M1689" s="7"/>
    </row>
    <row r="1690" spans="13:13">
      <c r="M1690" s="7"/>
    </row>
    <row r="1691" spans="13:13">
      <c r="M1691" s="7"/>
    </row>
    <row r="1692" spans="13:13">
      <c r="M1692" s="7"/>
    </row>
    <row r="1693" spans="13:13">
      <c r="M1693" s="7"/>
    </row>
    <row r="1694" spans="13:13">
      <c r="M1694" s="7"/>
    </row>
    <row r="1695" spans="13:13">
      <c r="M1695" s="7"/>
    </row>
    <row r="1696" spans="13:13">
      <c r="M1696" s="7"/>
    </row>
    <row r="1697" spans="13:13">
      <c r="M1697" s="7"/>
    </row>
    <row r="1698" spans="13:13">
      <c r="M1698" s="7"/>
    </row>
    <row r="1699" spans="13:13">
      <c r="M1699" s="7"/>
    </row>
    <row r="1700" spans="13:13">
      <c r="M1700" s="7"/>
    </row>
    <row r="1701" spans="13:13">
      <c r="M1701" s="7"/>
    </row>
    <row r="1702" spans="13:13">
      <c r="M1702" s="7"/>
    </row>
    <row r="1703" spans="13:13">
      <c r="M1703" s="7"/>
    </row>
    <row r="1704" spans="13:13">
      <c r="M1704" s="7"/>
    </row>
    <row r="1705" spans="13:13">
      <c r="M1705" s="7"/>
    </row>
    <row r="1706" spans="13:13">
      <c r="M1706" s="7"/>
    </row>
    <row r="1707" spans="13:13">
      <c r="M1707" s="7"/>
    </row>
    <row r="1708" spans="13:13">
      <c r="M1708" s="7"/>
    </row>
    <row r="1709" spans="13:13">
      <c r="M1709" s="7"/>
    </row>
    <row r="1710" spans="13:13">
      <c r="M1710" s="7"/>
    </row>
    <row r="1711" spans="13:13">
      <c r="M1711" s="7"/>
    </row>
    <row r="1712" spans="13:13">
      <c r="M1712" s="7"/>
    </row>
    <row r="1713" spans="13:13">
      <c r="M1713" s="7"/>
    </row>
    <row r="1714" spans="13:13">
      <c r="M1714" s="7"/>
    </row>
    <row r="1715" spans="13:13">
      <c r="M1715" s="7"/>
    </row>
    <row r="1716" spans="13:13">
      <c r="M1716" s="7"/>
    </row>
    <row r="1717" spans="13:13">
      <c r="M1717" s="7"/>
    </row>
    <row r="1718" spans="13:13">
      <c r="M1718" s="7"/>
    </row>
    <row r="1719" spans="13:13">
      <c r="M1719" s="7"/>
    </row>
    <row r="1720" spans="13:13">
      <c r="M1720" s="7"/>
    </row>
    <row r="1721" spans="13:13">
      <c r="M1721" s="7"/>
    </row>
    <row r="1722" spans="13:13">
      <c r="M1722" s="7"/>
    </row>
    <row r="1723" spans="13:13">
      <c r="M1723" s="7"/>
    </row>
    <row r="1724" spans="13:13">
      <c r="M1724" s="7"/>
    </row>
    <row r="1725" spans="13:13">
      <c r="M1725" s="7"/>
    </row>
    <row r="1726" spans="13:13">
      <c r="M1726" s="7"/>
    </row>
    <row r="1727" spans="13:13">
      <c r="M1727" s="7"/>
    </row>
    <row r="1728" spans="13:13">
      <c r="M1728" s="7"/>
    </row>
    <row r="1729" spans="13:13">
      <c r="M1729" s="7"/>
    </row>
    <row r="1730" spans="13:13">
      <c r="M1730" s="7"/>
    </row>
    <row r="1731" spans="13:13">
      <c r="M1731" s="7"/>
    </row>
    <row r="1732" spans="13:13">
      <c r="M1732" s="7"/>
    </row>
    <row r="1733" spans="13:13">
      <c r="M1733" s="7"/>
    </row>
    <row r="1734" spans="13:13">
      <c r="M1734" s="7"/>
    </row>
    <row r="1735" spans="13:13">
      <c r="M1735" s="7"/>
    </row>
    <row r="1736" spans="13:13">
      <c r="M1736" s="7"/>
    </row>
    <row r="1737" spans="13:13">
      <c r="M1737" s="7"/>
    </row>
    <row r="1738" spans="13:13">
      <c r="M1738" s="7"/>
    </row>
    <row r="1739" spans="13:13">
      <c r="M1739" s="7"/>
    </row>
    <row r="1740" spans="13:13">
      <c r="M1740" s="7"/>
    </row>
    <row r="1741" spans="13:13">
      <c r="M1741" s="7"/>
    </row>
    <row r="1742" spans="13:13">
      <c r="M1742" s="7"/>
    </row>
    <row r="1743" spans="13:13">
      <c r="M1743" s="7"/>
    </row>
    <row r="1744" spans="13:13">
      <c r="M1744" s="7"/>
    </row>
    <row r="1745" spans="13:13">
      <c r="M1745" s="7"/>
    </row>
    <row r="1746" spans="13:13">
      <c r="M1746" s="7"/>
    </row>
    <row r="1747" spans="13:13">
      <c r="M1747" s="7"/>
    </row>
    <row r="1748" spans="13:13">
      <c r="M1748" s="7"/>
    </row>
    <row r="1749" spans="13:13">
      <c r="M1749" s="7"/>
    </row>
    <row r="1750" spans="13:13">
      <c r="M1750" s="7"/>
    </row>
    <row r="1751" spans="13:13">
      <c r="M1751" s="7"/>
    </row>
    <row r="1752" spans="13:13">
      <c r="M1752" s="7"/>
    </row>
    <row r="1753" spans="13:13">
      <c r="M1753" s="7"/>
    </row>
    <row r="1754" spans="13:13">
      <c r="M1754" s="7"/>
    </row>
    <row r="1755" spans="13:13">
      <c r="M1755" s="7"/>
    </row>
    <row r="1756" spans="13:13">
      <c r="M1756" s="7"/>
    </row>
    <row r="1757" spans="13:13">
      <c r="M1757" s="7"/>
    </row>
    <row r="1758" spans="13:13">
      <c r="M1758" s="7"/>
    </row>
    <row r="1759" spans="13:13">
      <c r="M1759" s="7"/>
    </row>
    <row r="1760" spans="13:13">
      <c r="M1760" s="7"/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equip.xml</vt:lpstr>
      <vt:lpstr>equip.txt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USER-</cp:lastModifiedBy>
  <dcterms:created xsi:type="dcterms:W3CDTF">2006-09-13T11:21:00Z</dcterms:created>
  <dcterms:modified xsi:type="dcterms:W3CDTF">2014-09-03T12:38:41Z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2052-9.1.0.4715</vt:lpwstr>
  </property>
</Properties>
</file>