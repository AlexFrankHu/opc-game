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mission.xml" sheetId="1" r:id="rId1"/>
    <sheet name="礼包 - client" sheetId="2" r:id="rId2"/>
    <sheet name="字段说明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B55" i="2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54"/>
  <c r="A133" i="1" l="1"/>
  <c r="B133"/>
  <c r="F133"/>
  <c r="A134"/>
  <c r="B134"/>
  <c r="F134"/>
  <c r="A135"/>
  <c r="B135"/>
  <c r="F135"/>
  <c r="A136"/>
  <c r="B136"/>
  <c r="F136"/>
  <c r="A137"/>
  <c r="B137"/>
  <c r="F137"/>
  <c r="A138"/>
  <c r="B138"/>
  <c r="F138"/>
  <c r="A139"/>
  <c r="B139"/>
  <c r="F139"/>
  <c r="A140"/>
  <c r="B140"/>
  <c r="F140"/>
  <c r="A141"/>
  <c r="B141"/>
  <c r="F141"/>
  <c r="A142"/>
  <c r="B142"/>
  <c r="F142"/>
  <c r="F7" l="1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98"/>
  <c r="A99"/>
  <c r="A100"/>
  <c r="A101"/>
  <c r="A102"/>
  <c r="A103"/>
  <c r="A104"/>
  <c r="A105"/>
  <c r="A106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6"/>
  <c r="A6"/>
  <c r="M111" l="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11"/>
</calcChain>
</file>

<file path=xl/sharedStrings.xml><?xml version="1.0" encoding="utf-8"?>
<sst xmlns="http://schemas.openxmlformats.org/spreadsheetml/2006/main" count="861" uniqueCount="373">
  <si>
    <t>id</t>
    <phoneticPr fontId="3" type="noConversion"/>
  </si>
  <si>
    <t>描述</t>
    <phoneticPr fontId="3" type="noConversion"/>
  </si>
  <si>
    <t>条件</t>
    <phoneticPr fontId="3" type="noConversion"/>
  </si>
  <si>
    <t>类型</t>
    <phoneticPr fontId="3" type="noConversion"/>
  </si>
  <si>
    <t>前提条件</t>
    <phoneticPr fontId="3" type="noConversion"/>
  </si>
  <si>
    <t>开服天数奖励</t>
    <phoneticPr fontId="3" type="noConversion"/>
  </si>
  <si>
    <t>签到奖励</t>
    <phoneticPr fontId="3" type="noConversion"/>
  </si>
  <si>
    <t>玩家等级达到10级奖励</t>
    <phoneticPr fontId="3" type="noConversion"/>
  </si>
  <si>
    <t>id</t>
    <phoneticPr fontId="3" type="noConversion"/>
  </si>
  <si>
    <t>type</t>
    <phoneticPr fontId="3" type="noConversion"/>
  </si>
  <si>
    <t>后置条件</t>
    <phoneticPr fontId="3" type="noConversion"/>
  </si>
  <si>
    <t>beforeId</t>
    <phoneticPr fontId="3" type="noConversion"/>
  </si>
  <si>
    <t xml:space="preserve"> laterId</t>
    <phoneticPr fontId="3" type="noConversion"/>
  </si>
  <si>
    <t>limit</t>
    <phoneticPr fontId="3" type="noConversion"/>
  </si>
  <si>
    <t>bonus</t>
    <phoneticPr fontId="3" type="noConversion"/>
  </si>
  <si>
    <t>奖励</t>
    <phoneticPr fontId="3" type="noConversion"/>
  </si>
  <si>
    <t>字段说明</t>
    <phoneticPr fontId="3" type="noConversion"/>
  </si>
  <si>
    <t>类型</t>
    <phoneticPr fontId="3" type="noConversion"/>
  </si>
  <si>
    <t>首充类型。奖励字段填的是倍数。条件字段填0表示充多少都返N倍。例如首充N倍</t>
    <phoneticPr fontId="3" type="noConversion"/>
  </si>
  <si>
    <t>充值返还。奖励字段填的是返还的数额。条件字段填的是满足返还条件的最小充值额度。</t>
    <phoneticPr fontId="3" type="noConversion"/>
  </si>
  <si>
    <t>用于开服天数类型的奖励。条件填的是开服的天数，奖励字段规则：  第一天奖励_每天增加额度_连续奖励N天</t>
    <phoneticPr fontId="3" type="noConversion"/>
  </si>
  <si>
    <t>用于签到类型的奖励。条件填的是周期长短，奖励字段规则：  第一天奖励_每天增加额度_周期最大天数。连续签到天数超过最大周期后，每天的奖励按最大值算，一旦中断，重新从第一天开始循环。</t>
    <phoneticPr fontId="3" type="noConversion"/>
  </si>
  <si>
    <t>击败BOSS的奖励</t>
    <phoneticPr fontId="3" type="noConversion"/>
  </si>
  <si>
    <t>玩家等级奖励</t>
    <phoneticPr fontId="3" type="noConversion"/>
  </si>
  <si>
    <t>data</t>
    <phoneticPr fontId="3" type="noConversion"/>
  </si>
  <si>
    <t>名称</t>
    <phoneticPr fontId="3" type="noConversion"/>
  </si>
  <si>
    <t>name</t>
    <phoneticPr fontId="3" type="noConversion"/>
  </si>
  <si>
    <t>充值返利</t>
    <phoneticPr fontId="3" type="noConversion"/>
  </si>
  <si>
    <t>开服奖励</t>
    <phoneticPr fontId="3" type="noConversion"/>
  </si>
  <si>
    <t>icon</t>
    <phoneticPr fontId="3" type="noConversion"/>
  </si>
  <si>
    <t>图标</t>
    <phoneticPr fontId="3" type="noConversion"/>
  </si>
  <si>
    <t>Item/gift3.png</t>
  </si>
  <si>
    <t>充100钻石返10钻石</t>
    <phoneticPr fontId="3" type="noConversion"/>
  </si>
  <si>
    <t>充300钻石返30钻石</t>
    <phoneticPr fontId="3" type="noConversion"/>
  </si>
  <si>
    <t>充500钻石返50钻石</t>
    <phoneticPr fontId="3" type="noConversion"/>
  </si>
  <si>
    <t>充1000钻石返110钻石</t>
    <phoneticPr fontId="3" type="noConversion"/>
  </si>
  <si>
    <t>充2000钻石返230钻石</t>
    <phoneticPr fontId="3" type="noConversion"/>
  </si>
  <si>
    <t>充5000钻石返600钻石</t>
    <phoneticPr fontId="3" type="noConversion"/>
  </si>
  <si>
    <t>开服第1天奖励</t>
    <phoneticPr fontId="3" type="noConversion"/>
  </si>
  <si>
    <t>开服第2天奖励</t>
    <phoneticPr fontId="3" type="noConversion"/>
  </si>
  <si>
    <t>开服第3天奖励</t>
  </si>
  <si>
    <t>开服第4天奖励</t>
  </si>
  <si>
    <t>开服第5天奖励</t>
  </si>
  <si>
    <t>开服第6天奖励</t>
  </si>
  <si>
    <t>开服第7天奖励</t>
  </si>
  <si>
    <t>开服第8天奖励</t>
  </si>
  <si>
    <t>开服第9天奖励</t>
  </si>
  <si>
    <t>开服第10天奖励</t>
  </si>
  <si>
    <t>开服第11天奖励</t>
  </si>
  <si>
    <t>开服第12天奖励</t>
  </si>
  <si>
    <t>开服第13天奖励</t>
  </si>
  <si>
    <t>开服第14天奖励</t>
  </si>
  <si>
    <t>签到第1天奖励</t>
    <phoneticPr fontId="3" type="noConversion"/>
  </si>
  <si>
    <t>签到第2天奖励</t>
    <phoneticPr fontId="3" type="noConversion"/>
  </si>
  <si>
    <t>签到第3天奖励</t>
  </si>
  <si>
    <t>签到第4天奖励</t>
  </si>
  <si>
    <t>签到第5天奖励</t>
  </si>
  <si>
    <t>签到第6天奖励</t>
  </si>
  <si>
    <t>签到第7天奖励</t>
  </si>
  <si>
    <t>签到第8天奖励</t>
  </si>
  <si>
    <t>签到第9天奖励</t>
  </si>
  <si>
    <t>签到第10天奖励</t>
  </si>
  <si>
    <t>签到第11天奖励</t>
  </si>
  <si>
    <t>签到第12天奖励</t>
  </si>
  <si>
    <t>签到第13天奖励</t>
  </si>
  <si>
    <t>签到第14天奖励</t>
  </si>
  <si>
    <t>玩家等级达到4级奖励</t>
    <phoneticPr fontId="3" type="noConversion"/>
  </si>
  <si>
    <t>玩家等级达到7级奖励</t>
    <phoneticPr fontId="3" type="noConversion"/>
  </si>
  <si>
    <t>玩家等级达到13级奖励</t>
  </si>
  <si>
    <t>玩家等级达到16级奖励</t>
  </si>
  <si>
    <t>玩家等级达到19级奖励</t>
  </si>
  <si>
    <t>玩家等级达到22级奖励</t>
  </si>
  <si>
    <t>玩家等级达到25级奖励</t>
  </si>
  <si>
    <t>玩家等级达到28级奖励</t>
  </si>
  <si>
    <t>玩家等级达到31级奖励</t>
  </si>
  <si>
    <t>玩家等级达到34级奖励</t>
  </si>
  <si>
    <t>玩家等级达到37级奖励</t>
  </si>
  <si>
    <t>玩家等级达到40级奖励</t>
  </si>
  <si>
    <t>玩家等级达到43级奖励</t>
  </si>
  <si>
    <t>玩家等级达到46级奖励</t>
  </si>
  <si>
    <t>玩家等级达到49级奖励</t>
  </si>
  <si>
    <t>玩家等级达到52级奖励</t>
  </si>
  <si>
    <t>玩家等级达到55级奖励</t>
  </si>
  <si>
    <t>玩家等级达到58级奖励</t>
  </si>
  <si>
    <t>玩家等级达到61级奖励</t>
  </si>
  <si>
    <t>玩家等级达到64级奖励</t>
  </si>
  <si>
    <t>玩家等级达到67级奖励</t>
  </si>
  <si>
    <t>玩家等级达到70级奖励</t>
  </si>
  <si>
    <t>新手试炼</t>
  </si>
  <si>
    <t>怒焰裂谷</t>
  </si>
  <si>
    <t>死亡矿井</t>
  </si>
  <si>
    <t>哀嚎洞穴</t>
  </si>
  <si>
    <t>影牙城堡</t>
  </si>
  <si>
    <t>黑暗深渊</t>
  </si>
  <si>
    <t>暴风城监狱</t>
  </si>
  <si>
    <t>剃刀沼泽</t>
  </si>
  <si>
    <t>诺莫瑞根</t>
  </si>
  <si>
    <t>血色修道院</t>
  </si>
  <si>
    <t>剃刀高地</t>
  </si>
  <si>
    <t>奥达曼</t>
  </si>
  <si>
    <t>祖尔法拉克</t>
  </si>
  <si>
    <t>玛拉顿</t>
  </si>
  <si>
    <t>沉没的神庙</t>
  </si>
  <si>
    <t>厄运之槌</t>
  </si>
  <si>
    <t>黑石深渊</t>
  </si>
  <si>
    <t>斯坦索姆</t>
  </si>
  <si>
    <t>通灵学院</t>
  </si>
  <si>
    <t>黑石塔</t>
  </si>
  <si>
    <t>地狱火城墙</t>
  </si>
  <si>
    <t>鲜血熔炉</t>
  </si>
  <si>
    <t>开服第15天奖励</t>
  </si>
  <si>
    <t>开服第16天奖励</t>
  </si>
  <si>
    <t>开服第17天奖励</t>
  </si>
  <si>
    <t>开服第18天奖励</t>
  </si>
  <si>
    <t>开服第19天奖励</t>
  </si>
  <si>
    <t>开服第20天奖励</t>
  </si>
  <si>
    <t>开服第21天奖励</t>
  </si>
  <si>
    <t>开服第22天奖励</t>
  </si>
  <si>
    <t>开服第23天奖励</t>
  </si>
  <si>
    <t>开服第24天奖励</t>
  </si>
  <si>
    <t>开服第25天奖励</t>
  </si>
  <si>
    <t>开服第26天奖励</t>
  </si>
  <si>
    <t>开服第27天奖励</t>
  </si>
  <si>
    <t>开服第28天奖励</t>
  </si>
  <si>
    <t>开服第29天奖励</t>
  </si>
  <si>
    <t>开服第30天奖励</t>
  </si>
  <si>
    <t>签到第15天奖励</t>
  </si>
  <si>
    <t>签到第16天奖励</t>
  </si>
  <si>
    <t>签到第17天奖励</t>
  </si>
  <si>
    <t>签到第18天奖励</t>
  </si>
  <si>
    <t>签到第19天奖励</t>
  </si>
  <si>
    <t>签到第20天奖励</t>
  </si>
  <si>
    <t>签到第21天奖励</t>
  </si>
  <si>
    <t>签到第22天奖励</t>
  </si>
  <si>
    <t>签到第23天奖励</t>
  </si>
  <si>
    <t>签到第24天奖励</t>
  </si>
  <si>
    <t>签到第25天奖励</t>
  </si>
  <si>
    <t>签到第26天奖励</t>
  </si>
  <si>
    <t>签到第27天奖励</t>
  </si>
  <si>
    <t>签到第28天奖励</t>
  </si>
  <si>
    <t>签到第29天奖励</t>
  </si>
  <si>
    <t>签到第30天奖励</t>
  </si>
  <si>
    <t>签到第31天奖励</t>
  </si>
  <si>
    <t>签到第32天奖励</t>
  </si>
  <si>
    <t>签到第33天奖励</t>
  </si>
  <si>
    <t>签到第34天奖励</t>
  </si>
  <si>
    <t>签到第35天奖励</t>
  </si>
  <si>
    <t>签到第36天奖励</t>
  </si>
  <si>
    <t>签到第37天奖励</t>
  </si>
  <si>
    <t>签到第38天奖励</t>
  </si>
  <si>
    <t>签到第39天奖励</t>
  </si>
  <si>
    <t>签到第40天奖励</t>
  </si>
  <si>
    <t>签到第41天奖励</t>
  </si>
  <si>
    <t>签到第42天奖励</t>
  </si>
  <si>
    <t>签到第43天奖励</t>
  </si>
  <si>
    <t>签到第44天奖励</t>
  </si>
  <si>
    <t>签到第45天奖励</t>
  </si>
  <si>
    <t>签到第46天奖励</t>
  </si>
  <si>
    <t>签到第47天奖励</t>
  </si>
  <si>
    <t>签到第48天奖励</t>
  </si>
  <si>
    <t>签到第49天奖励</t>
  </si>
  <si>
    <t>签到第50天奖励</t>
  </si>
  <si>
    <t>签到第51天奖励</t>
  </si>
  <si>
    <t>签到第52天奖励</t>
  </si>
  <si>
    <t>签到第53天奖励</t>
  </si>
  <si>
    <t>签到第54天奖励</t>
  </si>
  <si>
    <t>签到第55天奖励</t>
  </si>
  <si>
    <t>签到第56天奖励</t>
  </si>
  <si>
    <t>签到第57天奖励</t>
  </si>
  <si>
    <t>签到第58天奖励</t>
  </si>
  <si>
    <t>签到第59天奖励</t>
  </si>
  <si>
    <t>签到第60天奖励</t>
  </si>
  <si>
    <t>10000_1001_30</t>
  </si>
  <si>
    <t>10000_1001_50</t>
  </si>
  <si>
    <t>10000_1001_20</t>
  </si>
  <si>
    <t>10000_1001_120</t>
  </si>
  <si>
    <t>10000_1001_125</t>
  </si>
  <si>
    <t>10000_1001_25</t>
  </si>
  <si>
    <t>10000_1001_130</t>
  </si>
  <si>
    <t>10000_1001_135</t>
  </si>
  <si>
    <t>10000_1001_35</t>
  </si>
  <si>
    <t>10000_1001_140</t>
  </si>
  <si>
    <t>10000_1001_40</t>
  </si>
  <si>
    <t>10000_1001_45</t>
  </si>
  <si>
    <t>10000_1001_145</t>
  </si>
  <si>
    <t>10000_1001_30,10000_1002_10000</t>
  </si>
  <si>
    <t>10000_1001_40,10000_1002_15000</t>
  </si>
  <si>
    <t>10000_1001_50,10000_1002_20000</t>
  </si>
  <si>
    <t>10000_1001_60,10000_1002_25000</t>
  </si>
  <si>
    <t>10000_1001_70,10000_1002_30000</t>
  </si>
  <si>
    <t>10000_1001_80,10000_1002_35000</t>
  </si>
  <si>
    <t>10000_1001_90,10000_1002_40000</t>
  </si>
  <si>
    <t>10000_1001_100,10000_1002_45000</t>
  </si>
  <si>
    <t>10000_1001_110,10000_1002_50000</t>
  </si>
  <si>
    <t>10000_1001_120,10000_1002_55000</t>
  </si>
  <si>
    <t>10000_1001_130,10000_1002_60000</t>
  </si>
  <si>
    <t>10000_1001_140,10000_1002_65000</t>
  </si>
  <si>
    <t>10000_1001_150,10000_1002_70000</t>
  </si>
  <si>
    <t>10000_1001_160,10000_1002_75000</t>
  </si>
  <si>
    <t>10000_1001_170,10000_1002_80000</t>
  </si>
  <si>
    <t>10000_1001_180,10000_1002_85000</t>
  </si>
  <si>
    <t>10000_1001_190,10000_1002_90000</t>
  </si>
  <si>
    <t>10000_1001_200,10000_1002_95000</t>
  </si>
  <si>
    <t>10000_1001_210,10000_1002_100000</t>
  </si>
  <si>
    <t>10000_1001_220,10000_1002_105000</t>
  </si>
  <si>
    <t>10000_1001_230,10000_1002_110000</t>
  </si>
  <si>
    <t>10000_1001_240,10000_1002_115000</t>
  </si>
  <si>
    <t>10000_1001_250,10000_1002_120000</t>
  </si>
  <si>
    <t>击败新手试炼boss奖励</t>
  </si>
  <si>
    <t>击败怒焰裂谷boss奖励</t>
  </si>
  <si>
    <t>击败死亡矿井boss奖励</t>
  </si>
  <si>
    <t>击败哀嚎洞穴boss奖励</t>
  </si>
  <si>
    <t>击败影牙城堡boss奖励</t>
  </si>
  <si>
    <t>击败黑暗深渊boss奖励</t>
  </si>
  <si>
    <t>击败暴风城监狱boss奖励</t>
  </si>
  <si>
    <t>击败剃刀沼泽boss奖励</t>
  </si>
  <si>
    <t>击败诺莫瑞根boss奖励</t>
  </si>
  <si>
    <t>击败血色修道院boss奖励</t>
  </si>
  <si>
    <t>击败剃刀高地boss奖励</t>
  </si>
  <si>
    <t>击败奥达曼boss奖励</t>
  </si>
  <si>
    <t>击败祖尔法拉克boss奖励</t>
  </si>
  <si>
    <t>击败玛拉顿boss奖励</t>
  </si>
  <si>
    <t>击败沉没的神庙boss奖励</t>
  </si>
  <si>
    <t>击败厄运之槌boss奖励</t>
  </si>
  <si>
    <t>击败黑石深渊boss奖励</t>
  </si>
  <si>
    <t>击败斯坦索姆boss奖励</t>
  </si>
  <si>
    <t>击败通灵学院boss奖励</t>
  </si>
  <si>
    <t>击败黑石塔boss奖励</t>
  </si>
  <si>
    <t>击败地狱火城墙boss奖励</t>
  </si>
  <si>
    <t>击败鲜血熔炉boss奖励</t>
  </si>
  <si>
    <t>击败奴隶围栏boss奖励</t>
  </si>
  <si>
    <t>击败幽暗沼泽boss奖励</t>
  </si>
  <si>
    <t>击败法力陵墓boss奖励</t>
  </si>
  <si>
    <t>击败奥金尼地穴boss奖励</t>
  </si>
  <si>
    <t>击败旧希尔布拉德丘陵boss奖励</t>
  </si>
  <si>
    <t>击败塞泰克大厅boss奖励</t>
  </si>
  <si>
    <t>击败暗影迷宫boss奖励</t>
  </si>
  <si>
    <t>击败蒸汽地窖boss奖励</t>
  </si>
  <si>
    <t>击败能源舰boss奖励</t>
  </si>
  <si>
    <t>击败生态船boss奖励</t>
  </si>
  <si>
    <t>击败禁魔监狱boss奖励</t>
  </si>
  <si>
    <t>击败破碎大厅boss奖励</t>
  </si>
  <si>
    <t>击败黑色沼泽boss奖励</t>
  </si>
  <si>
    <t>开服第1天奖励</t>
  </si>
  <si>
    <t>开服第2天奖励</t>
  </si>
  <si>
    <t>签到第1天奖励</t>
  </si>
  <si>
    <t>签到第2天奖励</t>
  </si>
  <si>
    <t>玩家等级达到4级奖励</t>
  </si>
  <si>
    <t>玩家等级达到7级奖励</t>
  </si>
  <si>
    <t>玩家等级达到10级奖励</t>
  </si>
  <si>
    <t>10000_1001_10</t>
    <phoneticPr fontId="3" type="noConversion"/>
  </si>
  <si>
    <t>Item/gift4.png</t>
  </si>
  <si>
    <t>Item/gift4.png</t>
    <phoneticPr fontId="3" type="noConversion"/>
  </si>
  <si>
    <t>Item/gift2.png</t>
  </si>
  <si>
    <t>Item/gift2.png</t>
    <phoneticPr fontId="3" type="noConversion"/>
  </si>
  <si>
    <t>Item/gift1.png</t>
  </si>
  <si>
    <t>Item/gift1.png</t>
    <phoneticPr fontId="3" type="noConversion"/>
  </si>
  <si>
    <t>10000_1001_30,30000_60001_10,10000_1009_1</t>
    <phoneticPr fontId="3" type="noConversion"/>
  </si>
  <si>
    <t>10000_1001_45,30000_60001_20,10000_1009_1</t>
    <phoneticPr fontId="3" type="noConversion"/>
  </si>
  <si>
    <t>10000_1001_60,30000_60001_30,10000_1009_1</t>
    <phoneticPr fontId="3" type="noConversion"/>
  </si>
  <si>
    <t>10000_1001_75,30000_60001_40,10000_1009_1</t>
    <phoneticPr fontId="3" type="noConversion"/>
  </si>
  <si>
    <t>10000_1001_90,30000_60001_50,10000_1009_1</t>
    <phoneticPr fontId="3" type="noConversion"/>
  </si>
  <si>
    <t>10000_1001_115,30000_60001_60,10000_1009_1</t>
    <phoneticPr fontId="3" type="noConversion"/>
  </si>
  <si>
    <t>10000_1001_135,30000_60001_80,10000_1009_1</t>
    <phoneticPr fontId="3" type="noConversion"/>
  </si>
  <si>
    <t>10000_1001_150,30000_60001_100,10000_1009_1</t>
    <phoneticPr fontId="3" type="noConversion"/>
  </si>
  <si>
    <t>10000_1001_175,30000_60001_120,10000_1009_1</t>
    <phoneticPr fontId="3" type="noConversion"/>
  </si>
  <si>
    <t>10000_1001_190,30000_60001_140,10000_1009_1</t>
    <phoneticPr fontId="3" type="noConversion"/>
  </si>
  <si>
    <t>10000_1001_205,30000_60001_160,10000_1009_1</t>
    <phoneticPr fontId="3" type="noConversion"/>
  </si>
  <si>
    <t>10000_1001_220,30000_60001_180,10000_1009_1</t>
    <phoneticPr fontId="3" type="noConversion"/>
  </si>
  <si>
    <t>10000_1001_235,30000_60001_200,10000_1009_1</t>
    <phoneticPr fontId="3" type="noConversion"/>
  </si>
  <si>
    <t>钻石*50，15级紫色主手武器</t>
  </si>
  <si>
    <t>钻石*60，20级橙色主手武器</t>
  </si>
  <si>
    <t>钻石*100，铜钥匙*10</t>
  </si>
  <si>
    <t>金币*50W，宝石袋*10</t>
  </si>
  <si>
    <t>神器碎片*3，小铜锤*5</t>
  </si>
  <si>
    <t>银钥匙*5，高级宝石袋*3</t>
  </si>
  <si>
    <t>小银锤*5，神器碎片*5</t>
  </si>
  <si>
    <t>金币*100W，精华*150</t>
  </si>
  <si>
    <t>神器（25级戒指）*1</t>
  </si>
  <si>
    <t>金币*100W，精华*250</t>
  </si>
  <si>
    <t>小金锤*3，神器（30级鞋子）*1</t>
  </si>
  <si>
    <t>金币*250W，神器（35级项链）*1</t>
  </si>
  <si>
    <t>金钥匙*10，神器碎片*10</t>
  </si>
  <si>
    <t>BOSS卷轴*10，高级宝石袋*15</t>
  </si>
  <si>
    <t>小金锤*15，神器碎片*20</t>
  </si>
  <si>
    <t>充200钻返利</t>
  </si>
  <si>
    <t>充500钻返利</t>
  </si>
  <si>
    <t>充1000钻返利</t>
  </si>
  <si>
    <t>充1500钻返利</t>
  </si>
  <si>
    <t>充2500钻返利</t>
  </si>
  <si>
    <t>充4000钻返利</t>
  </si>
  <si>
    <t>充6000钻返利</t>
  </si>
  <si>
    <t>充8500钻返利</t>
  </si>
  <si>
    <t>充11500钻返利</t>
  </si>
  <si>
    <t>充15000钻返利</t>
  </si>
  <si>
    <t>充20000钻返利</t>
  </si>
  <si>
    <t>充30000钻返利</t>
  </si>
  <si>
    <t>充50000钻返利</t>
  </si>
  <si>
    <t>充85000钻返利</t>
  </si>
  <si>
    <t>充125000钻返利</t>
  </si>
  <si>
    <t>10000_1001_100,30000_50001_10</t>
    <phoneticPr fontId="3" type="noConversion"/>
  </si>
  <si>
    <t>10000_1002_500000,30000_41001_10</t>
    <phoneticPr fontId="3" type="noConversion"/>
  </si>
  <si>
    <t>30000_10001_3,30000_30001_5</t>
    <phoneticPr fontId="3" type="noConversion"/>
  </si>
  <si>
    <t>30000_50002_5,30001_41002_3</t>
    <phoneticPr fontId="3" type="noConversion"/>
  </si>
  <si>
    <t>30000_30002_5,30000_10001_5</t>
    <phoneticPr fontId="3" type="noConversion"/>
  </si>
  <si>
    <t>10000_1002_1000000,30000_60001_150</t>
    <phoneticPr fontId="3" type="noConversion"/>
  </si>
  <si>
    <t>40000_50250022_1</t>
    <phoneticPr fontId="3" type="noConversion"/>
  </si>
  <si>
    <t>10000_1002_1000000,30000_60001_250</t>
    <phoneticPr fontId="3" type="noConversion"/>
  </si>
  <si>
    <t>30000_30003_3,40000_50300082_1</t>
    <phoneticPr fontId="3" type="noConversion"/>
  </si>
  <si>
    <t>10000_1002_2500000,40000_50350102_1</t>
    <phoneticPr fontId="3" type="noConversion"/>
  </si>
  <si>
    <t>30000_50003_10,30000_10001_10</t>
    <phoneticPr fontId="3" type="noConversion"/>
  </si>
  <si>
    <t>30000_90001_10,30001_41002_15</t>
    <phoneticPr fontId="3" type="noConversion"/>
  </si>
  <si>
    <t>30000_30003_15,30000_10001_20</t>
    <phoneticPr fontId="3" type="noConversion"/>
  </si>
  <si>
    <t>10000_1001_50;40000_40151051_1_1,40000_40152051_1_2,40000_40153051_1_3</t>
    <phoneticPr fontId="3" type="noConversion"/>
  </si>
  <si>
    <t>10000_1001_60;40000_50201050_1_1,40000_50202050_1_2,40000_50203051_1_3</t>
    <phoneticPr fontId="3" type="noConversion"/>
  </si>
  <si>
    <t>10000_1001_25;40000_50301052_1_1,40000_50302052_1_2,40000_50303052_1_3</t>
    <phoneticPr fontId="3" type="noConversion"/>
  </si>
  <si>
    <t>10000_1001_15</t>
    <phoneticPr fontId="3" type="noConversion"/>
  </si>
  <si>
    <t>10000_1001_20</t>
    <phoneticPr fontId="3" type="noConversion"/>
  </si>
  <si>
    <t>击败魔导师平台boss奖励</t>
  </si>
  <si>
    <t>击败乌特加德城堡boss奖励</t>
  </si>
  <si>
    <t>击败魔枢boss奖励</t>
  </si>
  <si>
    <t>击败艾卓-尼鲁布boss奖励</t>
  </si>
  <si>
    <t>击败安卡赫特：古代王国boss奖励</t>
  </si>
  <si>
    <t>击败达克萨隆要塞boss奖励</t>
  </si>
  <si>
    <t>击败紫罗兰监狱boss奖励</t>
  </si>
  <si>
    <t>击败古达克boss奖励</t>
  </si>
  <si>
    <t>击败岩石大厅boss奖励</t>
  </si>
  <si>
    <t>击败魔环boss奖励</t>
  </si>
  <si>
    <t>击败闪电大厅boss奖励</t>
  </si>
  <si>
    <t>击败乌特加德之巅boss奖励</t>
  </si>
  <si>
    <t>击败冠军的试炼boss奖励</t>
  </si>
  <si>
    <t>击败净化斯坦索姆boss奖励</t>
  </si>
  <si>
    <t>击败萨隆矿坑boss奖励</t>
  </si>
  <si>
    <t>击败灵魂洪炉boss奖励</t>
  </si>
  <si>
    <t>击败映像大厅boss奖励</t>
  </si>
  <si>
    <t>10000_1001_240,30000_60001_200,10000_1009_1</t>
  </si>
  <si>
    <t>10000_1001_245,30000_60001_200,10000_1009_1</t>
  </si>
  <si>
    <t>10000_1001_250,30000_60001_200,10000_1009_1</t>
  </si>
  <si>
    <t>10000_1001_255,30000_60001_200,10000_1009_1</t>
  </si>
  <si>
    <t>10000_1001_260,30000_60001_200,10000_1009_1</t>
  </si>
  <si>
    <t>10000_1001_265,30000_60001_200,10000_1009_1</t>
  </si>
  <si>
    <t>10000_1001_270,30000_60001_200,10000_1009_1</t>
  </si>
  <si>
    <t>10000_1001_275,30000_60001_200,10000_1009_1</t>
  </si>
  <si>
    <t>10000_1001_280,30000_60001_200,10000_1009_1</t>
  </si>
  <si>
    <t>10000_1001_285,30000_60001_200,10000_1009_1</t>
  </si>
  <si>
    <t>10000_1001_290,30000_60001_200,10000_1009_1</t>
  </si>
  <si>
    <t>10000_1001_295,30000_60001_200,10000_1009_1</t>
  </si>
  <si>
    <t>10000_1001_300,30000_60001_200,10000_1009_1</t>
  </si>
  <si>
    <t>10000_1001_305,30000_60001_200,10000_1009_1</t>
  </si>
  <si>
    <t>10000_1001_310,30000_60001_200,10000_1009_1</t>
  </si>
  <si>
    <t>10000_1001_315,30000_60001_200,10000_1009_1</t>
  </si>
  <si>
    <t>10000_1001_320,30000_60001_200,10000_1009_1</t>
  </si>
  <si>
    <t>玩家等级达到73级奖励</t>
  </si>
  <si>
    <t>玩家等级达到76级奖励</t>
  </si>
  <si>
    <t>玩家等级达到79级奖励</t>
  </si>
  <si>
    <t>玩家等级达到82级奖励</t>
  </si>
  <si>
    <t>玩家等级达到85级奖励</t>
  </si>
  <si>
    <t>玩家等级达到88级奖励</t>
  </si>
  <si>
    <t>玩家等级达到91级奖励</t>
  </si>
  <si>
    <t>玩家等级达到94级奖励</t>
  </si>
  <si>
    <t>玩家等级达到97级奖励</t>
  </si>
  <si>
    <t>玩家等级达到100级奖励</t>
  </si>
  <si>
    <t>10000_1001_260,10000_1002_125000</t>
    <phoneticPr fontId="3" type="noConversion"/>
  </si>
  <si>
    <t>10000_1001_270,10000_1002_130000</t>
    <phoneticPr fontId="3" type="noConversion"/>
  </si>
  <si>
    <t>10000_1001_280,10000_1002_135000</t>
    <phoneticPr fontId="3" type="noConversion"/>
  </si>
  <si>
    <t>10000_1001_290,10000_1002_140000</t>
    <phoneticPr fontId="3" type="noConversion"/>
  </si>
  <si>
    <t>10000_1001_300,10000_1002_145000</t>
    <phoneticPr fontId="3" type="noConversion"/>
  </si>
  <si>
    <t>10000_1001_310,10000_1002_150000</t>
    <phoneticPr fontId="3" type="noConversion"/>
  </si>
  <si>
    <t>10000_1001_320,10000_1002_155000</t>
    <phoneticPr fontId="3" type="noConversion"/>
  </si>
  <si>
    <t>10000_1001_330,10000_1002_160000</t>
    <phoneticPr fontId="3" type="noConversion"/>
  </si>
  <si>
    <t>10000_1001_340,10000_1002_165000</t>
    <phoneticPr fontId="3" type="noConversion"/>
  </si>
  <si>
    <t>10000_1001_350,10000_1002_170000</t>
    <phoneticPr fontId="3" type="noConversion"/>
  </si>
  <si>
    <t>10000_1001_135</t>
    <phoneticPr fontId="3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</si>
</sst>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6100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0" fontId="5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2" fillId="0" borderId="0" xfId="2">
      <alignment vertical="center"/>
    </xf>
    <xf numFmtId="0" fontId="5" fillId="2" borderId="0" xfId="1">
      <alignment vertical="center"/>
    </xf>
    <xf numFmtId="0" fontId="2" fillId="0" borderId="0" xfId="3">
      <alignment vertical="center"/>
    </xf>
    <xf numFmtId="0" fontId="5" fillId="2" borderId="0" xfId="1">
      <alignment vertical="center"/>
    </xf>
    <xf numFmtId="0" fontId="2" fillId="0" borderId="0" xfId="4">
      <alignment vertical="center"/>
    </xf>
    <xf numFmtId="0" fontId="1" fillId="0" borderId="0" xfId="4" applyFont="1">
      <alignment vertical="center"/>
    </xf>
  </cellXfs>
  <cellStyles count="6">
    <cellStyle name="常规" xfId="0" builtinId="0"/>
    <cellStyle name="常规 2" xfId="2"/>
    <cellStyle name="常规 3" xfId="3"/>
    <cellStyle name="常规 4" xfId="4"/>
    <cellStyle name="常规 5" xfId="5"/>
    <cellStyle name="好" xfId="1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ua/Resource_Product/trunk/&#31574;&#21010;&#25968;&#25454;&#34920;/&#20851;&#21345;/2.4/2.4&#22320;&#22270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p.xml"/>
      <sheetName val="map-客户端"/>
      <sheetName val="精英副本"/>
      <sheetName val="客户端"/>
      <sheetName val="Sheet3"/>
      <sheetName val="掉落权重"/>
    </sheetNames>
    <sheetDataSet>
      <sheetData sheetId="0">
        <row r="6">
          <cell r="B6" t="str">
            <v>试炼谷</v>
          </cell>
        </row>
        <row r="7">
          <cell r="B7" t="str">
            <v>北境古堡</v>
          </cell>
        </row>
        <row r="8">
          <cell r="B8" t="str">
            <v>日光森林</v>
          </cell>
        </row>
        <row r="9">
          <cell r="B9" t="str">
            <v>暮光湖</v>
          </cell>
        </row>
        <row r="10">
          <cell r="B10" t="str">
            <v>嚎叫深渊</v>
          </cell>
        </row>
        <row r="11">
          <cell r="B11" t="str">
            <v>南风堡</v>
          </cell>
        </row>
        <row r="12">
          <cell r="B12" t="str">
            <v>圣光教堂</v>
          </cell>
        </row>
        <row r="13">
          <cell r="B13" t="str">
            <v>美酒地窖</v>
          </cell>
        </row>
        <row r="14">
          <cell r="B14" t="str">
            <v>钢铁之门</v>
          </cell>
        </row>
        <row r="15">
          <cell r="B15" t="str">
            <v>红龙巢穴</v>
          </cell>
        </row>
        <row r="16">
          <cell r="B16" t="str">
            <v>双龙窟</v>
          </cell>
        </row>
        <row r="17">
          <cell r="B17" t="str">
            <v>血色熔炉</v>
          </cell>
        </row>
        <row r="18">
          <cell r="B18" t="str">
            <v>绝望镇</v>
          </cell>
        </row>
        <row r="19">
          <cell r="B19" t="str">
            <v>艾达溶洞</v>
          </cell>
        </row>
        <row r="20">
          <cell r="B20" t="str">
            <v>城墙大门</v>
          </cell>
        </row>
        <row r="21">
          <cell r="B21" t="str">
            <v>城墙中部</v>
          </cell>
        </row>
        <row r="22">
          <cell r="B22" t="str">
            <v>凛风城</v>
          </cell>
        </row>
        <row r="23">
          <cell r="B23" t="str">
            <v>古达姆</v>
          </cell>
        </row>
        <row r="24">
          <cell r="B24" t="str">
            <v>密林实验室</v>
          </cell>
        </row>
        <row r="25">
          <cell r="B25" t="str">
            <v>北海圣坛</v>
          </cell>
        </row>
        <row r="26">
          <cell r="B26" t="str">
            <v>怒牙要塞</v>
          </cell>
        </row>
        <row r="27">
          <cell r="B27" t="str">
            <v>尘沙堡</v>
          </cell>
        </row>
        <row r="28">
          <cell r="B28" t="str">
            <v>潮汐遗迹</v>
          </cell>
        </row>
        <row r="29">
          <cell r="B29" t="str">
            <v>沐星城</v>
          </cell>
        </row>
        <row r="30">
          <cell r="B30" t="str">
            <v>猛犸之墓</v>
          </cell>
        </row>
        <row r="31">
          <cell r="B31" t="str">
            <v>霜狼十字</v>
          </cell>
        </row>
        <row r="32">
          <cell r="B32" t="str">
            <v>时光壁炉</v>
          </cell>
        </row>
        <row r="33">
          <cell r="B33" t="str">
            <v>折月城堡</v>
          </cell>
        </row>
        <row r="34">
          <cell r="B34" t="str">
            <v>暗魔塔</v>
          </cell>
        </row>
        <row r="35">
          <cell r="B35" t="str">
            <v>流金大厅</v>
          </cell>
        </row>
        <row r="36">
          <cell r="B36" t="str">
            <v>塔姆丛林</v>
          </cell>
        </row>
        <row r="37">
          <cell r="B37" t="str">
            <v>十三王陵</v>
          </cell>
        </row>
        <row r="38">
          <cell r="B38" t="str">
            <v>巨木之森</v>
          </cell>
        </row>
        <row r="39">
          <cell r="B39" t="str">
            <v>红魔监狱</v>
          </cell>
        </row>
        <row r="40">
          <cell r="B40" t="str">
            <v>金砂堡</v>
          </cell>
        </row>
        <row r="41">
          <cell r="B41" t="str">
            <v>达雅之核</v>
          </cell>
        </row>
        <row r="42">
          <cell r="B42" t="str">
            <v>红谷绞肉机</v>
          </cell>
        </row>
        <row r="43">
          <cell r="B43" t="str">
            <v>埋骨地</v>
          </cell>
        </row>
        <row r="44">
          <cell r="B44" t="str">
            <v>流云古城</v>
          </cell>
        </row>
        <row r="45">
          <cell r="B45" t="str">
            <v>饮光崖</v>
          </cell>
        </row>
        <row r="46">
          <cell r="B46" t="str">
            <v>黑风要塞</v>
          </cell>
        </row>
        <row r="47">
          <cell r="B47" t="str">
            <v>努玛遗迹</v>
          </cell>
        </row>
        <row r="48">
          <cell r="B48" t="str">
            <v>幽灵大厅</v>
          </cell>
        </row>
        <row r="49">
          <cell r="B49" t="str">
            <v>寒古山脉</v>
          </cell>
        </row>
        <row r="50">
          <cell r="B50" t="str">
            <v>铁卫雕像</v>
          </cell>
        </row>
        <row r="51">
          <cell r="B51" t="str">
            <v>喋血之门</v>
          </cell>
        </row>
        <row r="52">
          <cell r="B52" t="str">
            <v>苦塔</v>
          </cell>
        </row>
        <row r="53">
          <cell r="B53" t="str">
            <v>雪路之庭</v>
          </cell>
        </row>
        <row r="54">
          <cell r="B54" t="str">
            <v>幽魂小径</v>
          </cell>
        </row>
        <row r="55">
          <cell r="B55" t="str">
            <v>地狱之门</v>
          </cell>
        </row>
        <row r="56">
          <cell r="B56" t="str">
            <v>安塔恶魔之城</v>
          </cell>
        </row>
        <row r="57">
          <cell r="B57" t="str">
            <v>通天塔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77"/>
  <sheetViews>
    <sheetView topLeftCell="A38" workbookViewId="0">
      <selection activeCell="E51" sqref="E51"/>
    </sheetView>
  </sheetViews>
  <sheetFormatPr defaultRowHeight="13.5"/>
  <cols>
    <col min="1" max="2" width="9" style="1"/>
    <col min="3" max="3" width="9" style="1" customWidth="1"/>
    <col min="4" max="5" width="18.125" style="1" customWidth="1"/>
    <col min="6" max="6" width="63" style="1" customWidth="1"/>
    <col min="7" max="7" width="53.875" hidden="1" customWidth="1"/>
    <col min="8" max="8" width="17" style="1" hidden="1" customWidth="1"/>
    <col min="9" max="12" width="9" hidden="1" customWidth="1"/>
    <col min="13" max="13" width="20.75" style="1" hidden="1" customWidth="1"/>
  </cols>
  <sheetData>
    <row r="1" spans="1:13">
      <c r="A1" s="1" t="s">
        <v>24</v>
      </c>
    </row>
    <row r="3" spans="1:13">
      <c r="A3" s="2" t="s">
        <v>0</v>
      </c>
      <c r="B3" s="2" t="s">
        <v>3</v>
      </c>
      <c r="C3" s="2" t="s">
        <v>2</v>
      </c>
      <c r="D3" s="2" t="s">
        <v>4</v>
      </c>
      <c r="E3" s="2" t="s">
        <v>10</v>
      </c>
      <c r="F3" s="2" t="s">
        <v>15</v>
      </c>
      <c r="G3" s="2" t="s">
        <v>1</v>
      </c>
      <c r="H3" s="2" t="s">
        <v>30</v>
      </c>
      <c r="M3" s="2" t="s">
        <v>25</v>
      </c>
    </row>
    <row r="4" spans="1:13">
      <c r="A4" s="2" t="s">
        <v>8</v>
      </c>
      <c r="B4" s="2" t="s">
        <v>9</v>
      </c>
      <c r="C4" s="2" t="s">
        <v>13</v>
      </c>
      <c r="D4" s="2" t="s">
        <v>11</v>
      </c>
      <c r="E4" s="2" t="s">
        <v>12</v>
      </c>
      <c r="F4" s="2" t="s">
        <v>14</v>
      </c>
      <c r="G4" s="2"/>
      <c r="H4" s="2" t="s">
        <v>29</v>
      </c>
      <c r="M4" s="2" t="s">
        <v>26</v>
      </c>
    </row>
    <row r="5" spans="1:13">
      <c r="A5" s="2"/>
      <c r="B5" s="2"/>
      <c r="C5" s="2"/>
      <c r="D5" s="2"/>
      <c r="E5" s="2"/>
      <c r="F5" s="2"/>
      <c r="G5" s="2"/>
      <c r="H5" s="2"/>
      <c r="M5" s="2"/>
    </row>
    <row r="6" spans="1:13">
      <c r="A6" s="1">
        <f>'礼包 - client'!A2</f>
        <v>2000001</v>
      </c>
      <c r="B6" s="1">
        <f>'礼包 - client'!C2</f>
        <v>2</v>
      </c>
      <c r="C6" s="1">
        <v>200</v>
      </c>
      <c r="D6" s="1">
        <v>0</v>
      </c>
      <c r="E6" s="1">
        <v>2000002</v>
      </c>
      <c r="F6" s="1" t="str">
        <f>'礼包 - client'!D2</f>
        <v>10000_1001_50;40000_40151051_1_1,40000_40152051_1_2,40000_40153051_1_3</v>
      </c>
      <c r="G6" s="1" t="s">
        <v>32</v>
      </c>
      <c r="H6" s="1" t="s">
        <v>31</v>
      </c>
      <c r="J6" s="1">
        <v>10</v>
      </c>
      <c r="M6" s="1" t="s">
        <v>27</v>
      </c>
    </row>
    <row r="7" spans="1:13">
      <c r="A7" s="1">
        <f>'礼包 - client'!A3</f>
        <v>2000002</v>
      </c>
      <c r="B7" s="1">
        <f>'礼包 - client'!C3</f>
        <v>2</v>
      </c>
      <c r="C7" s="1">
        <v>500</v>
      </c>
      <c r="D7" s="1">
        <v>2000001</v>
      </c>
      <c r="E7" s="1">
        <v>2000003</v>
      </c>
      <c r="F7" s="1" t="str">
        <f>'礼包 - client'!D3</f>
        <v>10000_1001_60;40000_50201050_1_1,40000_50202050_1_2,40000_50203051_1_3</v>
      </c>
      <c r="G7" s="1" t="s">
        <v>33</v>
      </c>
      <c r="H7" s="1" t="s">
        <v>31</v>
      </c>
      <c r="J7" s="1">
        <v>30</v>
      </c>
      <c r="M7" s="1" t="s">
        <v>27</v>
      </c>
    </row>
    <row r="8" spans="1:13">
      <c r="A8" s="1">
        <f>'礼包 - client'!A4</f>
        <v>2000003</v>
      </c>
      <c r="B8" s="1">
        <f>'礼包 - client'!C4</f>
        <v>2</v>
      </c>
      <c r="C8" s="1">
        <v>1000</v>
      </c>
      <c r="D8" s="1">
        <v>2000002</v>
      </c>
      <c r="E8" s="1">
        <v>2000004</v>
      </c>
      <c r="F8" s="1" t="str">
        <f>'礼包 - client'!D4</f>
        <v>10000_1001_100,30000_50001_10</v>
      </c>
      <c r="G8" s="1" t="s">
        <v>34</v>
      </c>
      <c r="H8" s="1" t="s">
        <v>31</v>
      </c>
      <c r="J8" s="1">
        <v>50</v>
      </c>
      <c r="M8" s="1" t="s">
        <v>27</v>
      </c>
    </row>
    <row r="9" spans="1:13">
      <c r="A9" s="1">
        <f>'礼包 - client'!A5</f>
        <v>2000004</v>
      </c>
      <c r="B9" s="1">
        <f>'礼包 - client'!C5</f>
        <v>2</v>
      </c>
      <c r="C9" s="1">
        <v>1500</v>
      </c>
      <c r="D9" s="1">
        <v>2000003</v>
      </c>
      <c r="E9" s="1">
        <v>2000005</v>
      </c>
      <c r="F9" s="1" t="str">
        <f>'礼包 - client'!D5</f>
        <v>10000_1002_500000,30000_41001_10</v>
      </c>
      <c r="G9" s="1" t="s">
        <v>35</v>
      </c>
      <c r="H9" s="1" t="s">
        <v>31</v>
      </c>
      <c r="J9" s="1">
        <v>110</v>
      </c>
      <c r="M9" s="1" t="s">
        <v>27</v>
      </c>
    </row>
    <row r="10" spans="1:13">
      <c r="A10" s="1">
        <f>'礼包 - client'!A6</f>
        <v>2000005</v>
      </c>
      <c r="B10" s="1">
        <f>'礼包 - client'!C6</f>
        <v>2</v>
      </c>
      <c r="C10" s="1">
        <v>2500</v>
      </c>
      <c r="D10" s="1">
        <v>2000004</v>
      </c>
      <c r="E10" s="1">
        <v>2000006</v>
      </c>
      <c r="F10" s="1" t="str">
        <f>'礼包 - client'!D6</f>
        <v>30000_10001_3,30000_30001_5</v>
      </c>
      <c r="G10" s="1" t="s">
        <v>36</v>
      </c>
      <c r="H10" s="1" t="s">
        <v>31</v>
      </c>
      <c r="J10" s="1">
        <v>230</v>
      </c>
      <c r="M10" s="1" t="s">
        <v>27</v>
      </c>
    </row>
    <row r="11" spans="1:13">
      <c r="A11" s="1">
        <f>'礼包 - client'!A7</f>
        <v>2000006</v>
      </c>
      <c r="B11" s="1">
        <f>'礼包 - client'!C7</f>
        <v>2</v>
      </c>
      <c r="C11" s="1">
        <v>4000</v>
      </c>
      <c r="D11" s="1">
        <v>2000005</v>
      </c>
      <c r="E11" s="1">
        <v>2000007</v>
      </c>
      <c r="F11" s="1" t="str">
        <f>'礼包 - client'!D7</f>
        <v>30000_50002_5,30001_41002_3</v>
      </c>
      <c r="G11" s="1" t="s">
        <v>37</v>
      </c>
      <c r="H11" s="1" t="s">
        <v>31</v>
      </c>
      <c r="J11" s="1">
        <v>600</v>
      </c>
      <c r="M11" s="1" t="s">
        <v>27</v>
      </c>
    </row>
    <row r="12" spans="1:13">
      <c r="A12" s="1">
        <f>'礼包 - client'!A8</f>
        <v>2000007</v>
      </c>
      <c r="B12" s="1">
        <f>'礼包 - client'!C8</f>
        <v>2</v>
      </c>
      <c r="C12" s="1">
        <v>6000</v>
      </c>
      <c r="D12" s="1">
        <v>2000006</v>
      </c>
      <c r="E12" s="1">
        <v>2000008</v>
      </c>
      <c r="F12" s="1" t="str">
        <f>'礼包 - client'!D8</f>
        <v>30000_30002_5,30000_10001_5</v>
      </c>
      <c r="G12" s="1"/>
      <c r="J12" s="1"/>
    </row>
    <row r="13" spans="1:13">
      <c r="A13" s="1">
        <f>'礼包 - client'!A9</f>
        <v>2000008</v>
      </c>
      <c r="B13" s="1">
        <f>'礼包 - client'!C9</f>
        <v>2</v>
      </c>
      <c r="C13" s="1">
        <v>8500</v>
      </c>
      <c r="D13" s="1">
        <v>2000007</v>
      </c>
      <c r="E13" s="1">
        <v>2000009</v>
      </c>
      <c r="F13" s="1" t="str">
        <f>'礼包 - client'!D9</f>
        <v>10000_1002_1000000,30000_60001_150</v>
      </c>
      <c r="G13" s="1"/>
      <c r="J13" s="1"/>
    </row>
    <row r="14" spans="1:13">
      <c r="A14" s="1">
        <f>'礼包 - client'!A10</f>
        <v>2000009</v>
      </c>
      <c r="B14" s="1">
        <f>'礼包 - client'!C10</f>
        <v>2</v>
      </c>
      <c r="C14" s="1">
        <v>11500</v>
      </c>
      <c r="D14" s="1">
        <v>2000008</v>
      </c>
      <c r="E14" s="1">
        <v>2000010</v>
      </c>
      <c r="F14" s="1" t="str">
        <f>'礼包 - client'!D10</f>
        <v>40000_50250022_1</v>
      </c>
      <c r="G14" s="1"/>
      <c r="J14" s="1"/>
    </row>
    <row r="15" spans="1:13">
      <c r="A15" s="1">
        <f>'礼包 - client'!A11</f>
        <v>2000010</v>
      </c>
      <c r="B15" s="1">
        <f>'礼包 - client'!C11</f>
        <v>2</v>
      </c>
      <c r="C15" s="1">
        <v>15000</v>
      </c>
      <c r="D15" s="1">
        <v>2000009</v>
      </c>
      <c r="E15" s="1">
        <v>2000011</v>
      </c>
      <c r="F15" s="1" t="str">
        <f>'礼包 - client'!D11</f>
        <v>10000_1002_1000000,30000_60001_250</v>
      </c>
      <c r="G15" s="1"/>
      <c r="J15" s="1"/>
    </row>
    <row r="16" spans="1:13">
      <c r="A16" s="1">
        <f>'礼包 - client'!A12</f>
        <v>2000011</v>
      </c>
      <c r="B16" s="1">
        <f>'礼包 - client'!C12</f>
        <v>2</v>
      </c>
      <c r="C16" s="1">
        <v>20000</v>
      </c>
      <c r="D16" s="1">
        <v>2000010</v>
      </c>
      <c r="E16" s="1">
        <v>2000012</v>
      </c>
      <c r="F16" s="1" t="str">
        <f>'礼包 - client'!D12</f>
        <v>30000_30003_3,40000_50300082_1</v>
      </c>
      <c r="G16" s="1"/>
      <c r="J16" s="1"/>
    </row>
    <row r="17" spans="1:13">
      <c r="A17" s="1">
        <f>'礼包 - client'!A13</f>
        <v>2000012</v>
      </c>
      <c r="B17" s="1">
        <f>'礼包 - client'!C13</f>
        <v>2</v>
      </c>
      <c r="C17" s="1">
        <v>30000</v>
      </c>
      <c r="D17" s="1">
        <v>2000011</v>
      </c>
      <c r="E17" s="1">
        <v>2000013</v>
      </c>
      <c r="F17" s="1" t="str">
        <f>'礼包 - client'!D13</f>
        <v>10000_1002_2500000,40000_50350102_1</v>
      </c>
      <c r="G17" s="1"/>
      <c r="J17" s="1"/>
    </row>
    <row r="18" spans="1:13">
      <c r="A18" s="1">
        <f>'礼包 - client'!A14</f>
        <v>2000013</v>
      </c>
      <c r="B18" s="1">
        <f>'礼包 - client'!C14</f>
        <v>2</v>
      </c>
      <c r="C18" s="1">
        <v>50000</v>
      </c>
      <c r="D18" s="1">
        <v>2000012</v>
      </c>
      <c r="E18" s="1">
        <v>2000014</v>
      </c>
      <c r="F18" s="1" t="str">
        <f>'礼包 - client'!D14</f>
        <v>30000_50003_10,30000_10001_10</v>
      </c>
      <c r="G18" s="1"/>
      <c r="J18" s="1"/>
    </row>
    <row r="19" spans="1:13">
      <c r="A19" s="1">
        <f>'礼包 - client'!A15</f>
        <v>2000014</v>
      </c>
      <c r="B19" s="1">
        <f>'礼包 - client'!C15</f>
        <v>2</v>
      </c>
      <c r="C19" s="1">
        <v>85000</v>
      </c>
      <c r="D19" s="1">
        <v>2000013</v>
      </c>
      <c r="E19" s="1">
        <v>2000015</v>
      </c>
      <c r="F19" s="1" t="str">
        <f>'礼包 - client'!D15</f>
        <v>30000_90001_10,30001_41002_15</v>
      </c>
      <c r="G19" s="1"/>
      <c r="J19" s="1"/>
    </row>
    <row r="20" spans="1:13">
      <c r="A20" s="1">
        <f>'礼包 - client'!A16</f>
        <v>2000015</v>
      </c>
      <c r="B20" s="1">
        <f>'礼包 - client'!C16</f>
        <v>2</v>
      </c>
      <c r="C20" s="1">
        <v>125000</v>
      </c>
      <c r="D20" s="1">
        <v>2000014</v>
      </c>
      <c r="E20" s="1">
        <v>-1</v>
      </c>
      <c r="F20" s="1" t="str">
        <f>'礼包 - client'!D16</f>
        <v>30000_30003_15,30000_10001_20</v>
      </c>
      <c r="G20" s="1"/>
      <c r="J20" s="1"/>
    </row>
    <row r="21" spans="1:13">
      <c r="A21" s="1">
        <f>'礼包 - client'!A17</f>
        <v>3000001</v>
      </c>
      <c r="B21" s="1">
        <f>'礼包 - client'!C17</f>
        <v>3</v>
      </c>
      <c r="C21" s="1">
        <v>1</v>
      </c>
      <c r="D21" s="1">
        <v>0</v>
      </c>
      <c r="E21" s="1">
        <v>3000002</v>
      </c>
      <c r="F21" s="1" t="str">
        <f>'礼包 - client'!D17</f>
        <v>10000_1001_20</v>
      </c>
      <c r="G21" s="1" t="s">
        <v>38</v>
      </c>
      <c r="H21" s="1" t="s">
        <v>31</v>
      </c>
      <c r="J21" s="7">
        <v>20</v>
      </c>
      <c r="M21" s="1" t="s">
        <v>28</v>
      </c>
    </row>
    <row r="22" spans="1:13">
      <c r="A22" s="1">
        <f>'礼包 - client'!A18</f>
        <v>3000002</v>
      </c>
      <c r="B22" s="1">
        <f>'礼包 - client'!C18</f>
        <v>3</v>
      </c>
      <c r="C22" s="1">
        <v>2</v>
      </c>
      <c r="D22" s="1">
        <v>3000001</v>
      </c>
      <c r="E22" s="1">
        <v>3000003</v>
      </c>
      <c r="F22" s="1" t="str">
        <f>'礼包 - client'!D18</f>
        <v>10000_1001_120</v>
      </c>
      <c r="G22" s="1" t="s">
        <v>39</v>
      </c>
      <c r="H22" s="1" t="s">
        <v>31</v>
      </c>
      <c r="J22" s="7">
        <v>120</v>
      </c>
      <c r="M22" s="1" t="s">
        <v>28</v>
      </c>
    </row>
    <row r="23" spans="1:13">
      <c r="A23" s="1">
        <f>'礼包 - client'!A19</f>
        <v>3000003</v>
      </c>
      <c r="B23" s="1">
        <f>'礼包 - client'!C19</f>
        <v>3</v>
      </c>
      <c r="C23" s="1">
        <v>3</v>
      </c>
      <c r="D23" s="1">
        <v>3000002</v>
      </c>
      <c r="E23" s="1">
        <v>3000004</v>
      </c>
      <c r="F23" s="1" t="str">
        <f>'礼包 - client'!D19</f>
        <v>10000_1001_20</v>
      </c>
      <c r="G23" s="1" t="s">
        <v>40</v>
      </c>
      <c r="H23" s="1" t="s">
        <v>31</v>
      </c>
      <c r="J23" s="6">
        <v>20</v>
      </c>
      <c r="M23" s="1" t="s">
        <v>28</v>
      </c>
    </row>
    <row r="24" spans="1:13">
      <c r="A24" s="1">
        <f>'礼包 - client'!A20</f>
        <v>3000004</v>
      </c>
      <c r="B24" s="1">
        <f>'礼包 - client'!C20</f>
        <v>3</v>
      </c>
      <c r="C24" s="1">
        <v>4</v>
      </c>
      <c r="D24" s="1">
        <v>3000003</v>
      </c>
      <c r="E24" s="1">
        <v>3000005</v>
      </c>
      <c r="F24" s="1" t="str">
        <f>'礼包 - client'!D20</f>
        <v>10000_1001_20</v>
      </c>
      <c r="G24" s="1" t="s">
        <v>41</v>
      </c>
      <c r="H24" s="1" t="s">
        <v>31</v>
      </c>
      <c r="J24" s="6">
        <v>20</v>
      </c>
      <c r="M24" s="1" t="s">
        <v>28</v>
      </c>
    </row>
    <row r="25" spans="1:13">
      <c r="A25" s="1">
        <f>'礼包 - client'!A21</f>
        <v>3000005</v>
      </c>
      <c r="B25" s="1">
        <f>'礼包 - client'!C21</f>
        <v>3</v>
      </c>
      <c r="C25" s="1">
        <v>5</v>
      </c>
      <c r="D25" s="1">
        <v>3000004</v>
      </c>
      <c r="E25" s="1">
        <v>3000006</v>
      </c>
      <c r="F25" s="1" t="str">
        <f>'礼包 - client'!D21</f>
        <v>10000_1001_125</v>
      </c>
      <c r="G25" s="1" t="s">
        <v>42</v>
      </c>
      <c r="H25" s="1" t="s">
        <v>31</v>
      </c>
      <c r="J25" s="6">
        <v>125</v>
      </c>
      <c r="M25" s="1" t="s">
        <v>28</v>
      </c>
    </row>
    <row r="26" spans="1:13">
      <c r="A26" s="1">
        <f>'礼包 - client'!A22</f>
        <v>3000006</v>
      </c>
      <c r="B26" s="1">
        <f>'礼包 - client'!C22</f>
        <v>3</v>
      </c>
      <c r="C26" s="1">
        <v>6</v>
      </c>
      <c r="D26" s="1">
        <v>3000005</v>
      </c>
      <c r="E26" s="1">
        <v>3000007</v>
      </c>
      <c r="F26" s="1" t="str">
        <f>'礼包 - client'!D22</f>
        <v>10000_1001_25</v>
      </c>
      <c r="G26" s="1" t="s">
        <v>43</v>
      </c>
      <c r="H26" s="1" t="s">
        <v>31</v>
      </c>
      <c r="J26" s="7">
        <v>25</v>
      </c>
      <c r="M26" s="1" t="s">
        <v>28</v>
      </c>
    </row>
    <row r="27" spans="1:13">
      <c r="A27" s="1">
        <f>'礼包 - client'!A23</f>
        <v>3000007</v>
      </c>
      <c r="B27" s="1">
        <f>'礼包 - client'!C23</f>
        <v>3</v>
      </c>
      <c r="C27" s="1">
        <v>7</v>
      </c>
      <c r="D27" s="1">
        <v>3000006</v>
      </c>
      <c r="E27" s="1">
        <v>3000008</v>
      </c>
      <c r="F27" s="1" t="str">
        <f>'礼包 - client'!D23</f>
        <v>10000_1001_25;40000_50301052_1_1,40000_50302052_1_2,40000_50303052_1_3</v>
      </c>
      <c r="G27" s="1" t="s">
        <v>44</v>
      </c>
      <c r="H27" s="1" t="s">
        <v>31</v>
      </c>
      <c r="J27" s="7">
        <v>25</v>
      </c>
      <c r="M27" s="1" t="s">
        <v>28</v>
      </c>
    </row>
    <row r="28" spans="1:13">
      <c r="A28" s="1">
        <f>'礼包 - client'!A24</f>
        <v>3000008</v>
      </c>
      <c r="B28" s="1">
        <f>'礼包 - client'!C24</f>
        <v>3</v>
      </c>
      <c r="C28" s="1">
        <v>8</v>
      </c>
      <c r="D28" s="1">
        <v>3000007</v>
      </c>
      <c r="E28" s="1">
        <v>3000009</v>
      </c>
      <c r="F28" s="1" t="str">
        <f>'礼包 - client'!D24</f>
        <v>10000_1001_125</v>
      </c>
      <c r="G28" s="1" t="s">
        <v>45</v>
      </c>
      <c r="H28" s="1" t="s">
        <v>31</v>
      </c>
      <c r="J28" s="6">
        <v>125</v>
      </c>
      <c r="M28" s="1" t="s">
        <v>28</v>
      </c>
    </row>
    <row r="29" spans="1:13">
      <c r="A29" s="1">
        <f>'礼包 - client'!A25</f>
        <v>3000009</v>
      </c>
      <c r="B29" s="1">
        <f>'礼包 - client'!C25</f>
        <v>3</v>
      </c>
      <c r="C29" s="1">
        <v>9</v>
      </c>
      <c r="D29" s="1">
        <v>3000008</v>
      </c>
      <c r="E29" s="1">
        <v>3000010</v>
      </c>
      <c r="F29" s="1" t="str">
        <f>'礼包 - client'!D25</f>
        <v>10000_1001_25</v>
      </c>
      <c r="G29" s="1" t="s">
        <v>46</v>
      </c>
      <c r="H29" s="1" t="s">
        <v>31</v>
      </c>
      <c r="J29" s="6">
        <v>25</v>
      </c>
      <c r="M29" s="1" t="s">
        <v>28</v>
      </c>
    </row>
    <row r="30" spans="1:13">
      <c r="A30" s="1">
        <f>'礼包 - client'!A26</f>
        <v>3000010</v>
      </c>
      <c r="B30" s="1">
        <f>'礼包 - client'!C26</f>
        <v>3</v>
      </c>
      <c r="C30" s="1">
        <v>10</v>
      </c>
      <c r="D30" s="1">
        <v>3000009</v>
      </c>
      <c r="E30" s="1">
        <v>3000011</v>
      </c>
      <c r="F30" s="1" t="str">
        <f>'礼包 - client'!D26</f>
        <v>10000_1001_25</v>
      </c>
      <c r="G30" s="1" t="s">
        <v>47</v>
      </c>
      <c r="H30" s="1" t="s">
        <v>31</v>
      </c>
      <c r="J30" s="6">
        <v>25</v>
      </c>
      <c r="M30" s="1" t="s">
        <v>28</v>
      </c>
    </row>
    <row r="31" spans="1:13">
      <c r="A31" s="1">
        <f>'礼包 - client'!A27</f>
        <v>3000011</v>
      </c>
      <c r="B31" s="1">
        <f>'礼包 - client'!C27</f>
        <v>3</v>
      </c>
      <c r="C31" s="1">
        <v>11</v>
      </c>
      <c r="D31" s="1">
        <v>3000010</v>
      </c>
      <c r="E31" s="1">
        <v>3000012</v>
      </c>
      <c r="F31" s="1" t="str">
        <f>'礼包 - client'!D27</f>
        <v>10000_1001_130</v>
      </c>
      <c r="G31" s="1" t="s">
        <v>48</v>
      </c>
      <c r="H31" s="1" t="s">
        <v>31</v>
      </c>
      <c r="J31" s="6">
        <v>130</v>
      </c>
      <c r="M31" s="1" t="s">
        <v>28</v>
      </c>
    </row>
    <row r="32" spans="1:13">
      <c r="A32" s="1">
        <f>'礼包 - client'!A28</f>
        <v>3000012</v>
      </c>
      <c r="B32" s="1">
        <f>'礼包 - client'!C28</f>
        <v>3</v>
      </c>
      <c r="C32" s="1">
        <v>12</v>
      </c>
      <c r="D32" s="1">
        <v>3000011</v>
      </c>
      <c r="E32" s="1">
        <v>3000013</v>
      </c>
      <c r="F32" s="1" t="str">
        <f>'礼包 - client'!D28</f>
        <v>10000_1001_30</v>
      </c>
      <c r="G32" s="1" t="s">
        <v>49</v>
      </c>
      <c r="H32" s="1" t="s">
        <v>31</v>
      </c>
      <c r="J32" s="6">
        <v>30</v>
      </c>
      <c r="M32" s="1" t="s">
        <v>28</v>
      </c>
    </row>
    <row r="33" spans="1:13">
      <c r="A33" s="1">
        <f>'礼包 - client'!A29</f>
        <v>3000013</v>
      </c>
      <c r="B33" s="1">
        <f>'礼包 - client'!C29</f>
        <v>3</v>
      </c>
      <c r="C33" s="1">
        <v>13</v>
      </c>
      <c r="D33" s="1">
        <v>3000012</v>
      </c>
      <c r="E33" s="1">
        <v>3000014</v>
      </c>
      <c r="F33" s="1" t="str">
        <f>'礼包 - client'!D29</f>
        <v>10000_1001_30</v>
      </c>
      <c r="G33" s="1" t="s">
        <v>50</v>
      </c>
      <c r="H33" s="1" t="s">
        <v>31</v>
      </c>
      <c r="J33" s="6">
        <v>30</v>
      </c>
      <c r="M33" s="1" t="s">
        <v>28</v>
      </c>
    </row>
    <row r="34" spans="1:13">
      <c r="A34" s="1">
        <f>'礼包 - client'!A30</f>
        <v>3000014</v>
      </c>
      <c r="B34" s="1">
        <f>'礼包 - client'!C30</f>
        <v>3</v>
      </c>
      <c r="C34" s="1">
        <v>14</v>
      </c>
      <c r="D34" s="1">
        <v>3000013</v>
      </c>
      <c r="E34" s="1">
        <v>3000015</v>
      </c>
      <c r="F34" s="1" t="str">
        <f>'礼包 - client'!D30</f>
        <v>10000_1001_135</v>
      </c>
      <c r="G34" s="1" t="s">
        <v>51</v>
      </c>
      <c r="H34" s="1" t="s">
        <v>31</v>
      </c>
      <c r="J34" s="6">
        <v>135</v>
      </c>
      <c r="M34" s="1" t="s">
        <v>28</v>
      </c>
    </row>
    <row r="35" spans="1:13">
      <c r="A35" s="1">
        <f>'礼包 - client'!A31</f>
        <v>3000015</v>
      </c>
      <c r="B35" s="1">
        <f>'礼包 - client'!C31</f>
        <v>3</v>
      </c>
      <c r="C35" s="1">
        <v>15</v>
      </c>
      <c r="D35" s="1">
        <v>3000014</v>
      </c>
      <c r="E35" s="1">
        <v>3000016</v>
      </c>
      <c r="F35" s="1" t="str">
        <f>'礼包 - client'!D31</f>
        <v>10000_1001_35</v>
      </c>
      <c r="G35" s="1" t="s">
        <v>110</v>
      </c>
      <c r="H35" s="1" t="s">
        <v>31</v>
      </c>
      <c r="J35" s="6">
        <v>35</v>
      </c>
      <c r="M35" s="1" t="s">
        <v>28</v>
      </c>
    </row>
    <row r="36" spans="1:13">
      <c r="A36" s="1">
        <f>'礼包 - client'!A32</f>
        <v>3000016</v>
      </c>
      <c r="B36" s="1">
        <f>'礼包 - client'!C32</f>
        <v>3</v>
      </c>
      <c r="C36" s="1">
        <v>16</v>
      </c>
      <c r="D36" s="1">
        <v>3000015</v>
      </c>
      <c r="E36" s="1">
        <v>3000017</v>
      </c>
      <c r="F36" s="1" t="str">
        <f>'礼包 - client'!D32</f>
        <v>10000_1001_35</v>
      </c>
      <c r="G36" s="1" t="s">
        <v>111</v>
      </c>
      <c r="H36" s="1" t="s">
        <v>31</v>
      </c>
      <c r="J36" s="7">
        <v>35</v>
      </c>
      <c r="M36" s="1" t="s">
        <v>28</v>
      </c>
    </row>
    <row r="37" spans="1:13">
      <c r="A37" s="1">
        <f>'礼包 - client'!A33</f>
        <v>3000017</v>
      </c>
      <c r="B37" s="1">
        <f>'礼包 - client'!C33</f>
        <v>3</v>
      </c>
      <c r="C37" s="1">
        <v>17</v>
      </c>
      <c r="D37" s="1">
        <v>3000016</v>
      </c>
      <c r="E37" s="1">
        <v>3000018</v>
      </c>
      <c r="F37" s="1" t="str">
        <f>'礼包 - client'!D33</f>
        <v>10000_1001_135</v>
      </c>
      <c r="G37" s="1" t="s">
        <v>112</v>
      </c>
      <c r="H37" s="1" t="s">
        <v>31</v>
      </c>
      <c r="J37" s="7">
        <v>135</v>
      </c>
      <c r="M37" s="1" t="s">
        <v>28</v>
      </c>
    </row>
    <row r="38" spans="1:13">
      <c r="A38" s="1">
        <f>'礼包 - client'!A34</f>
        <v>3000018</v>
      </c>
      <c r="B38" s="1">
        <f>'礼包 - client'!C34</f>
        <v>3</v>
      </c>
      <c r="C38" s="1">
        <v>18</v>
      </c>
      <c r="D38" s="1">
        <v>3000017</v>
      </c>
      <c r="E38" s="1">
        <v>3000019</v>
      </c>
      <c r="F38" s="1" t="str">
        <f>'礼包 - client'!D34</f>
        <v>10000_1001_35</v>
      </c>
      <c r="G38" s="1" t="s">
        <v>113</v>
      </c>
      <c r="H38" s="1" t="s">
        <v>31</v>
      </c>
      <c r="J38" s="7">
        <v>35</v>
      </c>
      <c r="M38" s="1" t="s">
        <v>28</v>
      </c>
    </row>
    <row r="39" spans="1:13">
      <c r="A39" s="1">
        <f>'礼包 - client'!A35</f>
        <v>3000019</v>
      </c>
      <c r="B39" s="1">
        <f>'礼包 - client'!C35</f>
        <v>3</v>
      </c>
      <c r="C39" s="1">
        <v>19</v>
      </c>
      <c r="D39" s="1">
        <v>3000018</v>
      </c>
      <c r="E39" s="1">
        <v>3000020</v>
      </c>
      <c r="F39" s="1" t="str">
        <f>'礼包 - client'!D35</f>
        <v>10000_1001_35</v>
      </c>
      <c r="G39" s="1" t="s">
        <v>114</v>
      </c>
      <c r="H39" s="1" t="s">
        <v>31</v>
      </c>
      <c r="J39" s="7">
        <v>35</v>
      </c>
      <c r="M39" s="1" t="s">
        <v>28</v>
      </c>
    </row>
    <row r="40" spans="1:13">
      <c r="A40" s="1">
        <f>'礼包 - client'!A36</f>
        <v>3000020</v>
      </c>
      <c r="B40" s="1">
        <f>'礼包 - client'!C36</f>
        <v>3</v>
      </c>
      <c r="C40" s="1">
        <v>20</v>
      </c>
      <c r="D40" s="1">
        <v>3000019</v>
      </c>
      <c r="E40" s="1">
        <v>3000021</v>
      </c>
      <c r="F40" s="1" t="str">
        <f>'礼包 - client'!D36</f>
        <v>10000_1001_140</v>
      </c>
      <c r="G40" s="1" t="s">
        <v>115</v>
      </c>
      <c r="H40" s="1" t="s">
        <v>31</v>
      </c>
      <c r="J40" s="7">
        <v>140</v>
      </c>
      <c r="M40" s="1" t="s">
        <v>28</v>
      </c>
    </row>
    <row r="41" spans="1:13">
      <c r="A41" s="1">
        <f>'礼包 - client'!A37</f>
        <v>3000021</v>
      </c>
      <c r="B41" s="1">
        <f>'礼包 - client'!C37</f>
        <v>3</v>
      </c>
      <c r="C41" s="1">
        <v>21</v>
      </c>
      <c r="D41" s="1">
        <v>3000020</v>
      </c>
      <c r="E41" s="1">
        <v>3000022</v>
      </c>
      <c r="F41" s="1" t="str">
        <f>'礼包 - client'!D37</f>
        <v>10000_1001_40</v>
      </c>
      <c r="G41" s="1" t="s">
        <v>116</v>
      </c>
      <c r="H41" s="1" t="s">
        <v>31</v>
      </c>
      <c r="J41" s="6">
        <v>40</v>
      </c>
      <c r="M41" s="1" t="s">
        <v>28</v>
      </c>
    </row>
    <row r="42" spans="1:13">
      <c r="A42" s="1">
        <f>'礼包 - client'!A38</f>
        <v>3000022</v>
      </c>
      <c r="B42" s="1">
        <f>'礼包 - client'!C38</f>
        <v>3</v>
      </c>
      <c r="C42" s="1">
        <v>22</v>
      </c>
      <c r="D42" s="1">
        <v>3000021</v>
      </c>
      <c r="E42" s="1">
        <v>3000023</v>
      </c>
      <c r="F42" s="1" t="str">
        <f>'礼包 - client'!D38</f>
        <v>10000_1001_40</v>
      </c>
      <c r="G42" s="1" t="s">
        <v>117</v>
      </c>
      <c r="H42" s="1" t="s">
        <v>31</v>
      </c>
      <c r="J42" s="6">
        <v>40</v>
      </c>
      <c r="M42" s="1" t="s">
        <v>28</v>
      </c>
    </row>
    <row r="43" spans="1:13">
      <c r="A43" s="1">
        <f>'礼包 - client'!A39</f>
        <v>3000023</v>
      </c>
      <c r="B43" s="1">
        <f>'礼包 - client'!C39</f>
        <v>3</v>
      </c>
      <c r="C43" s="1">
        <v>23</v>
      </c>
      <c r="D43" s="1">
        <v>3000022</v>
      </c>
      <c r="E43" s="1">
        <v>3000024</v>
      </c>
      <c r="F43" s="1" t="str">
        <f>'礼包 - client'!D39</f>
        <v>10000_1001_140</v>
      </c>
      <c r="G43" s="1" t="s">
        <v>118</v>
      </c>
      <c r="H43" s="1" t="s">
        <v>31</v>
      </c>
      <c r="J43" s="6">
        <v>140</v>
      </c>
      <c r="M43" s="1" t="s">
        <v>28</v>
      </c>
    </row>
    <row r="44" spans="1:13">
      <c r="A44" s="1">
        <f>'礼包 - client'!A40</f>
        <v>3000024</v>
      </c>
      <c r="B44" s="1">
        <f>'礼包 - client'!C40</f>
        <v>3</v>
      </c>
      <c r="C44" s="1">
        <v>24</v>
      </c>
      <c r="D44" s="1">
        <v>3000023</v>
      </c>
      <c r="E44" s="1">
        <v>3000025</v>
      </c>
      <c r="F44" s="1" t="str">
        <f>'礼包 - client'!D40</f>
        <v>10000_1001_45</v>
      </c>
      <c r="G44" s="1" t="s">
        <v>119</v>
      </c>
      <c r="H44" s="1" t="s">
        <v>31</v>
      </c>
      <c r="J44" s="6">
        <v>45</v>
      </c>
      <c r="M44" s="1" t="s">
        <v>28</v>
      </c>
    </row>
    <row r="45" spans="1:13">
      <c r="A45" s="1">
        <f>'礼包 - client'!A41</f>
        <v>3000025</v>
      </c>
      <c r="B45" s="1">
        <f>'礼包 - client'!C41</f>
        <v>3</v>
      </c>
      <c r="C45" s="1">
        <v>25</v>
      </c>
      <c r="D45" s="1">
        <v>3000024</v>
      </c>
      <c r="E45" s="1">
        <v>3000026</v>
      </c>
      <c r="F45" s="1" t="str">
        <f>'礼包 - client'!D41</f>
        <v>10000_1001_45</v>
      </c>
      <c r="G45" s="1" t="s">
        <v>120</v>
      </c>
      <c r="H45" s="1" t="s">
        <v>31</v>
      </c>
      <c r="J45" s="6">
        <v>45</v>
      </c>
      <c r="M45" s="1" t="s">
        <v>28</v>
      </c>
    </row>
    <row r="46" spans="1:13">
      <c r="A46" s="1">
        <f>'礼包 - client'!A42</f>
        <v>3000026</v>
      </c>
      <c r="B46" s="1">
        <f>'礼包 - client'!C42</f>
        <v>3</v>
      </c>
      <c r="C46" s="1">
        <v>26</v>
      </c>
      <c r="D46" s="1">
        <v>3000025</v>
      </c>
      <c r="E46" s="1">
        <v>3000027</v>
      </c>
      <c r="F46" s="1" t="str">
        <f>'礼包 - client'!D42</f>
        <v>10000_1001_145</v>
      </c>
      <c r="G46" s="1" t="s">
        <v>121</v>
      </c>
      <c r="H46" s="1" t="s">
        <v>31</v>
      </c>
      <c r="J46" s="7">
        <v>145</v>
      </c>
      <c r="M46" s="1" t="s">
        <v>28</v>
      </c>
    </row>
    <row r="47" spans="1:13">
      <c r="A47" s="1">
        <f>'礼包 - client'!A43</f>
        <v>3000027</v>
      </c>
      <c r="B47" s="1">
        <f>'礼包 - client'!C43</f>
        <v>3</v>
      </c>
      <c r="C47" s="1">
        <v>27</v>
      </c>
      <c r="D47" s="1">
        <v>3000026</v>
      </c>
      <c r="E47" s="1">
        <v>3000028</v>
      </c>
      <c r="F47" s="1" t="str">
        <f>'礼包 - client'!D43</f>
        <v>10000_1001_45</v>
      </c>
      <c r="G47" s="1" t="s">
        <v>122</v>
      </c>
      <c r="H47" s="1" t="s">
        <v>31</v>
      </c>
      <c r="J47" s="6">
        <v>45</v>
      </c>
      <c r="M47" s="1" t="s">
        <v>28</v>
      </c>
    </row>
    <row r="48" spans="1:13">
      <c r="A48" s="1">
        <f>'礼包 - client'!A44</f>
        <v>3000028</v>
      </c>
      <c r="B48" s="1">
        <f>'礼包 - client'!C44</f>
        <v>3</v>
      </c>
      <c r="C48" s="1">
        <v>28</v>
      </c>
      <c r="D48" s="1">
        <v>3000027</v>
      </c>
      <c r="E48" s="1">
        <v>3000029</v>
      </c>
      <c r="F48" s="1" t="str">
        <f>'礼包 - client'!D44</f>
        <v>10000_1001_45</v>
      </c>
      <c r="G48" s="1" t="s">
        <v>123</v>
      </c>
      <c r="H48" s="1" t="s">
        <v>31</v>
      </c>
      <c r="J48" s="6">
        <v>45</v>
      </c>
      <c r="M48" s="1" t="s">
        <v>28</v>
      </c>
    </row>
    <row r="49" spans="1:13">
      <c r="A49" s="1">
        <f>'礼包 - client'!A45</f>
        <v>3000029</v>
      </c>
      <c r="B49" s="1">
        <f>'礼包 - client'!C45</f>
        <v>3</v>
      </c>
      <c r="C49" s="1">
        <v>29</v>
      </c>
      <c r="D49" s="1">
        <v>3000028</v>
      </c>
      <c r="E49" s="1">
        <v>3000030</v>
      </c>
      <c r="F49" s="1" t="str">
        <f>'礼包 - client'!D45</f>
        <v>10000_1001_145</v>
      </c>
      <c r="G49" s="1" t="s">
        <v>124</v>
      </c>
      <c r="H49" s="1" t="s">
        <v>31</v>
      </c>
      <c r="J49" s="7">
        <v>145</v>
      </c>
      <c r="M49" s="1" t="s">
        <v>28</v>
      </c>
    </row>
    <row r="50" spans="1:13">
      <c r="A50" s="1">
        <f>'礼包 - client'!A46</f>
        <v>3000030</v>
      </c>
      <c r="B50" s="1">
        <f>'礼包 - client'!C46</f>
        <v>3</v>
      </c>
      <c r="C50" s="1">
        <v>30</v>
      </c>
      <c r="D50" s="1">
        <v>3000029</v>
      </c>
      <c r="E50" s="1">
        <v>-1</v>
      </c>
      <c r="F50" s="1" t="str">
        <f>'礼包 - client'!D46</f>
        <v>10000_1001_50</v>
      </c>
      <c r="G50" s="1" t="s">
        <v>125</v>
      </c>
      <c r="H50" s="1" t="s">
        <v>31</v>
      </c>
      <c r="J50" s="6">
        <v>50</v>
      </c>
      <c r="M50" s="1" t="s">
        <v>28</v>
      </c>
    </row>
    <row r="51" spans="1:13">
      <c r="A51" s="1">
        <f>'礼包 - client'!A47</f>
        <v>4000001</v>
      </c>
      <c r="B51" s="1">
        <f>'礼包 - client'!C47</f>
        <v>4</v>
      </c>
      <c r="C51" s="1">
        <v>1</v>
      </c>
      <c r="D51" s="1">
        <v>0</v>
      </c>
      <c r="E51" s="1">
        <v>4000002</v>
      </c>
      <c r="F51" s="1" t="str">
        <f>'礼包 - client'!D47</f>
        <v>10000_1001_10</v>
      </c>
      <c r="G51" s="1" t="s">
        <v>52</v>
      </c>
      <c r="H51" s="1" t="s">
        <v>31</v>
      </c>
      <c r="J51" s="8">
        <v>0</v>
      </c>
      <c r="K51" s="9">
        <v>1000</v>
      </c>
      <c r="M51" s="1" t="s">
        <v>6</v>
      </c>
    </row>
    <row r="52" spans="1:13">
      <c r="A52" s="1">
        <f>'礼包 - client'!A48</f>
        <v>4000002</v>
      </c>
      <c r="B52" s="1">
        <f>'礼包 - client'!C48</f>
        <v>4</v>
      </c>
      <c r="C52" s="1">
        <v>2</v>
      </c>
      <c r="D52" s="1">
        <v>4000001</v>
      </c>
      <c r="E52" s="1">
        <v>4000003</v>
      </c>
      <c r="F52" s="1" t="str">
        <f>'礼包 - client'!D48</f>
        <v>10000_1001_15</v>
      </c>
      <c r="G52" s="1" t="s">
        <v>53</v>
      </c>
      <c r="H52" s="1" t="s">
        <v>31</v>
      </c>
      <c r="J52" s="9">
        <v>10</v>
      </c>
      <c r="K52" s="8">
        <v>0</v>
      </c>
      <c r="M52" s="1" t="s">
        <v>6</v>
      </c>
    </row>
    <row r="53" spans="1:13">
      <c r="A53" s="1">
        <f>'礼包 - client'!A49</f>
        <v>4000003</v>
      </c>
      <c r="B53" s="1">
        <f>'礼包 - client'!C49</f>
        <v>4</v>
      </c>
      <c r="C53" s="1">
        <v>3</v>
      </c>
      <c r="D53" s="1">
        <v>4000002</v>
      </c>
      <c r="E53" s="1">
        <v>4000004</v>
      </c>
      <c r="F53" s="1" t="str">
        <f>'礼包 - client'!D49</f>
        <v>10000_1001_20</v>
      </c>
      <c r="G53" s="1" t="s">
        <v>54</v>
      </c>
      <c r="H53" s="1" t="s">
        <v>31</v>
      </c>
      <c r="J53" s="8">
        <v>0</v>
      </c>
      <c r="K53" s="8">
        <v>5000</v>
      </c>
      <c r="M53" s="1" t="s">
        <v>6</v>
      </c>
    </row>
    <row r="54" spans="1:13">
      <c r="A54" s="1">
        <f>'礼包 - client'!A50</f>
        <v>4000004</v>
      </c>
      <c r="B54" s="1">
        <f>'礼包 - client'!C50</f>
        <v>4</v>
      </c>
      <c r="C54" s="1">
        <v>4</v>
      </c>
      <c r="D54" s="1">
        <v>4000003</v>
      </c>
      <c r="E54" s="1">
        <v>4000005</v>
      </c>
      <c r="F54" s="1" t="str">
        <f>'礼包 - client'!D50</f>
        <v>10000_1001_25</v>
      </c>
      <c r="G54" s="1" t="s">
        <v>55</v>
      </c>
      <c r="H54" s="1" t="s">
        <v>31</v>
      </c>
      <c r="J54" s="8">
        <v>15</v>
      </c>
      <c r="K54" s="8">
        <v>10000</v>
      </c>
      <c r="M54" s="1" t="s">
        <v>6</v>
      </c>
    </row>
    <row r="55" spans="1:13">
      <c r="A55" s="1">
        <f>'礼包 - client'!A51</f>
        <v>4000005</v>
      </c>
      <c r="B55" s="1">
        <f>'礼包 - client'!C51</f>
        <v>4</v>
      </c>
      <c r="C55" s="1">
        <v>5</v>
      </c>
      <c r="D55" s="1">
        <v>4000004</v>
      </c>
      <c r="E55" s="1">
        <v>4000006</v>
      </c>
      <c r="F55" s="1" t="str">
        <f>'礼包 - client'!D51</f>
        <v>10000_1001_30</v>
      </c>
      <c r="G55" s="1" t="s">
        <v>56</v>
      </c>
      <c r="H55" s="1" t="s">
        <v>31</v>
      </c>
      <c r="J55" s="8">
        <v>20</v>
      </c>
      <c r="K55" s="8">
        <v>30000</v>
      </c>
      <c r="M55" s="1" t="s">
        <v>6</v>
      </c>
    </row>
    <row r="56" spans="1:13">
      <c r="A56" s="1">
        <f>'礼包 - client'!A52</f>
        <v>4000006</v>
      </c>
      <c r="B56" s="1">
        <f>'礼包 - client'!C52</f>
        <v>4</v>
      </c>
      <c r="C56" s="1">
        <v>6</v>
      </c>
      <c r="D56" s="1">
        <v>4000005</v>
      </c>
      <c r="E56" s="1">
        <v>4000007</v>
      </c>
      <c r="F56" s="1" t="str">
        <f>'礼包 - client'!D52</f>
        <v>10000_1001_35</v>
      </c>
      <c r="G56" s="1" t="s">
        <v>57</v>
      </c>
      <c r="H56" s="1" t="s">
        <v>31</v>
      </c>
      <c r="J56" s="8">
        <v>0</v>
      </c>
      <c r="K56" s="9">
        <v>42000</v>
      </c>
      <c r="M56" s="1" t="s">
        <v>6</v>
      </c>
    </row>
    <row r="57" spans="1:13">
      <c r="A57" s="1">
        <f>'礼包 - client'!A53</f>
        <v>4000007</v>
      </c>
      <c r="B57" s="1">
        <f>'礼包 - client'!C53</f>
        <v>4</v>
      </c>
      <c r="C57" s="1">
        <v>7</v>
      </c>
      <c r="D57" s="1">
        <v>4000006</v>
      </c>
      <c r="E57" s="1">
        <v>-1</v>
      </c>
      <c r="F57" s="1" t="str">
        <f>'礼包 - client'!D53</f>
        <v>10000_1001_40</v>
      </c>
      <c r="G57" s="1" t="s">
        <v>58</v>
      </c>
      <c r="H57" s="1" t="s">
        <v>31</v>
      </c>
      <c r="J57" s="9">
        <v>20</v>
      </c>
      <c r="K57" s="9">
        <v>42000</v>
      </c>
      <c r="M57" s="1" t="s">
        <v>6</v>
      </c>
    </row>
    <row r="58" spans="1:13">
      <c r="A58" s="1">
        <f>'礼包 - client'!A54</f>
        <v>5000001</v>
      </c>
      <c r="B58" s="1">
        <f>'礼包 - client'!C54</f>
        <v>5</v>
      </c>
      <c r="C58" s="3">
        <v>1001</v>
      </c>
      <c r="D58" s="1">
        <v>0</v>
      </c>
      <c r="E58" s="1">
        <v>5000002</v>
      </c>
      <c r="F58" s="1" t="str">
        <f>'礼包 - client'!D54</f>
        <v>10000_1001_30,30000_60001_10,10000_1009_1</v>
      </c>
      <c r="G58" s="1" t="s">
        <v>59</v>
      </c>
      <c r="H58" s="1" t="s">
        <v>31</v>
      </c>
      <c r="J58" s="8">
        <v>20</v>
      </c>
      <c r="K58" s="8">
        <v>45000</v>
      </c>
      <c r="M58" s="1" t="s">
        <v>6</v>
      </c>
    </row>
    <row r="59" spans="1:13">
      <c r="A59" s="1">
        <f>'礼包 - client'!A55</f>
        <v>5000002</v>
      </c>
      <c r="B59" s="1">
        <f>'礼包 - client'!C55</f>
        <v>5</v>
      </c>
      <c r="C59" s="3">
        <v>1002</v>
      </c>
      <c r="D59" s="1">
        <v>5000001</v>
      </c>
      <c r="E59" s="1">
        <v>5000003</v>
      </c>
      <c r="F59" s="1" t="str">
        <f>'礼包 - client'!D55</f>
        <v>10000_1001_30,30000_60001_10,10000_1009_1</v>
      </c>
      <c r="G59" s="1" t="s">
        <v>60</v>
      </c>
      <c r="H59" s="1" t="s">
        <v>31</v>
      </c>
      <c r="J59" s="8">
        <v>20</v>
      </c>
      <c r="K59" s="8">
        <v>50000</v>
      </c>
      <c r="M59" s="1" t="s">
        <v>6</v>
      </c>
    </row>
    <row r="60" spans="1:13">
      <c r="A60" s="1">
        <f>'礼包 - client'!A56</f>
        <v>5000003</v>
      </c>
      <c r="B60" s="1">
        <f>'礼包 - client'!C56</f>
        <v>5</v>
      </c>
      <c r="C60" s="3">
        <v>1003</v>
      </c>
      <c r="D60" s="1">
        <v>5000002</v>
      </c>
      <c r="E60" s="1">
        <v>5000004</v>
      </c>
      <c r="F60" s="1" t="str">
        <f>'礼包 - client'!D56</f>
        <v>10000_1001_30,30000_60001_10,10000_1009_1</v>
      </c>
      <c r="G60" s="1" t="s">
        <v>61</v>
      </c>
      <c r="H60" s="1" t="s">
        <v>31</v>
      </c>
      <c r="J60" s="8">
        <v>20</v>
      </c>
      <c r="K60" s="8">
        <v>60000</v>
      </c>
      <c r="M60" s="1" t="s">
        <v>6</v>
      </c>
    </row>
    <row r="61" spans="1:13">
      <c r="A61" s="1">
        <f>'礼包 - client'!A57</f>
        <v>5000004</v>
      </c>
      <c r="B61" s="1">
        <f>'礼包 - client'!C57</f>
        <v>5</v>
      </c>
      <c r="C61" s="3">
        <v>1004</v>
      </c>
      <c r="D61" s="1">
        <v>5000003</v>
      </c>
      <c r="E61" s="1">
        <v>5000005</v>
      </c>
      <c r="F61" s="1" t="str">
        <f>'礼包 - client'!D57</f>
        <v>10000_1001_30,30000_60001_10,10000_1009_1</v>
      </c>
      <c r="G61" s="1" t="s">
        <v>62</v>
      </c>
      <c r="H61" s="1" t="s">
        <v>31</v>
      </c>
      <c r="J61" s="8">
        <v>20</v>
      </c>
      <c r="K61" s="8">
        <v>62000</v>
      </c>
      <c r="M61" s="1" t="s">
        <v>6</v>
      </c>
    </row>
    <row r="62" spans="1:13">
      <c r="A62" s="1">
        <f>'礼包 - client'!A58</f>
        <v>5000005</v>
      </c>
      <c r="B62" s="1">
        <f>'礼包 - client'!C58</f>
        <v>5</v>
      </c>
      <c r="C62" s="3">
        <v>1005</v>
      </c>
      <c r="D62" s="1">
        <v>5000004</v>
      </c>
      <c r="E62" s="1">
        <v>5000006</v>
      </c>
      <c r="F62" s="1" t="str">
        <f>'礼包 - client'!D58</f>
        <v>10000_1001_45,30000_60001_20,10000_1009_1</v>
      </c>
      <c r="G62" s="1" t="s">
        <v>63</v>
      </c>
      <c r="H62" s="1" t="s">
        <v>31</v>
      </c>
      <c r="J62" s="8">
        <v>20</v>
      </c>
      <c r="K62" s="8">
        <v>66000</v>
      </c>
      <c r="M62" s="1" t="s">
        <v>6</v>
      </c>
    </row>
    <row r="63" spans="1:13">
      <c r="A63" s="1">
        <f>'礼包 - client'!A59</f>
        <v>5000006</v>
      </c>
      <c r="B63" s="1">
        <f>'礼包 - client'!C59</f>
        <v>5</v>
      </c>
      <c r="C63" s="3">
        <v>1006</v>
      </c>
      <c r="D63" s="1">
        <v>5000005</v>
      </c>
      <c r="E63" s="1">
        <v>5000007</v>
      </c>
      <c r="F63" s="1" t="str">
        <f>'礼包 - client'!D59</f>
        <v>10000_1001_45,30000_60001_20,10000_1009_1</v>
      </c>
      <c r="G63" s="1" t="s">
        <v>64</v>
      </c>
      <c r="H63" s="1" t="s">
        <v>31</v>
      </c>
      <c r="J63" s="8">
        <v>20</v>
      </c>
      <c r="K63" s="8">
        <v>68000</v>
      </c>
      <c r="M63" s="1" t="s">
        <v>6</v>
      </c>
    </row>
    <row r="64" spans="1:13">
      <c r="A64" s="1">
        <f>'礼包 - client'!A60</f>
        <v>5000007</v>
      </c>
      <c r="B64" s="1">
        <f>'礼包 - client'!C60</f>
        <v>5</v>
      </c>
      <c r="C64" s="3">
        <v>1007</v>
      </c>
      <c r="D64" s="1">
        <v>5000006</v>
      </c>
      <c r="E64" s="1">
        <v>5000008</v>
      </c>
      <c r="F64" s="1" t="str">
        <f>'礼包 - client'!D60</f>
        <v>10000_1001_45,30000_60001_20,10000_1009_1</v>
      </c>
      <c r="G64" s="1" t="s">
        <v>65</v>
      </c>
      <c r="H64" s="1" t="s">
        <v>31</v>
      </c>
      <c r="J64" s="8">
        <v>20</v>
      </c>
      <c r="K64" s="8">
        <v>70000</v>
      </c>
      <c r="M64" s="1" t="s">
        <v>6</v>
      </c>
    </row>
    <row r="65" spans="1:13">
      <c r="A65" s="1">
        <f>'礼包 - client'!A61</f>
        <v>5000008</v>
      </c>
      <c r="B65" s="1">
        <f>'礼包 - client'!C61</f>
        <v>5</v>
      </c>
      <c r="C65" s="3">
        <v>1008</v>
      </c>
      <c r="D65" s="1">
        <v>5000007</v>
      </c>
      <c r="E65" s="1">
        <v>5000009</v>
      </c>
      <c r="F65" s="1" t="str">
        <f>'礼包 - client'!D61</f>
        <v>10000_1001_45,30000_60001_20,10000_1009_1</v>
      </c>
      <c r="G65" s="1" t="s">
        <v>126</v>
      </c>
      <c r="H65" s="1" t="s">
        <v>31</v>
      </c>
      <c r="J65" s="8">
        <v>20</v>
      </c>
      <c r="K65" s="8">
        <v>70000</v>
      </c>
      <c r="M65" s="1" t="s">
        <v>6</v>
      </c>
    </row>
    <row r="66" spans="1:13">
      <c r="A66" s="1">
        <f>'礼包 - client'!A62</f>
        <v>5000009</v>
      </c>
      <c r="B66" s="1">
        <f>'礼包 - client'!C62</f>
        <v>5</v>
      </c>
      <c r="C66" s="3">
        <v>1009</v>
      </c>
      <c r="D66" s="1">
        <v>5000008</v>
      </c>
      <c r="E66" s="1">
        <v>5000010</v>
      </c>
      <c r="F66" s="1" t="str">
        <f>'礼包 - client'!D62</f>
        <v>10000_1001_60,30000_60001_30,10000_1009_1</v>
      </c>
      <c r="G66" s="1" t="s">
        <v>127</v>
      </c>
      <c r="H66" s="1" t="s">
        <v>31</v>
      </c>
      <c r="J66" s="9">
        <v>20</v>
      </c>
      <c r="K66" s="9">
        <v>72000</v>
      </c>
      <c r="M66" s="1" t="s">
        <v>6</v>
      </c>
    </row>
    <row r="67" spans="1:13">
      <c r="A67" s="1">
        <f>'礼包 - client'!A63</f>
        <v>5000010</v>
      </c>
      <c r="B67" s="1">
        <f>'礼包 - client'!C63</f>
        <v>5</v>
      </c>
      <c r="C67" s="3">
        <v>1010</v>
      </c>
      <c r="D67" s="1">
        <v>5000009</v>
      </c>
      <c r="E67" s="1">
        <v>5000011</v>
      </c>
      <c r="F67" s="1" t="str">
        <f>'礼包 - client'!D63</f>
        <v>10000_1001_60,30000_60001_30,10000_1009_1</v>
      </c>
      <c r="G67" s="1" t="s">
        <v>128</v>
      </c>
      <c r="H67" s="1" t="s">
        <v>31</v>
      </c>
      <c r="J67" s="9">
        <v>20</v>
      </c>
      <c r="K67" s="9">
        <v>72000</v>
      </c>
      <c r="M67" s="1" t="s">
        <v>6</v>
      </c>
    </row>
    <row r="68" spans="1:13">
      <c r="A68" s="1">
        <f>'礼包 - client'!A64</f>
        <v>5000011</v>
      </c>
      <c r="B68" s="1">
        <f>'礼包 - client'!C64</f>
        <v>5</v>
      </c>
      <c r="C68" s="3">
        <v>1011</v>
      </c>
      <c r="D68" s="1">
        <v>5000010</v>
      </c>
      <c r="E68" s="1">
        <v>5000012</v>
      </c>
      <c r="F68" s="1" t="str">
        <f>'礼包 - client'!D64</f>
        <v>10000_1001_60,30000_60001_30,10000_1009_1</v>
      </c>
      <c r="G68" s="1" t="s">
        <v>129</v>
      </c>
      <c r="H68" s="1" t="s">
        <v>31</v>
      </c>
      <c r="J68" s="9">
        <v>20</v>
      </c>
      <c r="K68" s="9">
        <v>74000</v>
      </c>
      <c r="M68" s="1" t="s">
        <v>6</v>
      </c>
    </row>
    <row r="69" spans="1:13">
      <c r="A69" s="1">
        <f>'礼包 - client'!A65</f>
        <v>5000012</v>
      </c>
      <c r="B69" s="1">
        <f>'礼包 - client'!C65</f>
        <v>5</v>
      </c>
      <c r="C69" s="3">
        <v>1012</v>
      </c>
      <c r="D69" s="1">
        <v>5000011</v>
      </c>
      <c r="E69" s="1">
        <v>5000013</v>
      </c>
      <c r="F69" s="1" t="str">
        <f>'礼包 - client'!D65</f>
        <v>10000_1001_60,30000_60001_30,10000_1009_1</v>
      </c>
      <c r="G69" s="1" t="s">
        <v>130</v>
      </c>
      <c r="H69" s="1" t="s">
        <v>31</v>
      </c>
      <c r="J69" s="9">
        <v>20</v>
      </c>
      <c r="K69" s="9">
        <v>76000</v>
      </c>
      <c r="M69" s="1" t="s">
        <v>6</v>
      </c>
    </row>
    <row r="70" spans="1:13">
      <c r="A70" s="1">
        <f>'礼包 - client'!A66</f>
        <v>5000013</v>
      </c>
      <c r="B70" s="1">
        <f>'礼包 - client'!C66</f>
        <v>5</v>
      </c>
      <c r="C70" s="3">
        <v>1013</v>
      </c>
      <c r="D70" s="1">
        <v>5000012</v>
      </c>
      <c r="E70" s="1">
        <v>5000014</v>
      </c>
      <c r="F70" s="1" t="str">
        <f>'礼包 - client'!D66</f>
        <v>10000_1001_75,30000_60001_40,10000_1009_1</v>
      </c>
      <c r="G70" s="1" t="s">
        <v>131</v>
      </c>
      <c r="H70" s="1" t="s">
        <v>31</v>
      </c>
      <c r="J70" s="9">
        <v>20</v>
      </c>
      <c r="K70" s="9">
        <v>88000</v>
      </c>
      <c r="M70" s="1" t="s">
        <v>6</v>
      </c>
    </row>
    <row r="71" spans="1:13">
      <c r="A71" s="1">
        <f>'礼包 - client'!A67</f>
        <v>5000014</v>
      </c>
      <c r="B71" s="1">
        <f>'礼包 - client'!C67</f>
        <v>5</v>
      </c>
      <c r="C71" s="3">
        <v>1014</v>
      </c>
      <c r="D71" s="1">
        <v>5000013</v>
      </c>
      <c r="E71" s="1">
        <v>5000015</v>
      </c>
      <c r="F71" s="1" t="str">
        <f>'礼包 - client'!D67</f>
        <v>10000_1001_75,30000_60001_40,10000_1009_1</v>
      </c>
      <c r="G71" s="1" t="s">
        <v>132</v>
      </c>
      <c r="H71" s="1" t="s">
        <v>31</v>
      </c>
      <c r="J71" s="8">
        <v>20</v>
      </c>
      <c r="K71" s="8">
        <v>88000</v>
      </c>
      <c r="M71" s="1" t="s">
        <v>6</v>
      </c>
    </row>
    <row r="72" spans="1:13">
      <c r="A72" s="1">
        <f>'礼包 - client'!A68</f>
        <v>5000015</v>
      </c>
      <c r="B72" s="1">
        <f>'礼包 - client'!C68</f>
        <v>5</v>
      </c>
      <c r="C72" s="3">
        <v>1015</v>
      </c>
      <c r="D72" s="1">
        <v>5000014</v>
      </c>
      <c r="E72" s="1">
        <v>5000016</v>
      </c>
      <c r="F72" s="1" t="str">
        <f>'礼包 - client'!D68</f>
        <v>10000_1001_75,30000_60001_40,10000_1009_1</v>
      </c>
      <c r="G72" s="1" t="s">
        <v>133</v>
      </c>
      <c r="H72" s="1" t="s">
        <v>31</v>
      </c>
      <c r="J72" s="8">
        <v>20</v>
      </c>
      <c r="K72" s="8">
        <v>90000</v>
      </c>
      <c r="M72" s="1" t="s">
        <v>6</v>
      </c>
    </row>
    <row r="73" spans="1:13">
      <c r="A73" s="1">
        <f>'礼包 - client'!A69</f>
        <v>5000016</v>
      </c>
      <c r="B73" s="1">
        <f>'礼包 - client'!C69</f>
        <v>5</v>
      </c>
      <c r="C73" s="3">
        <v>1016</v>
      </c>
      <c r="D73" s="1">
        <v>5000015</v>
      </c>
      <c r="E73" s="1">
        <v>5000017</v>
      </c>
      <c r="F73" s="1" t="str">
        <f>'礼包 - client'!D69</f>
        <v>10000_1001_75,30000_60001_40,10000_1009_1</v>
      </c>
      <c r="G73" s="1" t="s">
        <v>134</v>
      </c>
      <c r="H73" s="1" t="s">
        <v>31</v>
      </c>
      <c r="J73" s="8">
        <v>20</v>
      </c>
      <c r="K73" s="8">
        <v>92000</v>
      </c>
      <c r="M73" s="1" t="s">
        <v>6</v>
      </c>
    </row>
    <row r="74" spans="1:13">
      <c r="A74" s="1">
        <f>'礼包 - client'!A70</f>
        <v>5000017</v>
      </c>
      <c r="B74" s="1">
        <f>'礼包 - client'!C70</f>
        <v>5</v>
      </c>
      <c r="C74" s="3">
        <v>1017</v>
      </c>
      <c r="D74" s="1">
        <v>5000016</v>
      </c>
      <c r="E74" s="1">
        <v>5000018</v>
      </c>
      <c r="F74" s="1" t="str">
        <f>'礼包 - client'!D70</f>
        <v>10000_1001_90,30000_60001_50,10000_1009_1</v>
      </c>
      <c r="G74" s="1" t="s">
        <v>135</v>
      </c>
      <c r="H74" s="1" t="s">
        <v>31</v>
      </c>
      <c r="J74" s="8">
        <v>20</v>
      </c>
      <c r="K74" s="8">
        <v>94000</v>
      </c>
      <c r="M74" s="1" t="s">
        <v>6</v>
      </c>
    </row>
    <row r="75" spans="1:13">
      <c r="A75" s="1">
        <f>'礼包 - client'!A71</f>
        <v>5000018</v>
      </c>
      <c r="B75" s="1">
        <f>'礼包 - client'!C71</f>
        <v>5</v>
      </c>
      <c r="C75" s="3">
        <v>1018</v>
      </c>
      <c r="D75" s="1">
        <v>5000017</v>
      </c>
      <c r="E75" s="1">
        <v>5000019</v>
      </c>
      <c r="F75" s="1" t="str">
        <f>'礼包 - client'!D71</f>
        <v>10000_1001_90,30000_60001_50,10000_1009_1</v>
      </c>
      <c r="G75" s="1" t="s">
        <v>136</v>
      </c>
      <c r="H75" s="1" t="s">
        <v>31</v>
      </c>
      <c r="J75" s="8">
        <v>20</v>
      </c>
      <c r="K75" s="8">
        <v>100000</v>
      </c>
      <c r="M75" s="1" t="s">
        <v>6</v>
      </c>
    </row>
    <row r="76" spans="1:13">
      <c r="A76" s="1">
        <f>'礼包 - client'!A72</f>
        <v>5000019</v>
      </c>
      <c r="B76" s="1">
        <f>'礼包 - client'!C72</f>
        <v>5</v>
      </c>
      <c r="C76" s="3">
        <v>1019</v>
      </c>
      <c r="D76" s="1">
        <v>5000018</v>
      </c>
      <c r="E76" s="1">
        <v>5000020</v>
      </c>
      <c r="F76" s="1" t="str">
        <f>'礼包 - client'!D72</f>
        <v>10000_1001_90,30000_60001_50,10000_1009_1</v>
      </c>
      <c r="G76" s="1" t="s">
        <v>137</v>
      </c>
      <c r="H76" s="1" t="s">
        <v>31</v>
      </c>
      <c r="J76" s="9">
        <v>20</v>
      </c>
      <c r="K76" s="9">
        <v>128000</v>
      </c>
      <c r="M76" s="1" t="s">
        <v>6</v>
      </c>
    </row>
    <row r="77" spans="1:13">
      <c r="A77" s="1">
        <f>'礼包 - client'!A73</f>
        <v>5000020</v>
      </c>
      <c r="B77" s="1">
        <f>'礼包 - client'!C73</f>
        <v>5</v>
      </c>
      <c r="C77" s="3">
        <v>1020</v>
      </c>
      <c r="D77" s="1">
        <v>5000019</v>
      </c>
      <c r="E77" s="1">
        <v>5000021</v>
      </c>
      <c r="F77" s="1" t="str">
        <f>'礼包 - client'!D73</f>
        <v>10000_1001_90,30000_60001_50,10000_1009_1</v>
      </c>
      <c r="G77" s="1" t="s">
        <v>138</v>
      </c>
      <c r="H77" s="1" t="s">
        <v>31</v>
      </c>
      <c r="J77" s="8">
        <v>20</v>
      </c>
      <c r="K77" s="8">
        <v>128000</v>
      </c>
      <c r="M77" s="1" t="s">
        <v>6</v>
      </c>
    </row>
    <row r="78" spans="1:13">
      <c r="A78" s="1">
        <f>'礼包 - client'!A74</f>
        <v>5000021</v>
      </c>
      <c r="B78" s="1">
        <f>'礼包 - client'!C74</f>
        <v>5</v>
      </c>
      <c r="C78" s="3">
        <v>1021</v>
      </c>
      <c r="D78" s="1">
        <v>5000020</v>
      </c>
      <c r="E78" s="1">
        <v>5000022</v>
      </c>
      <c r="F78" s="1" t="str">
        <f>'礼包 - client'!D74</f>
        <v>10000_1001_115,30000_60001_60,10000_1009_1</v>
      </c>
      <c r="G78" s="1" t="s">
        <v>139</v>
      </c>
      <c r="H78" s="1" t="s">
        <v>31</v>
      </c>
      <c r="J78" s="8">
        <v>20</v>
      </c>
      <c r="K78" s="8">
        <v>120000</v>
      </c>
      <c r="M78" s="1" t="s">
        <v>6</v>
      </c>
    </row>
    <row r="79" spans="1:13">
      <c r="A79" s="1">
        <f>'礼包 - client'!A75</f>
        <v>5000022</v>
      </c>
      <c r="B79" s="1">
        <f>'礼包 - client'!C75</f>
        <v>5</v>
      </c>
      <c r="C79" s="3">
        <v>1022</v>
      </c>
      <c r="D79" s="1">
        <v>5000021</v>
      </c>
      <c r="E79" s="1">
        <v>5000023</v>
      </c>
      <c r="F79" s="1" t="str">
        <f>'礼包 - client'!D75</f>
        <v>10000_1001_115,30000_60001_60,10000_1009_1</v>
      </c>
      <c r="G79" s="1" t="s">
        <v>140</v>
      </c>
      <c r="H79" s="1" t="s">
        <v>31</v>
      </c>
      <c r="J79" s="9">
        <v>20</v>
      </c>
      <c r="K79" s="9">
        <v>116000</v>
      </c>
      <c r="M79" s="1" t="s">
        <v>6</v>
      </c>
    </row>
    <row r="80" spans="1:13">
      <c r="A80" s="1">
        <f>'礼包 - client'!A76</f>
        <v>5000023</v>
      </c>
      <c r="B80" s="1">
        <f>'礼包 - client'!C76</f>
        <v>5</v>
      </c>
      <c r="C80" s="3">
        <v>1023</v>
      </c>
      <c r="D80" s="1">
        <v>5000022</v>
      </c>
      <c r="E80" s="1">
        <v>5000024</v>
      </c>
      <c r="F80" s="1" t="str">
        <f>'礼包 - client'!D76</f>
        <v>10000_1001_135,30000_60001_80,10000_1009_1</v>
      </c>
      <c r="G80" s="1" t="s">
        <v>141</v>
      </c>
      <c r="H80" s="1" t="s">
        <v>31</v>
      </c>
      <c r="J80" s="8">
        <v>20</v>
      </c>
      <c r="K80" s="8">
        <v>110000</v>
      </c>
      <c r="M80" s="1" t="s">
        <v>6</v>
      </c>
    </row>
    <row r="81" spans="1:13">
      <c r="A81" s="1">
        <f>'礼包 - client'!A77</f>
        <v>5000024</v>
      </c>
      <c r="B81" s="1">
        <f>'礼包 - client'!C77</f>
        <v>5</v>
      </c>
      <c r="C81" s="3">
        <v>1024</v>
      </c>
      <c r="D81" s="1">
        <v>5000023</v>
      </c>
      <c r="E81" s="1">
        <v>5000025</v>
      </c>
      <c r="F81" s="1" t="str">
        <f>'礼包 - client'!D77</f>
        <v>10000_1001_135,30000_60001_80,10000_1009_1</v>
      </c>
      <c r="G81" s="1" t="s">
        <v>142</v>
      </c>
      <c r="H81" s="1" t="s">
        <v>31</v>
      </c>
      <c r="J81" s="8">
        <v>20</v>
      </c>
      <c r="K81" s="8">
        <v>110000</v>
      </c>
      <c r="M81" s="1" t="s">
        <v>6</v>
      </c>
    </row>
    <row r="82" spans="1:13">
      <c r="A82" s="1">
        <f>'礼包 - client'!A78</f>
        <v>5000025</v>
      </c>
      <c r="B82" s="1">
        <f>'礼包 - client'!C78</f>
        <v>5</v>
      </c>
      <c r="C82" s="3">
        <v>1025</v>
      </c>
      <c r="D82" s="1">
        <v>5000024</v>
      </c>
      <c r="E82" s="1">
        <v>5000026</v>
      </c>
      <c r="F82" s="1" t="str">
        <f>'礼包 - client'!D78</f>
        <v>10000_1001_150,30000_60001_100,10000_1009_1</v>
      </c>
      <c r="G82" s="1" t="s">
        <v>143</v>
      </c>
      <c r="H82" s="1" t="s">
        <v>31</v>
      </c>
      <c r="J82" s="8">
        <v>20</v>
      </c>
      <c r="K82" s="8">
        <v>110000</v>
      </c>
      <c r="M82" s="1" t="s">
        <v>6</v>
      </c>
    </row>
    <row r="83" spans="1:13">
      <c r="A83" s="1">
        <f>'礼包 - client'!A79</f>
        <v>5000026</v>
      </c>
      <c r="B83" s="1">
        <f>'礼包 - client'!C79</f>
        <v>5</v>
      </c>
      <c r="C83" s="3">
        <v>1026</v>
      </c>
      <c r="D83" s="1">
        <v>5000025</v>
      </c>
      <c r="E83" s="1">
        <v>5000027</v>
      </c>
      <c r="F83" s="1" t="str">
        <f>'礼包 - client'!D79</f>
        <v>10000_1001_150,30000_60001_100,10000_1009_1</v>
      </c>
      <c r="G83" s="1" t="s">
        <v>144</v>
      </c>
      <c r="H83" s="1" t="s">
        <v>31</v>
      </c>
      <c r="J83" s="8">
        <v>20</v>
      </c>
      <c r="K83" s="8">
        <v>110000</v>
      </c>
      <c r="M83" s="1" t="s">
        <v>6</v>
      </c>
    </row>
    <row r="84" spans="1:13">
      <c r="A84" s="1">
        <f>'礼包 - client'!A80</f>
        <v>5000027</v>
      </c>
      <c r="B84" s="1">
        <f>'礼包 - client'!C80</f>
        <v>5</v>
      </c>
      <c r="C84" s="3">
        <v>1027</v>
      </c>
      <c r="D84" s="1">
        <v>5000026</v>
      </c>
      <c r="E84" s="1">
        <v>5000028</v>
      </c>
      <c r="F84" s="1" t="str">
        <f>'礼包 - client'!D80</f>
        <v>10000_1001_175,30000_60001_120,10000_1009_1</v>
      </c>
      <c r="G84" s="1" t="s">
        <v>145</v>
      </c>
      <c r="H84" s="1" t="s">
        <v>31</v>
      </c>
      <c r="J84" s="8">
        <v>20</v>
      </c>
      <c r="K84" s="8">
        <v>110000</v>
      </c>
      <c r="M84" s="1" t="s">
        <v>6</v>
      </c>
    </row>
    <row r="85" spans="1:13">
      <c r="A85" s="1">
        <f>'礼包 - client'!A81</f>
        <v>5000028</v>
      </c>
      <c r="B85" s="1">
        <f>'礼包 - client'!C81</f>
        <v>5</v>
      </c>
      <c r="C85" s="3">
        <v>1028</v>
      </c>
      <c r="D85" s="1">
        <v>5000027</v>
      </c>
      <c r="E85" s="1">
        <v>5000029</v>
      </c>
      <c r="F85" s="1" t="str">
        <f>'礼包 - client'!D81</f>
        <v>10000_1001_175,30000_60001_120,10000_1009_1</v>
      </c>
      <c r="G85" s="1" t="s">
        <v>146</v>
      </c>
      <c r="H85" s="1" t="s">
        <v>31</v>
      </c>
      <c r="J85" s="8">
        <v>20</v>
      </c>
      <c r="K85" s="8">
        <v>110000</v>
      </c>
      <c r="M85" s="1" t="s">
        <v>6</v>
      </c>
    </row>
    <row r="86" spans="1:13">
      <c r="A86" s="1">
        <f>'礼包 - client'!A82</f>
        <v>5000029</v>
      </c>
      <c r="B86" s="1">
        <f>'礼包 - client'!C82</f>
        <v>5</v>
      </c>
      <c r="C86" s="3">
        <v>1029</v>
      </c>
      <c r="D86" s="1">
        <v>5000028</v>
      </c>
      <c r="E86" s="1">
        <v>5000030</v>
      </c>
      <c r="F86" s="1" t="str">
        <f>'礼包 - client'!D82</f>
        <v>10000_1001_190,30000_60001_140,10000_1009_1</v>
      </c>
      <c r="G86" s="1" t="s">
        <v>147</v>
      </c>
      <c r="H86" s="1" t="s">
        <v>31</v>
      </c>
      <c r="J86" s="8">
        <v>20</v>
      </c>
      <c r="K86" s="8">
        <v>120000</v>
      </c>
      <c r="M86" s="1" t="s">
        <v>6</v>
      </c>
    </row>
    <row r="87" spans="1:13">
      <c r="A87" s="1">
        <f>'礼包 - client'!A83</f>
        <v>5000030</v>
      </c>
      <c r="B87" s="1">
        <f>'礼包 - client'!C83</f>
        <v>5</v>
      </c>
      <c r="C87" s="3">
        <v>1030</v>
      </c>
      <c r="D87" s="1">
        <v>5000029</v>
      </c>
      <c r="E87" s="1">
        <v>5000031</v>
      </c>
      <c r="F87" s="1" t="str">
        <f>'礼包 - client'!D83</f>
        <v>10000_1001_190,30000_60001_140,10000_1009_1</v>
      </c>
      <c r="G87" s="1" t="s">
        <v>148</v>
      </c>
      <c r="H87" s="1" t="s">
        <v>31</v>
      </c>
      <c r="J87" s="8">
        <v>20</v>
      </c>
      <c r="K87" s="8">
        <v>120000</v>
      </c>
      <c r="M87" s="1" t="s">
        <v>6</v>
      </c>
    </row>
    <row r="88" spans="1:13">
      <c r="A88" s="1">
        <f>'礼包 - client'!A84</f>
        <v>5000031</v>
      </c>
      <c r="B88" s="1">
        <f>'礼包 - client'!C84</f>
        <v>5</v>
      </c>
      <c r="C88" s="3">
        <v>1031</v>
      </c>
      <c r="D88" s="1">
        <v>5000030</v>
      </c>
      <c r="E88" s="1">
        <v>5000032</v>
      </c>
      <c r="F88" s="1" t="str">
        <f>'礼包 - client'!D84</f>
        <v>10000_1001_205,30000_60001_160,10000_1009_1</v>
      </c>
      <c r="G88" s="1" t="s">
        <v>149</v>
      </c>
      <c r="H88" s="1" t="s">
        <v>31</v>
      </c>
      <c r="J88" s="8">
        <v>20</v>
      </c>
      <c r="K88" s="8">
        <v>120000</v>
      </c>
      <c r="M88" s="1" t="s">
        <v>6</v>
      </c>
    </row>
    <row r="89" spans="1:13">
      <c r="A89" s="1">
        <f>'礼包 - client'!A85</f>
        <v>5000032</v>
      </c>
      <c r="B89" s="1">
        <f>'礼包 - client'!C85</f>
        <v>5</v>
      </c>
      <c r="C89" s="3">
        <v>1032</v>
      </c>
      <c r="D89" s="1">
        <v>5000031</v>
      </c>
      <c r="E89" s="1">
        <v>5000033</v>
      </c>
      <c r="F89" s="1" t="str">
        <f>'礼包 - client'!D85</f>
        <v>10000_1001_205,30000_60001_160,10000_1009_1</v>
      </c>
      <c r="G89" s="1" t="s">
        <v>150</v>
      </c>
      <c r="H89" s="1" t="s">
        <v>31</v>
      </c>
      <c r="J89" s="8">
        <v>20</v>
      </c>
      <c r="K89" s="8">
        <v>120000</v>
      </c>
      <c r="M89" s="1" t="s">
        <v>6</v>
      </c>
    </row>
    <row r="90" spans="1:13">
      <c r="A90" s="1">
        <f>'礼包 - client'!A86</f>
        <v>5000033</v>
      </c>
      <c r="B90" s="1">
        <f>'礼包 - client'!C86</f>
        <v>5</v>
      </c>
      <c r="C90" s="3">
        <v>1033</v>
      </c>
      <c r="D90" s="1">
        <v>5000032</v>
      </c>
      <c r="E90" s="1">
        <v>5000034</v>
      </c>
      <c r="F90" s="1" t="str">
        <f>'礼包 - client'!D86</f>
        <v>10000_1001_220,30000_60001_180,10000_1009_1</v>
      </c>
      <c r="G90" s="1" t="s">
        <v>151</v>
      </c>
      <c r="H90" s="1" t="s">
        <v>31</v>
      </c>
      <c r="J90" s="8">
        <v>20</v>
      </c>
      <c r="K90" s="8">
        <v>120000</v>
      </c>
      <c r="M90" s="1" t="s">
        <v>6</v>
      </c>
    </row>
    <row r="91" spans="1:13">
      <c r="A91" s="1">
        <f>'礼包 - client'!A87</f>
        <v>5000034</v>
      </c>
      <c r="B91" s="1">
        <f>'礼包 - client'!C87</f>
        <v>5</v>
      </c>
      <c r="C91" s="3">
        <v>1034</v>
      </c>
      <c r="D91" s="1">
        <v>5000033</v>
      </c>
      <c r="E91" s="1">
        <v>5000035</v>
      </c>
      <c r="F91" s="1" t="str">
        <f>'礼包 - client'!D87</f>
        <v>10000_1001_220,30000_60001_180,10000_1009_1</v>
      </c>
      <c r="G91" s="1" t="s">
        <v>152</v>
      </c>
      <c r="H91" s="1" t="s">
        <v>31</v>
      </c>
      <c r="J91" s="8">
        <v>20</v>
      </c>
      <c r="K91" s="8">
        <v>120000</v>
      </c>
      <c r="M91" s="1" t="s">
        <v>6</v>
      </c>
    </row>
    <row r="92" spans="1:13">
      <c r="A92" s="1">
        <f>'礼包 - client'!A88</f>
        <v>5000035</v>
      </c>
      <c r="B92" s="1">
        <f>'礼包 - client'!C88</f>
        <v>5</v>
      </c>
      <c r="C92" s="3">
        <v>1035</v>
      </c>
      <c r="D92" s="1">
        <v>5000034</v>
      </c>
      <c r="E92" s="1">
        <v>5000036</v>
      </c>
      <c r="F92" s="1" t="str">
        <f>'礼包 - client'!D88</f>
        <v>10000_1001_235,30000_60001_200,10000_1009_1</v>
      </c>
      <c r="G92" s="1" t="s">
        <v>153</v>
      </c>
      <c r="H92" s="1" t="s">
        <v>31</v>
      </c>
      <c r="J92" s="8">
        <v>20</v>
      </c>
      <c r="K92" s="8">
        <v>120000</v>
      </c>
      <c r="M92" s="1" t="s">
        <v>6</v>
      </c>
    </row>
    <row r="93" spans="1:13">
      <c r="A93" s="1">
        <f>'礼包 - client'!A89</f>
        <v>5000036</v>
      </c>
      <c r="B93" s="1">
        <f>'礼包 - client'!C89</f>
        <v>5</v>
      </c>
      <c r="C93" s="3">
        <v>1036</v>
      </c>
      <c r="D93" s="1">
        <v>5000035</v>
      </c>
      <c r="E93" s="1">
        <v>5000037</v>
      </c>
      <c r="F93" s="1" t="str">
        <f>'礼包 - client'!D89</f>
        <v>10000_1001_240,30000_60001_200,10000_1009_1</v>
      </c>
      <c r="G93" s="1" t="s">
        <v>154</v>
      </c>
      <c r="H93" s="1" t="s">
        <v>31</v>
      </c>
      <c r="J93" s="8">
        <v>20</v>
      </c>
      <c r="K93" s="8">
        <v>120000</v>
      </c>
      <c r="M93" s="1" t="s">
        <v>6</v>
      </c>
    </row>
    <row r="94" spans="1:13">
      <c r="A94" s="1">
        <f>'礼包 - client'!A90</f>
        <v>5000037</v>
      </c>
      <c r="B94" s="1">
        <f>'礼包 - client'!C90</f>
        <v>5</v>
      </c>
      <c r="C94" s="3">
        <v>1037</v>
      </c>
      <c r="D94" s="1">
        <v>5000036</v>
      </c>
      <c r="E94" s="1">
        <v>5000038</v>
      </c>
      <c r="F94" s="1" t="str">
        <f>'礼包 - client'!D90</f>
        <v>10000_1001_245,30000_60001_200,10000_1009_1</v>
      </c>
      <c r="G94" s="1" t="s">
        <v>155</v>
      </c>
      <c r="H94" s="1" t="s">
        <v>31</v>
      </c>
      <c r="J94" s="9">
        <v>20</v>
      </c>
      <c r="K94" s="9">
        <v>124000</v>
      </c>
      <c r="M94" s="1" t="s">
        <v>6</v>
      </c>
    </row>
    <row r="95" spans="1:13">
      <c r="A95" s="1">
        <f>'礼包 - client'!A91</f>
        <v>5000038</v>
      </c>
      <c r="B95" s="1">
        <f>'礼包 - client'!C91</f>
        <v>5</v>
      </c>
      <c r="C95" s="3">
        <v>1038</v>
      </c>
      <c r="D95" s="1">
        <v>5000037</v>
      </c>
      <c r="E95" s="1">
        <v>5000039</v>
      </c>
      <c r="F95" s="1" t="str">
        <f>'礼包 - client'!D91</f>
        <v>10000_1001_250,30000_60001_200,10000_1009_1</v>
      </c>
      <c r="G95" s="1" t="s">
        <v>156</v>
      </c>
      <c r="H95" s="1" t="s">
        <v>31</v>
      </c>
      <c r="J95" s="8">
        <v>20</v>
      </c>
      <c r="K95" s="8">
        <v>128000</v>
      </c>
      <c r="M95" s="1" t="s">
        <v>6</v>
      </c>
    </row>
    <row r="96" spans="1:13">
      <c r="A96" s="1">
        <f>'礼包 - client'!A92</f>
        <v>5000039</v>
      </c>
      <c r="B96" s="1">
        <f>'礼包 - client'!C92</f>
        <v>5</v>
      </c>
      <c r="C96" s="3">
        <v>1039</v>
      </c>
      <c r="D96" s="1">
        <v>5000038</v>
      </c>
      <c r="E96" s="1">
        <v>5000040</v>
      </c>
      <c r="F96" s="1" t="str">
        <f>'礼包 - client'!D92</f>
        <v>10000_1001_255,30000_60001_200,10000_1009_1</v>
      </c>
      <c r="G96" s="1" t="s">
        <v>157</v>
      </c>
      <c r="H96" s="1" t="s">
        <v>31</v>
      </c>
      <c r="J96" s="8">
        <v>20</v>
      </c>
      <c r="K96" s="8">
        <v>128000</v>
      </c>
      <c r="M96" s="1" t="s">
        <v>6</v>
      </c>
    </row>
    <row r="97" spans="1:13">
      <c r="A97" s="1">
        <f>'礼包 - client'!A93</f>
        <v>5000040</v>
      </c>
      <c r="B97" s="1">
        <f>'礼包 - client'!C93</f>
        <v>5</v>
      </c>
      <c r="C97" s="3">
        <v>1040</v>
      </c>
      <c r="D97" s="1">
        <v>5000039</v>
      </c>
      <c r="E97" s="1">
        <v>5000041</v>
      </c>
      <c r="F97" s="1" t="str">
        <f>'礼包 - client'!D93</f>
        <v>10000_1001_260,30000_60001_200,10000_1009_1</v>
      </c>
      <c r="G97" s="1" t="s">
        <v>158</v>
      </c>
      <c r="H97" s="1" t="s">
        <v>31</v>
      </c>
      <c r="J97" s="8">
        <v>20</v>
      </c>
      <c r="K97" s="8">
        <v>128000</v>
      </c>
      <c r="M97" s="1" t="s">
        <v>6</v>
      </c>
    </row>
    <row r="98" spans="1:13">
      <c r="A98" s="1">
        <f>'礼包 - client'!A94</f>
        <v>5000041</v>
      </c>
      <c r="B98" s="1">
        <f>'礼包 - client'!C94</f>
        <v>5</v>
      </c>
      <c r="C98" s="3">
        <v>1041</v>
      </c>
      <c r="D98" s="1">
        <v>5000040</v>
      </c>
      <c r="E98" s="1">
        <v>5000042</v>
      </c>
      <c r="F98" s="1" t="str">
        <f>'礼包 - client'!D94</f>
        <v>10000_1001_265,30000_60001_200,10000_1009_1</v>
      </c>
      <c r="G98" s="1" t="s">
        <v>159</v>
      </c>
      <c r="H98" s="1" t="s">
        <v>31</v>
      </c>
      <c r="J98" s="8">
        <v>20</v>
      </c>
      <c r="K98" s="8">
        <v>128000</v>
      </c>
      <c r="M98" s="1" t="s">
        <v>6</v>
      </c>
    </row>
    <row r="99" spans="1:13">
      <c r="A99" s="1">
        <f>'礼包 - client'!A95</f>
        <v>5000042</v>
      </c>
      <c r="B99" s="1">
        <f>'礼包 - client'!C95</f>
        <v>5</v>
      </c>
      <c r="C99" s="3">
        <v>1042</v>
      </c>
      <c r="D99" s="1">
        <v>5000041</v>
      </c>
      <c r="E99" s="1">
        <v>5000043</v>
      </c>
      <c r="F99" s="1" t="str">
        <f>'礼包 - client'!D95</f>
        <v>10000_1001_270,30000_60001_200,10000_1009_1</v>
      </c>
      <c r="G99" s="1" t="s">
        <v>160</v>
      </c>
      <c r="H99" s="1" t="s">
        <v>31</v>
      </c>
      <c r="J99" s="8">
        <v>20</v>
      </c>
      <c r="K99" s="8">
        <v>130000</v>
      </c>
      <c r="M99" s="1" t="s">
        <v>6</v>
      </c>
    </row>
    <row r="100" spans="1:13">
      <c r="A100" s="1">
        <f>'礼包 - client'!A96</f>
        <v>5000043</v>
      </c>
      <c r="B100" s="1">
        <f>'礼包 - client'!C96</f>
        <v>5</v>
      </c>
      <c r="C100" s="3">
        <v>1043</v>
      </c>
      <c r="D100" s="1">
        <v>5000042</v>
      </c>
      <c r="E100" s="1">
        <v>5000044</v>
      </c>
      <c r="F100" s="1" t="str">
        <f>'礼包 - client'!D96</f>
        <v>10000_1001_275,30000_60001_200,10000_1009_1</v>
      </c>
      <c r="G100" s="1" t="s">
        <v>161</v>
      </c>
      <c r="H100" s="1" t="s">
        <v>31</v>
      </c>
      <c r="J100" s="8">
        <v>20</v>
      </c>
      <c r="K100" s="8">
        <v>130000</v>
      </c>
      <c r="M100" s="1" t="s">
        <v>6</v>
      </c>
    </row>
    <row r="101" spans="1:13">
      <c r="A101" s="1">
        <f>'礼包 - client'!A97</f>
        <v>5000044</v>
      </c>
      <c r="B101" s="1">
        <f>'礼包 - client'!C97</f>
        <v>5</v>
      </c>
      <c r="C101" s="3">
        <v>1044</v>
      </c>
      <c r="D101" s="1">
        <v>5000043</v>
      </c>
      <c r="E101" s="1">
        <v>5000045</v>
      </c>
      <c r="F101" s="1" t="str">
        <f>'礼包 - client'!D97</f>
        <v>10000_1001_280,30000_60001_200,10000_1009_1</v>
      </c>
      <c r="G101" s="1" t="s">
        <v>162</v>
      </c>
      <c r="H101" s="1" t="s">
        <v>31</v>
      </c>
      <c r="J101" s="8">
        <v>20</v>
      </c>
      <c r="K101" s="8">
        <v>130000</v>
      </c>
      <c r="M101" s="1" t="s">
        <v>6</v>
      </c>
    </row>
    <row r="102" spans="1:13">
      <c r="A102" s="1">
        <f>'礼包 - client'!A98</f>
        <v>5000045</v>
      </c>
      <c r="B102" s="1">
        <f>'礼包 - client'!C98</f>
        <v>5</v>
      </c>
      <c r="C102" s="3">
        <v>1045</v>
      </c>
      <c r="D102" s="1">
        <v>5000044</v>
      </c>
      <c r="E102" s="1">
        <v>5000046</v>
      </c>
      <c r="F102" s="1" t="str">
        <f>'礼包 - client'!D98</f>
        <v>10000_1001_285,30000_60001_200,10000_1009_1</v>
      </c>
      <c r="G102" s="1" t="s">
        <v>163</v>
      </c>
      <c r="H102" s="1" t="s">
        <v>31</v>
      </c>
      <c r="J102" s="8">
        <v>20</v>
      </c>
      <c r="K102" s="8">
        <v>130000</v>
      </c>
      <c r="M102" s="1" t="s">
        <v>6</v>
      </c>
    </row>
    <row r="103" spans="1:13">
      <c r="A103" s="1">
        <f>'礼包 - client'!A99</f>
        <v>5000046</v>
      </c>
      <c r="B103" s="1">
        <f>'礼包 - client'!C99</f>
        <v>5</v>
      </c>
      <c r="C103" s="3">
        <v>1046</v>
      </c>
      <c r="D103" s="1">
        <v>5000045</v>
      </c>
      <c r="E103" s="1">
        <v>5000047</v>
      </c>
      <c r="F103" s="1" t="str">
        <f>'礼包 - client'!D99</f>
        <v>10000_1001_290,30000_60001_200,10000_1009_1</v>
      </c>
      <c r="G103" s="1" t="s">
        <v>164</v>
      </c>
      <c r="H103" s="1" t="s">
        <v>31</v>
      </c>
      <c r="J103" s="8">
        <v>20</v>
      </c>
      <c r="K103" s="8">
        <v>130000</v>
      </c>
      <c r="M103" s="1" t="s">
        <v>6</v>
      </c>
    </row>
    <row r="104" spans="1:13">
      <c r="A104" s="1">
        <f>'礼包 - client'!A100</f>
        <v>5000047</v>
      </c>
      <c r="B104" s="1">
        <f>'礼包 - client'!C100</f>
        <v>5</v>
      </c>
      <c r="C104" s="3">
        <v>1047</v>
      </c>
      <c r="D104" s="1">
        <v>5000046</v>
      </c>
      <c r="E104" s="1">
        <v>5000048</v>
      </c>
      <c r="F104" s="1" t="str">
        <f>'礼包 - client'!D100</f>
        <v>10000_1001_295,30000_60001_200,10000_1009_1</v>
      </c>
      <c r="G104" s="1" t="s">
        <v>165</v>
      </c>
      <c r="H104" s="1" t="s">
        <v>31</v>
      </c>
      <c r="J104" s="8">
        <v>20</v>
      </c>
      <c r="K104" s="8">
        <v>130000</v>
      </c>
      <c r="M104" s="1" t="s">
        <v>6</v>
      </c>
    </row>
    <row r="105" spans="1:13">
      <c r="A105" s="1">
        <f>'礼包 - client'!A101</f>
        <v>5000048</v>
      </c>
      <c r="B105" s="1">
        <f>'礼包 - client'!C101</f>
        <v>5</v>
      </c>
      <c r="C105" s="3">
        <v>1048</v>
      </c>
      <c r="D105" s="1">
        <v>5000047</v>
      </c>
      <c r="E105" s="1">
        <v>5000049</v>
      </c>
      <c r="F105" s="1" t="str">
        <f>'礼包 - client'!D101</f>
        <v>10000_1001_300,30000_60001_200,10000_1009_1</v>
      </c>
      <c r="G105" s="1" t="s">
        <v>166</v>
      </c>
      <c r="H105" s="1" t="s">
        <v>31</v>
      </c>
      <c r="J105" s="8">
        <v>20</v>
      </c>
      <c r="K105" s="8">
        <v>140000</v>
      </c>
      <c r="M105" s="1" t="s">
        <v>6</v>
      </c>
    </row>
    <row r="106" spans="1:13">
      <c r="A106" s="1">
        <f>'礼包 - client'!A102</f>
        <v>5000049</v>
      </c>
      <c r="B106" s="1">
        <f>'礼包 - client'!C102</f>
        <v>5</v>
      </c>
      <c r="C106" s="3">
        <v>1049</v>
      </c>
      <c r="D106" s="1">
        <v>5000048</v>
      </c>
      <c r="E106" s="1">
        <v>5000050</v>
      </c>
      <c r="F106" s="1" t="str">
        <f>'礼包 - client'!D102</f>
        <v>10000_1001_305,30000_60001_200,10000_1009_1</v>
      </c>
      <c r="G106" s="1" t="s">
        <v>167</v>
      </c>
      <c r="H106" s="1" t="s">
        <v>31</v>
      </c>
      <c r="J106" s="8">
        <v>20</v>
      </c>
      <c r="K106" s="8">
        <v>140000</v>
      </c>
      <c r="M106" s="1" t="s">
        <v>6</v>
      </c>
    </row>
    <row r="107" spans="1:13">
      <c r="A107" s="1">
        <f>'礼包 - client'!A103</f>
        <v>5000050</v>
      </c>
      <c r="B107" s="1">
        <f>'礼包 - client'!C103</f>
        <v>5</v>
      </c>
      <c r="C107" s="3">
        <v>1050</v>
      </c>
      <c r="D107" s="1">
        <v>5000049</v>
      </c>
      <c r="E107" s="1">
        <v>5000051</v>
      </c>
      <c r="F107" s="1" t="str">
        <f>'礼包 - client'!D103</f>
        <v>10000_1001_310,30000_60001_200,10000_1009_1</v>
      </c>
      <c r="G107" s="1" t="s">
        <v>168</v>
      </c>
      <c r="H107" s="1" t="s">
        <v>31</v>
      </c>
      <c r="J107" s="8">
        <v>20</v>
      </c>
      <c r="K107" s="8">
        <v>140000</v>
      </c>
      <c r="M107" s="1" t="s">
        <v>6</v>
      </c>
    </row>
    <row r="108" spans="1:13">
      <c r="A108" s="1">
        <f>'礼包 - client'!A104</f>
        <v>5000051</v>
      </c>
      <c r="B108" s="1">
        <f>'礼包 - client'!C104</f>
        <v>5</v>
      </c>
      <c r="C108" s="3">
        <v>1051</v>
      </c>
      <c r="D108" s="1">
        <v>5000050</v>
      </c>
      <c r="E108" s="1">
        <v>5000052</v>
      </c>
      <c r="F108" s="1" t="str">
        <f>'礼包 - client'!D104</f>
        <v>10000_1001_315,30000_60001_200,10000_1009_1</v>
      </c>
      <c r="G108" s="1" t="s">
        <v>169</v>
      </c>
      <c r="H108" s="1" t="s">
        <v>31</v>
      </c>
      <c r="J108" s="8">
        <v>20</v>
      </c>
      <c r="K108" s="8">
        <v>140000</v>
      </c>
      <c r="M108" s="1" t="s">
        <v>6</v>
      </c>
    </row>
    <row r="109" spans="1:13">
      <c r="A109" s="1">
        <f>'礼包 - client'!A105</f>
        <v>5000052</v>
      </c>
      <c r="B109" s="1">
        <f>'礼包 - client'!C105</f>
        <v>5</v>
      </c>
      <c r="C109" s="3">
        <v>1052</v>
      </c>
      <c r="D109" s="1">
        <v>5000051</v>
      </c>
      <c r="E109" s="1">
        <v>-1</v>
      </c>
      <c r="F109" s="1" t="str">
        <f>'礼包 - client'!D105</f>
        <v>10000_1001_320,30000_60001_200,10000_1009_1</v>
      </c>
      <c r="G109" s="1" t="s">
        <v>170</v>
      </c>
      <c r="H109" s="1" t="s">
        <v>31</v>
      </c>
      <c r="J109" s="8">
        <v>20</v>
      </c>
      <c r="K109" s="8">
        <v>140000</v>
      </c>
      <c r="M109" s="1" t="s">
        <v>6</v>
      </c>
    </row>
    <row r="110" spans="1:13">
      <c r="A110" s="1">
        <f>'礼包 - client'!A106</f>
        <v>6000001</v>
      </c>
      <c r="B110" s="1">
        <f>'礼包 - client'!C106</f>
        <v>6</v>
      </c>
      <c r="C110" s="3">
        <v>4</v>
      </c>
      <c r="D110" s="1">
        <v>0</v>
      </c>
      <c r="E110" s="1">
        <v>6000002</v>
      </c>
      <c r="F110" s="1" t="str">
        <f>'礼包 - client'!D106</f>
        <v>10000_1001_30,10000_1002_10000</v>
      </c>
      <c r="G110" s="1" t="s">
        <v>171</v>
      </c>
      <c r="H110" s="1" t="s">
        <v>31</v>
      </c>
      <c r="J110" s="8">
        <v>20</v>
      </c>
      <c r="K110" s="8">
        <v>140000</v>
      </c>
      <c r="M110" s="1" t="s">
        <v>6</v>
      </c>
    </row>
    <row r="111" spans="1:13">
      <c r="A111" s="1">
        <f>'礼包 - client'!A107</f>
        <v>6000002</v>
      </c>
      <c r="B111" s="1">
        <f>'礼包 - client'!C107</f>
        <v>6</v>
      </c>
      <c r="C111" s="3">
        <v>7</v>
      </c>
      <c r="D111" s="1">
        <v>6000001</v>
      </c>
      <c r="E111" s="1">
        <v>6000003</v>
      </c>
      <c r="F111" s="1" t="str">
        <f>'礼包 - client'!D107</f>
        <v>10000_1001_40,10000_1002_15000</v>
      </c>
      <c r="G111" s="1" t="str">
        <f t="shared" ref="G111:G132" si="0">"击败"&amp;J111&amp;"boss奖励"</f>
        <v>击败新手试炼boss奖励</v>
      </c>
      <c r="H111" s="1" t="s">
        <v>31</v>
      </c>
      <c r="J111" s="3" t="s">
        <v>88</v>
      </c>
      <c r="K111" s="10">
        <v>30</v>
      </c>
      <c r="L111" s="10">
        <v>10</v>
      </c>
      <c r="M111" s="1" t="str">
        <f t="shared" ref="M111:M132" si="1">"击杀"&amp;J111&amp;"BOSS"</f>
        <v>击杀新手试炼BOSS</v>
      </c>
    </row>
    <row r="112" spans="1:13">
      <c r="A112" s="1">
        <f>'礼包 - client'!A108</f>
        <v>6000003</v>
      </c>
      <c r="B112" s="1">
        <f>'礼包 - client'!C108</f>
        <v>6</v>
      </c>
      <c r="C112" s="3">
        <v>10</v>
      </c>
      <c r="D112" s="1">
        <v>6000002</v>
      </c>
      <c r="E112" s="1">
        <v>6000004</v>
      </c>
      <c r="F112" s="1" t="str">
        <f>'礼包 - client'!D108</f>
        <v>10000_1001_50,10000_1002_20000</v>
      </c>
      <c r="G112" s="1" t="str">
        <f t="shared" si="0"/>
        <v>击败怒焰裂谷boss奖励</v>
      </c>
      <c r="H112" s="1" t="s">
        <v>31</v>
      </c>
      <c r="J112" s="3" t="s">
        <v>89</v>
      </c>
      <c r="K112" s="10">
        <v>30</v>
      </c>
      <c r="L112" s="10">
        <v>10</v>
      </c>
      <c r="M112" s="1" t="str">
        <f t="shared" si="1"/>
        <v>击杀怒焰裂谷BOSS</v>
      </c>
    </row>
    <row r="113" spans="1:13">
      <c r="A113" s="1">
        <f>'礼包 - client'!A109</f>
        <v>6000004</v>
      </c>
      <c r="B113" s="1">
        <f>'礼包 - client'!C109</f>
        <v>6</v>
      </c>
      <c r="C113" s="3">
        <v>13</v>
      </c>
      <c r="D113" s="1">
        <v>6000003</v>
      </c>
      <c r="E113" s="1">
        <v>6000005</v>
      </c>
      <c r="F113" s="1" t="str">
        <f>'礼包 - client'!D109</f>
        <v>10000_1001_60,10000_1002_25000</v>
      </c>
      <c r="G113" s="1" t="str">
        <f t="shared" si="0"/>
        <v>击败死亡矿井boss奖励</v>
      </c>
      <c r="H113" s="1" t="s">
        <v>31</v>
      </c>
      <c r="J113" s="3" t="s">
        <v>90</v>
      </c>
      <c r="K113" s="10">
        <v>30</v>
      </c>
      <c r="L113" s="10">
        <v>10</v>
      </c>
      <c r="M113" s="1" t="str">
        <f t="shared" si="1"/>
        <v>击杀死亡矿井BOSS</v>
      </c>
    </row>
    <row r="114" spans="1:13">
      <c r="A114" s="1">
        <f>'礼包 - client'!A110</f>
        <v>6000005</v>
      </c>
      <c r="B114" s="1">
        <f>'礼包 - client'!C110</f>
        <v>6</v>
      </c>
      <c r="C114" s="3">
        <v>16</v>
      </c>
      <c r="D114" s="1">
        <v>6000004</v>
      </c>
      <c r="E114" s="1">
        <v>6000006</v>
      </c>
      <c r="F114" s="1" t="str">
        <f>'礼包 - client'!D110</f>
        <v>10000_1001_70,10000_1002_30000</v>
      </c>
      <c r="G114" s="1" t="str">
        <f t="shared" si="0"/>
        <v>击败哀嚎洞穴boss奖励</v>
      </c>
      <c r="H114" s="1" t="s">
        <v>31</v>
      </c>
      <c r="J114" s="3" t="s">
        <v>91</v>
      </c>
      <c r="K114" s="10">
        <v>30</v>
      </c>
      <c r="L114" s="10">
        <v>10</v>
      </c>
      <c r="M114" s="1" t="str">
        <f t="shared" si="1"/>
        <v>击杀哀嚎洞穴BOSS</v>
      </c>
    </row>
    <row r="115" spans="1:13">
      <c r="A115" s="1">
        <f>'礼包 - client'!A111</f>
        <v>6000006</v>
      </c>
      <c r="B115" s="1">
        <f>'礼包 - client'!C111</f>
        <v>6</v>
      </c>
      <c r="C115" s="3">
        <v>19</v>
      </c>
      <c r="D115" s="1">
        <v>6000005</v>
      </c>
      <c r="E115" s="1">
        <v>6000007</v>
      </c>
      <c r="F115" s="1" t="str">
        <f>'礼包 - client'!D111</f>
        <v>10000_1001_80,10000_1002_35000</v>
      </c>
      <c r="G115" s="1" t="str">
        <f t="shared" si="0"/>
        <v>击败影牙城堡boss奖励</v>
      </c>
      <c r="H115" s="1" t="s">
        <v>31</v>
      </c>
      <c r="J115" s="3" t="s">
        <v>92</v>
      </c>
      <c r="K115" s="10">
        <v>45</v>
      </c>
      <c r="L115" s="10">
        <v>20</v>
      </c>
      <c r="M115" s="1" t="str">
        <f t="shared" si="1"/>
        <v>击杀影牙城堡BOSS</v>
      </c>
    </row>
    <row r="116" spans="1:13">
      <c r="A116" s="1">
        <f>'礼包 - client'!A112</f>
        <v>6000007</v>
      </c>
      <c r="B116" s="1">
        <f>'礼包 - client'!C112</f>
        <v>6</v>
      </c>
      <c r="C116" s="3">
        <v>22</v>
      </c>
      <c r="D116" s="1">
        <v>6000006</v>
      </c>
      <c r="E116" s="1">
        <v>6000008</v>
      </c>
      <c r="F116" s="1" t="str">
        <f>'礼包 - client'!D112</f>
        <v>10000_1001_90,10000_1002_40000</v>
      </c>
      <c r="G116" s="1" t="str">
        <f t="shared" si="0"/>
        <v>击败黑暗深渊boss奖励</v>
      </c>
      <c r="H116" s="1" t="s">
        <v>31</v>
      </c>
      <c r="J116" s="3" t="s">
        <v>93</v>
      </c>
      <c r="K116" s="10">
        <v>45</v>
      </c>
      <c r="L116" s="10">
        <v>20</v>
      </c>
      <c r="M116" s="1" t="str">
        <f t="shared" si="1"/>
        <v>击杀黑暗深渊BOSS</v>
      </c>
    </row>
    <row r="117" spans="1:13">
      <c r="A117" s="1">
        <f>'礼包 - client'!A113</f>
        <v>6000008</v>
      </c>
      <c r="B117" s="1">
        <f>'礼包 - client'!C113</f>
        <v>6</v>
      </c>
      <c r="C117" s="3">
        <v>25</v>
      </c>
      <c r="D117" s="1">
        <v>6000007</v>
      </c>
      <c r="E117" s="1">
        <v>6000009</v>
      </c>
      <c r="F117" s="1" t="str">
        <f>'礼包 - client'!D113</f>
        <v>10000_1001_100,10000_1002_45000</v>
      </c>
      <c r="G117" s="1" t="str">
        <f t="shared" si="0"/>
        <v>击败暴风城监狱boss奖励</v>
      </c>
      <c r="H117" s="1" t="s">
        <v>31</v>
      </c>
      <c r="J117" s="3" t="s">
        <v>94</v>
      </c>
      <c r="K117" s="10">
        <v>45</v>
      </c>
      <c r="L117" s="10">
        <v>20</v>
      </c>
      <c r="M117" s="1" t="str">
        <f t="shared" si="1"/>
        <v>击杀暴风城监狱BOSS</v>
      </c>
    </row>
    <row r="118" spans="1:13">
      <c r="A118" s="1">
        <f>'礼包 - client'!A114</f>
        <v>6000009</v>
      </c>
      <c r="B118" s="1">
        <f>'礼包 - client'!C114</f>
        <v>6</v>
      </c>
      <c r="C118" s="3">
        <v>28</v>
      </c>
      <c r="D118" s="1">
        <v>6000008</v>
      </c>
      <c r="E118" s="1">
        <v>6000010</v>
      </c>
      <c r="F118" s="1" t="str">
        <f>'礼包 - client'!D114</f>
        <v>10000_1001_110,10000_1002_50000</v>
      </c>
      <c r="G118" s="1" t="str">
        <f t="shared" si="0"/>
        <v>击败剃刀沼泽boss奖励</v>
      </c>
      <c r="H118" s="1" t="s">
        <v>31</v>
      </c>
      <c r="J118" s="3" t="s">
        <v>95</v>
      </c>
      <c r="K118" s="10">
        <v>45</v>
      </c>
      <c r="L118" s="10">
        <v>20</v>
      </c>
      <c r="M118" s="1" t="str">
        <f t="shared" si="1"/>
        <v>击杀剃刀沼泽BOSS</v>
      </c>
    </row>
    <row r="119" spans="1:13">
      <c r="A119" s="1">
        <f>'礼包 - client'!A115</f>
        <v>6000010</v>
      </c>
      <c r="B119" s="1">
        <f>'礼包 - client'!C115</f>
        <v>6</v>
      </c>
      <c r="C119" s="3">
        <v>31</v>
      </c>
      <c r="D119" s="1">
        <v>6000009</v>
      </c>
      <c r="E119" s="1">
        <v>6000011</v>
      </c>
      <c r="F119" s="1" t="str">
        <f>'礼包 - client'!D115</f>
        <v>10000_1001_120,10000_1002_55000</v>
      </c>
      <c r="G119" s="1" t="str">
        <f t="shared" si="0"/>
        <v>击败诺莫瑞根boss奖励</v>
      </c>
      <c r="H119" s="1" t="s">
        <v>31</v>
      </c>
      <c r="J119" s="3" t="s">
        <v>96</v>
      </c>
      <c r="K119" s="10">
        <v>60</v>
      </c>
      <c r="L119" s="10">
        <v>30</v>
      </c>
      <c r="M119" s="1" t="str">
        <f t="shared" si="1"/>
        <v>击杀诺莫瑞根BOSS</v>
      </c>
    </row>
    <row r="120" spans="1:13">
      <c r="A120" s="1">
        <f>'礼包 - client'!A116</f>
        <v>6000011</v>
      </c>
      <c r="B120" s="1">
        <f>'礼包 - client'!C116</f>
        <v>6</v>
      </c>
      <c r="C120" s="3">
        <v>34</v>
      </c>
      <c r="D120" s="1">
        <v>6000010</v>
      </c>
      <c r="E120" s="1">
        <v>6000012</v>
      </c>
      <c r="F120" s="1" t="str">
        <f>'礼包 - client'!D116</f>
        <v>10000_1001_130,10000_1002_60000</v>
      </c>
      <c r="G120" s="1" t="str">
        <f t="shared" si="0"/>
        <v>击败血色修道院boss奖励</v>
      </c>
      <c r="H120" s="1" t="s">
        <v>31</v>
      </c>
      <c r="J120" s="4" t="s">
        <v>97</v>
      </c>
      <c r="K120" s="10">
        <v>60</v>
      </c>
      <c r="L120" s="10">
        <v>30</v>
      </c>
      <c r="M120" s="1" t="str">
        <f t="shared" si="1"/>
        <v>击杀血色修道院BOSS</v>
      </c>
    </row>
    <row r="121" spans="1:13">
      <c r="A121" s="1">
        <f>'礼包 - client'!A117</f>
        <v>6000012</v>
      </c>
      <c r="B121" s="1">
        <f>'礼包 - client'!C117</f>
        <v>6</v>
      </c>
      <c r="C121" s="3">
        <v>37</v>
      </c>
      <c r="D121" s="1">
        <v>6000011</v>
      </c>
      <c r="E121" s="1">
        <v>6000013</v>
      </c>
      <c r="F121" s="1" t="str">
        <f>'礼包 - client'!D117</f>
        <v>10000_1001_140,10000_1002_65000</v>
      </c>
      <c r="G121" s="1" t="str">
        <f t="shared" si="0"/>
        <v>击败剃刀高地boss奖励</v>
      </c>
      <c r="H121" s="1" t="s">
        <v>31</v>
      </c>
      <c r="J121" s="3" t="s">
        <v>98</v>
      </c>
      <c r="K121" s="10">
        <v>60</v>
      </c>
      <c r="L121" s="10">
        <v>30</v>
      </c>
      <c r="M121" s="1" t="str">
        <f t="shared" si="1"/>
        <v>击杀剃刀高地BOSS</v>
      </c>
    </row>
    <row r="122" spans="1:13">
      <c r="A122" s="1">
        <f>'礼包 - client'!A118</f>
        <v>6000013</v>
      </c>
      <c r="B122" s="1">
        <f>'礼包 - client'!C118</f>
        <v>6</v>
      </c>
      <c r="C122" s="3">
        <v>40</v>
      </c>
      <c r="D122" s="1">
        <v>6000012</v>
      </c>
      <c r="E122" s="1">
        <v>6000014</v>
      </c>
      <c r="F122" s="1" t="str">
        <f>'礼包 - client'!D118</f>
        <v>10000_1001_150,10000_1002_70000</v>
      </c>
      <c r="G122" s="1" t="str">
        <f t="shared" si="0"/>
        <v>击败奥达曼boss奖励</v>
      </c>
      <c r="H122" s="1" t="s">
        <v>31</v>
      </c>
      <c r="J122" s="3" t="s">
        <v>99</v>
      </c>
      <c r="K122" s="10">
        <v>60</v>
      </c>
      <c r="L122" s="10">
        <v>30</v>
      </c>
      <c r="M122" s="1" t="str">
        <f t="shared" si="1"/>
        <v>击杀奥达曼BOSS</v>
      </c>
    </row>
    <row r="123" spans="1:13">
      <c r="A123" s="1">
        <f>'礼包 - client'!A119</f>
        <v>6000014</v>
      </c>
      <c r="B123" s="1">
        <f>'礼包 - client'!C119</f>
        <v>6</v>
      </c>
      <c r="C123" s="3">
        <v>43</v>
      </c>
      <c r="D123" s="1">
        <v>6000013</v>
      </c>
      <c r="E123" s="1">
        <v>6000015</v>
      </c>
      <c r="F123" s="1" t="str">
        <f>'礼包 - client'!D119</f>
        <v>10000_1001_160,10000_1002_75000</v>
      </c>
      <c r="G123" s="1" t="str">
        <f t="shared" si="0"/>
        <v>击败祖尔法拉克boss奖励</v>
      </c>
      <c r="H123" s="1" t="s">
        <v>31</v>
      </c>
      <c r="J123" s="3" t="s">
        <v>100</v>
      </c>
      <c r="K123" s="10">
        <v>75</v>
      </c>
      <c r="L123" s="10">
        <v>40</v>
      </c>
      <c r="M123" s="1" t="str">
        <f t="shared" si="1"/>
        <v>击杀祖尔法拉克BOSS</v>
      </c>
    </row>
    <row r="124" spans="1:13">
      <c r="A124" s="1">
        <f>'礼包 - client'!A120</f>
        <v>6000015</v>
      </c>
      <c r="B124" s="1">
        <f>'礼包 - client'!C120</f>
        <v>6</v>
      </c>
      <c r="C124" s="3">
        <v>46</v>
      </c>
      <c r="D124" s="1">
        <v>6000014</v>
      </c>
      <c r="E124" s="1">
        <v>6000016</v>
      </c>
      <c r="F124" s="1" t="str">
        <f>'礼包 - client'!D120</f>
        <v>10000_1001_170,10000_1002_80000</v>
      </c>
      <c r="G124" s="1" t="str">
        <f t="shared" si="0"/>
        <v>击败玛拉顿boss奖励</v>
      </c>
      <c r="H124" s="1" t="s">
        <v>31</v>
      </c>
      <c r="J124" s="3" t="s">
        <v>101</v>
      </c>
      <c r="K124" s="10">
        <v>75</v>
      </c>
      <c r="L124" s="10">
        <v>40</v>
      </c>
      <c r="M124" s="1" t="str">
        <f t="shared" si="1"/>
        <v>击杀玛拉顿BOSS</v>
      </c>
    </row>
    <row r="125" spans="1:13">
      <c r="A125" s="1">
        <f>'礼包 - client'!A121</f>
        <v>6000016</v>
      </c>
      <c r="B125" s="1">
        <f>'礼包 - client'!C121</f>
        <v>6</v>
      </c>
      <c r="C125" s="3">
        <v>49</v>
      </c>
      <c r="D125" s="1">
        <v>6000015</v>
      </c>
      <c r="E125" s="1">
        <v>6000017</v>
      </c>
      <c r="F125" s="1" t="str">
        <f>'礼包 - client'!D121</f>
        <v>10000_1001_180,10000_1002_85000</v>
      </c>
      <c r="G125" s="1" t="str">
        <f t="shared" si="0"/>
        <v>击败沉没的神庙boss奖励</v>
      </c>
      <c r="H125" s="1" t="s">
        <v>31</v>
      </c>
      <c r="J125" s="3" t="s">
        <v>102</v>
      </c>
      <c r="K125" s="10">
        <v>75</v>
      </c>
      <c r="L125" s="10">
        <v>40</v>
      </c>
      <c r="M125" s="1" t="str">
        <f t="shared" si="1"/>
        <v>击杀沉没的神庙BOSS</v>
      </c>
    </row>
    <row r="126" spans="1:13">
      <c r="A126" s="1">
        <f>'礼包 - client'!A122</f>
        <v>6000017</v>
      </c>
      <c r="B126" s="1">
        <f>'礼包 - client'!C122</f>
        <v>6</v>
      </c>
      <c r="C126" s="3">
        <v>52</v>
      </c>
      <c r="D126" s="1">
        <v>6000016</v>
      </c>
      <c r="E126" s="1">
        <v>6000018</v>
      </c>
      <c r="F126" s="1" t="str">
        <f>'礼包 - client'!D122</f>
        <v>10000_1001_190,10000_1002_90000</v>
      </c>
      <c r="G126" s="1" t="str">
        <f t="shared" si="0"/>
        <v>击败厄运之槌boss奖励</v>
      </c>
      <c r="H126" s="1" t="s">
        <v>31</v>
      </c>
      <c r="J126" s="3" t="s">
        <v>103</v>
      </c>
      <c r="K126" s="10">
        <v>75</v>
      </c>
      <c r="L126" s="10">
        <v>40</v>
      </c>
      <c r="M126" s="1" t="str">
        <f t="shared" si="1"/>
        <v>击杀厄运之槌BOSS</v>
      </c>
    </row>
    <row r="127" spans="1:13">
      <c r="A127" s="1">
        <f>'礼包 - client'!A123</f>
        <v>6000018</v>
      </c>
      <c r="B127" s="1">
        <f>'礼包 - client'!C123</f>
        <v>6</v>
      </c>
      <c r="C127" s="3">
        <v>55</v>
      </c>
      <c r="D127" s="1">
        <v>6000017</v>
      </c>
      <c r="E127" s="1">
        <v>6000019</v>
      </c>
      <c r="F127" s="1" t="str">
        <f>'礼包 - client'!D123</f>
        <v>10000_1001_200,10000_1002_95000</v>
      </c>
      <c r="G127" s="1" t="str">
        <f t="shared" si="0"/>
        <v>击败黑石深渊boss奖励</v>
      </c>
      <c r="H127" s="1" t="s">
        <v>31</v>
      </c>
      <c r="J127" s="3" t="s">
        <v>104</v>
      </c>
      <c r="K127" s="10">
        <v>90</v>
      </c>
      <c r="L127" s="10">
        <v>50</v>
      </c>
      <c r="M127" s="1" t="str">
        <f t="shared" si="1"/>
        <v>击杀黑石深渊BOSS</v>
      </c>
    </row>
    <row r="128" spans="1:13">
      <c r="A128" s="1">
        <f>'礼包 - client'!A124</f>
        <v>6000019</v>
      </c>
      <c r="B128" s="1">
        <f>'礼包 - client'!C124</f>
        <v>6</v>
      </c>
      <c r="C128" s="3">
        <v>58</v>
      </c>
      <c r="D128" s="1">
        <v>6000018</v>
      </c>
      <c r="E128" s="1">
        <v>6000020</v>
      </c>
      <c r="F128" s="1" t="str">
        <f>'礼包 - client'!D124</f>
        <v>10000_1001_210,10000_1002_100000</v>
      </c>
      <c r="G128" s="1" t="str">
        <f t="shared" si="0"/>
        <v>击败斯坦索姆boss奖励</v>
      </c>
      <c r="H128" s="1" t="s">
        <v>31</v>
      </c>
      <c r="J128" s="3" t="s">
        <v>105</v>
      </c>
      <c r="K128" s="10">
        <v>90</v>
      </c>
      <c r="L128" s="10">
        <v>50</v>
      </c>
      <c r="M128" s="1" t="str">
        <f t="shared" si="1"/>
        <v>击杀斯坦索姆BOSS</v>
      </c>
    </row>
    <row r="129" spans="1:13">
      <c r="A129" s="1">
        <f>'礼包 - client'!A125</f>
        <v>6000020</v>
      </c>
      <c r="B129" s="1">
        <f>'礼包 - client'!C125</f>
        <v>6</v>
      </c>
      <c r="C129" s="3">
        <v>61</v>
      </c>
      <c r="D129" s="1">
        <v>6000019</v>
      </c>
      <c r="E129" s="1">
        <v>6000021</v>
      </c>
      <c r="F129" s="1" t="str">
        <f>'礼包 - client'!D125</f>
        <v>10000_1001_220,10000_1002_105000</v>
      </c>
      <c r="G129" s="1" t="str">
        <f t="shared" si="0"/>
        <v>击败通灵学院boss奖励</v>
      </c>
      <c r="H129" s="1" t="s">
        <v>31</v>
      </c>
      <c r="J129" s="3" t="s">
        <v>106</v>
      </c>
      <c r="K129" s="10">
        <v>90</v>
      </c>
      <c r="L129" s="10">
        <v>50</v>
      </c>
      <c r="M129" s="1" t="str">
        <f t="shared" si="1"/>
        <v>击杀通灵学院BOSS</v>
      </c>
    </row>
    <row r="130" spans="1:13">
      <c r="A130" s="1">
        <f>'礼包 - client'!A126</f>
        <v>6000021</v>
      </c>
      <c r="B130" s="1">
        <f>'礼包 - client'!C126</f>
        <v>6</v>
      </c>
      <c r="C130" s="3">
        <v>64</v>
      </c>
      <c r="D130" s="1">
        <v>6000020</v>
      </c>
      <c r="E130" s="1">
        <v>6000022</v>
      </c>
      <c r="F130" s="1" t="str">
        <f>'礼包 - client'!D126</f>
        <v>10000_1001_230,10000_1002_110000</v>
      </c>
      <c r="G130" s="1" t="str">
        <f t="shared" si="0"/>
        <v>击败黑石塔boss奖励</v>
      </c>
      <c r="H130" s="1" t="s">
        <v>31</v>
      </c>
      <c r="J130" s="5" t="s">
        <v>107</v>
      </c>
      <c r="K130" s="10">
        <v>90</v>
      </c>
      <c r="L130" s="10">
        <v>50</v>
      </c>
      <c r="M130" s="1" t="str">
        <f t="shared" si="1"/>
        <v>击杀黑石塔BOSS</v>
      </c>
    </row>
    <row r="131" spans="1:13">
      <c r="A131" s="1">
        <f>'礼包 - client'!A127</f>
        <v>6000022</v>
      </c>
      <c r="B131" s="1">
        <f>'礼包 - client'!C127</f>
        <v>6</v>
      </c>
      <c r="C131" s="3">
        <v>67</v>
      </c>
      <c r="D131" s="1">
        <v>6000021</v>
      </c>
      <c r="E131" s="1">
        <v>6000023</v>
      </c>
      <c r="F131" s="1" t="str">
        <f>'礼包 - client'!D127</f>
        <v>10000_1001_240,10000_1002_115000</v>
      </c>
      <c r="G131" s="1" t="str">
        <f t="shared" si="0"/>
        <v>击败地狱火城墙boss奖励</v>
      </c>
      <c r="H131" s="1" t="s">
        <v>31</v>
      </c>
      <c r="J131" s="3" t="s">
        <v>108</v>
      </c>
      <c r="K131" s="10">
        <v>115</v>
      </c>
      <c r="L131" s="10">
        <v>60</v>
      </c>
      <c r="M131" s="1" t="str">
        <f t="shared" si="1"/>
        <v>击杀地狱火城墙BOSS</v>
      </c>
    </row>
    <row r="132" spans="1:13">
      <c r="A132" s="1">
        <f>'礼包 - client'!A128</f>
        <v>6000023</v>
      </c>
      <c r="B132" s="1">
        <f>'礼包 - client'!C128</f>
        <v>6</v>
      </c>
      <c r="C132" s="3">
        <v>70</v>
      </c>
      <c r="D132" s="1">
        <v>6000022</v>
      </c>
      <c r="E132" s="1">
        <v>6000024</v>
      </c>
      <c r="F132" s="1" t="str">
        <f>'礼包 - client'!D128</f>
        <v>10000_1001_250,10000_1002_120000</v>
      </c>
      <c r="G132" s="1" t="str">
        <f t="shared" si="0"/>
        <v>击败鲜血熔炉boss奖励</v>
      </c>
      <c r="H132" s="1" t="s">
        <v>31</v>
      </c>
      <c r="J132" s="3" t="s">
        <v>109</v>
      </c>
      <c r="K132" s="10">
        <v>115</v>
      </c>
      <c r="L132" s="10">
        <v>60</v>
      </c>
      <c r="M132" s="1" t="str">
        <f t="shared" si="1"/>
        <v>击杀鲜血熔炉BOSS</v>
      </c>
    </row>
    <row r="133" spans="1:13">
      <c r="A133" s="1">
        <f>'礼包 - client'!A129</f>
        <v>6000024</v>
      </c>
      <c r="B133" s="1">
        <f>'礼包 - client'!C129</f>
        <v>6</v>
      </c>
      <c r="C133" s="3">
        <v>73</v>
      </c>
      <c r="D133" s="1">
        <v>6000023</v>
      </c>
      <c r="E133" s="1">
        <v>6000025</v>
      </c>
      <c r="F133" s="1" t="str">
        <f>'礼包 - client'!D129</f>
        <v>10000_1001_260,10000_1002_125000</v>
      </c>
    </row>
    <row r="134" spans="1:13">
      <c r="A134" s="1">
        <f>'礼包 - client'!A130</f>
        <v>6000025</v>
      </c>
      <c r="B134" s="1">
        <f>'礼包 - client'!C130</f>
        <v>6</v>
      </c>
      <c r="C134" s="3">
        <v>76</v>
      </c>
      <c r="D134" s="1">
        <v>6000024</v>
      </c>
      <c r="E134" s="1">
        <v>6000026</v>
      </c>
      <c r="F134" s="1" t="str">
        <f>'礼包 - client'!D130</f>
        <v>10000_1001_270,10000_1002_130000</v>
      </c>
    </row>
    <row r="135" spans="1:13">
      <c r="A135" s="1">
        <f>'礼包 - client'!A131</f>
        <v>6000026</v>
      </c>
      <c r="B135" s="1">
        <f>'礼包 - client'!C131</f>
        <v>6</v>
      </c>
      <c r="C135" s="3">
        <v>79</v>
      </c>
      <c r="D135" s="1">
        <v>6000025</v>
      </c>
      <c r="E135" s="1">
        <v>6000027</v>
      </c>
      <c r="F135" s="1" t="str">
        <f>'礼包 - client'!D131</f>
        <v>10000_1001_280,10000_1002_135000</v>
      </c>
    </row>
    <row r="136" spans="1:13">
      <c r="A136" s="1">
        <f>'礼包 - client'!A132</f>
        <v>6000027</v>
      </c>
      <c r="B136" s="1">
        <f>'礼包 - client'!C132</f>
        <v>6</v>
      </c>
      <c r="C136" s="3">
        <v>82</v>
      </c>
      <c r="D136" s="1">
        <v>6000026</v>
      </c>
      <c r="E136" s="1">
        <v>6000028</v>
      </c>
      <c r="F136" s="1" t="str">
        <f>'礼包 - client'!D132</f>
        <v>10000_1001_290,10000_1002_140000</v>
      </c>
    </row>
    <row r="137" spans="1:13">
      <c r="A137" s="1">
        <f>'礼包 - client'!A133</f>
        <v>6000028</v>
      </c>
      <c r="B137" s="1">
        <f>'礼包 - client'!C133</f>
        <v>6</v>
      </c>
      <c r="C137" s="3">
        <v>85</v>
      </c>
      <c r="D137" s="1">
        <v>6000027</v>
      </c>
      <c r="E137" s="1">
        <v>6000029</v>
      </c>
      <c r="F137" s="1" t="str">
        <f>'礼包 - client'!D133</f>
        <v>10000_1001_300,10000_1002_145000</v>
      </c>
    </row>
    <row r="138" spans="1:13">
      <c r="A138" s="1">
        <f>'礼包 - client'!A134</f>
        <v>6000029</v>
      </c>
      <c r="B138" s="1">
        <f>'礼包 - client'!C134</f>
        <v>6</v>
      </c>
      <c r="C138" s="3">
        <v>88</v>
      </c>
      <c r="D138" s="1">
        <v>6000028</v>
      </c>
      <c r="E138" s="1">
        <v>6000030</v>
      </c>
      <c r="F138" s="1" t="str">
        <f>'礼包 - client'!D134</f>
        <v>10000_1001_310,10000_1002_150000</v>
      </c>
    </row>
    <row r="139" spans="1:13">
      <c r="A139" s="1">
        <f>'礼包 - client'!A135</f>
        <v>6000030</v>
      </c>
      <c r="B139" s="1">
        <f>'礼包 - client'!C135</f>
        <v>6</v>
      </c>
      <c r="C139" s="3">
        <v>91</v>
      </c>
      <c r="D139" s="1">
        <v>6000029</v>
      </c>
      <c r="E139" s="1">
        <v>6000031</v>
      </c>
      <c r="F139" s="1" t="str">
        <f>'礼包 - client'!D135</f>
        <v>10000_1001_320,10000_1002_155000</v>
      </c>
    </row>
    <row r="140" spans="1:13">
      <c r="A140" s="1">
        <f>'礼包 - client'!A136</f>
        <v>6000031</v>
      </c>
      <c r="B140" s="1">
        <f>'礼包 - client'!C136</f>
        <v>6</v>
      </c>
      <c r="C140" s="3">
        <v>94</v>
      </c>
      <c r="D140" s="1">
        <v>6000030</v>
      </c>
      <c r="E140" s="1">
        <v>6000032</v>
      </c>
      <c r="F140" s="1" t="str">
        <f>'礼包 - client'!D136</f>
        <v>10000_1001_330,10000_1002_160000</v>
      </c>
    </row>
    <row r="141" spans="1:13">
      <c r="A141" s="1">
        <f>'礼包 - client'!A137</f>
        <v>6000032</v>
      </c>
      <c r="B141" s="1">
        <f>'礼包 - client'!C137</f>
        <v>6</v>
      </c>
      <c r="C141" s="3">
        <v>97</v>
      </c>
      <c r="D141" s="1">
        <v>6000031</v>
      </c>
      <c r="E141" s="1">
        <v>6000033</v>
      </c>
      <c r="F141" s="1" t="str">
        <f>'礼包 - client'!D137</f>
        <v>10000_1001_340,10000_1002_165000</v>
      </c>
    </row>
    <row r="142" spans="1:13">
      <c r="A142" s="1">
        <f>'礼包 - client'!A138</f>
        <v>6000033</v>
      </c>
      <c r="B142" s="1">
        <f>'礼包 - client'!C138</f>
        <v>6</v>
      </c>
      <c r="C142" s="3">
        <v>100</v>
      </c>
      <c r="D142" s="1">
        <v>6000032</v>
      </c>
      <c r="E142" s="1">
        <v>-1</v>
      </c>
      <c r="F142" s="1" t="str">
        <f>'礼包 - client'!D138</f>
        <v>10000_1001_350,10000_1002_170000</v>
      </c>
    </row>
    <row r="143" spans="1:13">
      <c r="C143" s="3"/>
    </row>
    <row r="144" spans="1:13">
      <c r="C144" s="3"/>
    </row>
    <row r="145" spans="3:3">
      <c r="C145" s="3"/>
    </row>
    <row r="146" spans="3:3">
      <c r="C146" s="3"/>
    </row>
    <row r="147" spans="3:3">
      <c r="C147" s="3"/>
    </row>
    <row r="148" spans="3:3">
      <c r="C148" s="3"/>
    </row>
    <row r="149" spans="3:3">
      <c r="C149" s="3"/>
    </row>
    <row r="150" spans="3:3">
      <c r="C150" s="3"/>
    </row>
    <row r="151" spans="3:3">
      <c r="C151" s="3"/>
    </row>
    <row r="152" spans="3:3">
      <c r="C152" s="3"/>
    </row>
    <row r="153" spans="3:3">
      <c r="C153" s="3"/>
    </row>
    <row r="154" spans="3:3">
      <c r="C154" s="3"/>
    </row>
    <row r="155" spans="3:3">
      <c r="C155" s="3"/>
    </row>
    <row r="156" spans="3:3">
      <c r="C156" s="3"/>
    </row>
    <row r="157" spans="3:3">
      <c r="C157" s="3"/>
    </row>
    <row r="158" spans="3:3">
      <c r="C158" s="3"/>
    </row>
    <row r="159" spans="3:3">
      <c r="C159" s="3"/>
    </row>
    <row r="160" spans="3:3">
      <c r="C160" s="3"/>
    </row>
    <row r="161" spans="3:3">
      <c r="C161" s="3"/>
    </row>
    <row r="162" spans="3:3">
      <c r="C162" s="3"/>
    </row>
    <row r="163" spans="3:3">
      <c r="C163" s="3"/>
    </row>
    <row r="164" spans="3:3">
      <c r="C164" s="3"/>
    </row>
    <row r="165" spans="3:3">
      <c r="C165" s="3"/>
    </row>
    <row r="166" spans="3:3">
      <c r="C166" s="3"/>
    </row>
    <row r="167" spans="3:3">
      <c r="C167" s="3"/>
    </row>
    <row r="168" spans="3:3">
      <c r="C168" s="3"/>
    </row>
    <row r="169" spans="3:3">
      <c r="C169" s="3"/>
    </row>
    <row r="170" spans="3:3">
      <c r="C170" s="3"/>
    </row>
    <row r="171" spans="3:3">
      <c r="C171" s="3"/>
    </row>
    <row r="172" spans="3:3">
      <c r="C172" s="3"/>
    </row>
    <row r="173" spans="3:3">
      <c r="C173" s="3"/>
    </row>
    <row r="174" spans="3:3">
      <c r="C174" s="3"/>
    </row>
    <row r="175" spans="3:3">
      <c r="C175" s="3"/>
    </row>
    <row r="176" spans="3:3">
      <c r="C176" s="3"/>
    </row>
    <row r="177" spans="3:3">
      <c r="C177" s="3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38"/>
  <sheetViews>
    <sheetView tabSelected="1" topLeftCell="A13" workbookViewId="0">
      <selection activeCell="J24" sqref="J24"/>
    </sheetView>
  </sheetViews>
  <sheetFormatPr defaultRowHeight="13.5"/>
  <cols>
    <col min="1" max="1" width="9" style="1"/>
    <col min="2" max="2" width="29.125" style="1" customWidth="1"/>
    <col min="3" max="3" width="9" style="1"/>
    <col min="4" max="4" width="63" style="1" customWidth="1"/>
    <col min="5" max="5" width="17" style="1" customWidth="1"/>
    <col min="6" max="6" width="53.875" customWidth="1"/>
  </cols>
  <sheetData>
    <row r="1" spans="1:7">
      <c r="A1" s="2" t="s">
        <v>0</v>
      </c>
      <c r="B1" s="2" t="s">
        <v>25</v>
      </c>
      <c r="C1" s="2" t="s">
        <v>3</v>
      </c>
      <c r="D1" s="2" t="s">
        <v>15</v>
      </c>
      <c r="E1" s="2" t="s">
        <v>30</v>
      </c>
      <c r="F1" s="2" t="s">
        <v>1</v>
      </c>
    </row>
    <row r="2" spans="1:7">
      <c r="A2" s="1">
        <v>2000001</v>
      </c>
      <c r="B2" s="1" t="s">
        <v>285</v>
      </c>
      <c r="C2" s="1">
        <v>2</v>
      </c>
      <c r="D2" s="1" t="s">
        <v>313</v>
      </c>
      <c r="E2" s="1" t="s">
        <v>253</v>
      </c>
      <c r="F2" s="1" t="s">
        <v>270</v>
      </c>
      <c r="G2" s="1"/>
    </row>
    <row r="3" spans="1:7">
      <c r="A3" s="1">
        <v>2000002</v>
      </c>
      <c r="B3" s="1" t="s">
        <v>286</v>
      </c>
      <c r="C3" s="1">
        <v>2</v>
      </c>
      <c r="D3" s="1" t="s">
        <v>314</v>
      </c>
      <c r="E3" s="1" t="s">
        <v>253</v>
      </c>
      <c r="F3" s="1" t="s">
        <v>271</v>
      </c>
      <c r="G3" s="1"/>
    </row>
    <row r="4" spans="1:7">
      <c r="A4" s="1">
        <v>2000003</v>
      </c>
      <c r="B4" s="1" t="s">
        <v>287</v>
      </c>
      <c r="C4" s="1">
        <v>2</v>
      </c>
      <c r="D4" s="1" t="s">
        <v>300</v>
      </c>
      <c r="E4" s="1" t="s">
        <v>253</v>
      </c>
      <c r="F4" s="1" t="s">
        <v>272</v>
      </c>
      <c r="G4" s="1"/>
    </row>
    <row r="5" spans="1:7">
      <c r="A5" s="1">
        <v>2000004</v>
      </c>
      <c r="B5" s="1" t="s">
        <v>288</v>
      </c>
      <c r="C5" s="1">
        <v>2</v>
      </c>
      <c r="D5" s="1" t="s">
        <v>301</v>
      </c>
      <c r="E5" s="1" t="s">
        <v>253</v>
      </c>
      <c r="F5" s="1" t="s">
        <v>273</v>
      </c>
      <c r="G5" s="1"/>
    </row>
    <row r="6" spans="1:7">
      <c r="A6" s="1">
        <v>2000005</v>
      </c>
      <c r="B6" s="1" t="s">
        <v>289</v>
      </c>
      <c r="C6" s="1">
        <v>2</v>
      </c>
      <c r="D6" s="1" t="s">
        <v>302</v>
      </c>
      <c r="E6" s="1" t="s">
        <v>253</v>
      </c>
      <c r="F6" s="1" t="s">
        <v>274</v>
      </c>
      <c r="G6" s="1"/>
    </row>
    <row r="7" spans="1:7">
      <c r="A7" s="1">
        <v>2000006</v>
      </c>
      <c r="B7" s="1" t="s">
        <v>290</v>
      </c>
      <c r="C7" s="1">
        <v>2</v>
      </c>
      <c r="D7" s="1" t="s">
        <v>303</v>
      </c>
      <c r="E7" s="1" t="s">
        <v>253</v>
      </c>
      <c r="F7" s="1" t="s">
        <v>275</v>
      </c>
      <c r="G7" s="1"/>
    </row>
    <row r="8" spans="1:7">
      <c r="A8" s="1">
        <v>2000007</v>
      </c>
      <c r="B8" s="1" t="s">
        <v>291</v>
      </c>
      <c r="C8" s="1">
        <v>2</v>
      </c>
      <c r="D8" s="1" t="s">
        <v>304</v>
      </c>
      <c r="E8" s="1" t="s">
        <v>253</v>
      </c>
      <c r="F8" s="1" t="s">
        <v>276</v>
      </c>
      <c r="G8" s="1"/>
    </row>
    <row r="9" spans="1:7">
      <c r="A9" s="1">
        <v>2000008</v>
      </c>
      <c r="B9" s="1" t="s">
        <v>292</v>
      </c>
      <c r="C9" s="1">
        <v>2</v>
      </c>
      <c r="D9" s="1" t="s">
        <v>305</v>
      </c>
      <c r="E9" s="1" t="s">
        <v>253</v>
      </c>
      <c r="F9" s="1" t="s">
        <v>277</v>
      </c>
      <c r="G9" s="1"/>
    </row>
    <row r="10" spans="1:7">
      <c r="A10" s="1">
        <v>2000009</v>
      </c>
      <c r="B10" s="1" t="s">
        <v>293</v>
      </c>
      <c r="C10" s="1">
        <v>2</v>
      </c>
      <c r="D10" s="1" t="s">
        <v>306</v>
      </c>
      <c r="E10" s="1" t="s">
        <v>253</v>
      </c>
      <c r="F10" s="1" t="s">
        <v>278</v>
      </c>
      <c r="G10" s="1"/>
    </row>
    <row r="11" spans="1:7">
      <c r="A11" s="1">
        <v>2000010</v>
      </c>
      <c r="B11" s="1" t="s">
        <v>294</v>
      </c>
      <c r="C11" s="1">
        <v>2</v>
      </c>
      <c r="D11" s="1" t="s">
        <v>307</v>
      </c>
      <c r="E11" s="1" t="s">
        <v>253</v>
      </c>
      <c r="F11" s="1" t="s">
        <v>279</v>
      </c>
      <c r="G11" s="1"/>
    </row>
    <row r="12" spans="1:7">
      <c r="A12" s="1">
        <v>2000011</v>
      </c>
      <c r="B12" s="1" t="s">
        <v>295</v>
      </c>
      <c r="C12" s="1">
        <v>2</v>
      </c>
      <c r="D12" s="1" t="s">
        <v>308</v>
      </c>
      <c r="E12" s="1" t="s">
        <v>253</v>
      </c>
      <c r="F12" s="1" t="s">
        <v>280</v>
      </c>
      <c r="G12" s="1"/>
    </row>
    <row r="13" spans="1:7">
      <c r="A13" s="1">
        <v>2000012</v>
      </c>
      <c r="B13" s="1" t="s">
        <v>296</v>
      </c>
      <c r="C13" s="1">
        <v>2</v>
      </c>
      <c r="D13" s="1" t="s">
        <v>309</v>
      </c>
      <c r="E13" s="1" t="s">
        <v>253</v>
      </c>
      <c r="F13" s="1" t="s">
        <v>281</v>
      </c>
      <c r="G13" s="1"/>
    </row>
    <row r="14" spans="1:7">
      <c r="A14" s="1">
        <v>2000013</v>
      </c>
      <c r="B14" s="1" t="s">
        <v>297</v>
      </c>
      <c r="C14" s="1">
        <v>2</v>
      </c>
      <c r="D14" s="1" t="s">
        <v>310</v>
      </c>
      <c r="E14" s="1" t="s">
        <v>253</v>
      </c>
      <c r="F14" s="1" t="s">
        <v>282</v>
      </c>
      <c r="G14" s="1"/>
    </row>
    <row r="15" spans="1:7">
      <c r="A15" s="1">
        <v>2000014</v>
      </c>
      <c r="B15" s="1" t="s">
        <v>298</v>
      </c>
      <c r="C15" s="1">
        <v>2</v>
      </c>
      <c r="D15" s="1" t="s">
        <v>311</v>
      </c>
      <c r="E15" s="1" t="s">
        <v>253</v>
      </c>
      <c r="F15" s="1" t="s">
        <v>283</v>
      </c>
      <c r="G15" s="1"/>
    </row>
    <row r="16" spans="1:7">
      <c r="A16" s="1">
        <v>2000015</v>
      </c>
      <c r="B16" s="1" t="s">
        <v>299</v>
      </c>
      <c r="C16" s="1">
        <v>2</v>
      </c>
      <c r="D16" s="1" t="s">
        <v>312</v>
      </c>
      <c r="E16" s="1" t="s">
        <v>253</v>
      </c>
      <c r="F16" s="1" t="s">
        <v>284</v>
      </c>
      <c r="G16" s="1"/>
    </row>
    <row r="17" spans="1:6">
      <c r="A17" s="1">
        <v>3000001</v>
      </c>
      <c r="B17" s="1" t="s">
        <v>243</v>
      </c>
      <c r="C17" s="1">
        <v>3</v>
      </c>
      <c r="D17" s="1" t="s">
        <v>174</v>
      </c>
      <c r="E17" s="1" t="s">
        <v>252</v>
      </c>
      <c r="F17" s="1" t="s">
        <v>38</v>
      </c>
    </row>
    <row r="18" spans="1:6">
      <c r="A18" s="1">
        <v>3000002</v>
      </c>
      <c r="B18" s="1" t="s">
        <v>244</v>
      </c>
      <c r="C18" s="1">
        <v>3</v>
      </c>
      <c r="D18" s="1" t="s">
        <v>175</v>
      </c>
      <c r="E18" s="1" t="s">
        <v>252</v>
      </c>
      <c r="F18" s="1" t="s">
        <v>39</v>
      </c>
    </row>
    <row r="19" spans="1:6">
      <c r="A19" s="1">
        <v>3000003</v>
      </c>
      <c r="B19" s="1" t="s">
        <v>40</v>
      </c>
      <c r="C19" s="1">
        <v>3</v>
      </c>
      <c r="D19" s="1" t="s">
        <v>174</v>
      </c>
      <c r="E19" s="1" t="s">
        <v>252</v>
      </c>
      <c r="F19" s="1" t="s">
        <v>40</v>
      </c>
    </row>
    <row r="20" spans="1:6">
      <c r="A20" s="1">
        <v>3000004</v>
      </c>
      <c r="B20" s="1" t="s">
        <v>41</v>
      </c>
      <c r="C20" s="1">
        <v>3</v>
      </c>
      <c r="D20" s="1" t="s">
        <v>174</v>
      </c>
      <c r="E20" s="1" t="s">
        <v>251</v>
      </c>
      <c r="F20" s="1" t="s">
        <v>41</v>
      </c>
    </row>
    <row r="21" spans="1:6">
      <c r="A21" s="1">
        <v>3000005</v>
      </c>
      <c r="B21" s="1" t="s">
        <v>42</v>
      </c>
      <c r="C21" s="1">
        <v>3</v>
      </c>
      <c r="D21" s="1" t="s">
        <v>176</v>
      </c>
      <c r="E21" s="1" t="s">
        <v>251</v>
      </c>
      <c r="F21" s="1" t="s">
        <v>42</v>
      </c>
    </row>
    <row r="22" spans="1:6">
      <c r="A22" s="1">
        <v>3000006</v>
      </c>
      <c r="B22" s="1" t="s">
        <v>43</v>
      </c>
      <c r="C22" s="1">
        <v>3</v>
      </c>
      <c r="D22" s="1" t="s">
        <v>177</v>
      </c>
      <c r="E22" s="1" t="s">
        <v>251</v>
      </c>
      <c r="F22" s="1" t="s">
        <v>43</v>
      </c>
    </row>
    <row r="23" spans="1:6">
      <c r="A23" s="1">
        <v>3000007</v>
      </c>
      <c r="B23" s="1" t="s">
        <v>44</v>
      </c>
      <c r="C23" s="1">
        <v>3</v>
      </c>
      <c r="D23" s="1" t="s">
        <v>315</v>
      </c>
      <c r="E23" s="1" t="s">
        <v>251</v>
      </c>
      <c r="F23" s="1" t="s">
        <v>44</v>
      </c>
    </row>
    <row r="24" spans="1:6">
      <c r="A24" s="1">
        <v>3000008</v>
      </c>
      <c r="B24" s="1" t="s">
        <v>45</v>
      </c>
      <c r="C24" s="1">
        <v>3</v>
      </c>
      <c r="D24" s="1" t="s">
        <v>176</v>
      </c>
      <c r="E24" s="1" t="s">
        <v>251</v>
      </c>
      <c r="F24" s="1" t="s">
        <v>45</v>
      </c>
    </row>
    <row r="25" spans="1:6">
      <c r="A25" s="1">
        <v>3000009</v>
      </c>
      <c r="B25" s="1" t="s">
        <v>46</v>
      </c>
      <c r="C25" s="1">
        <v>3</v>
      </c>
      <c r="D25" s="1" t="s">
        <v>177</v>
      </c>
      <c r="E25" s="1" t="s">
        <v>251</v>
      </c>
      <c r="F25" s="1" t="s">
        <v>46</v>
      </c>
    </row>
    <row r="26" spans="1:6">
      <c r="A26" s="1">
        <v>3000010</v>
      </c>
      <c r="B26" s="1" t="s">
        <v>47</v>
      </c>
      <c r="C26" s="1">
        <v>3</v>
      </c>
      <c r="D26" s="1" t="s">
        <v>177</v>
      </c>
      <c r="E26" s="1" t="s">
        <v>251</v>
      </c>
      <c r="F26" s="1" t="s">
        <v>47</v>
      </c>
    </row>
    <row r="27" spans="1:6">
      <c r="A27" s="1">
        <v>3000011</v>
      </c>
      <c r="B27" s="1" t="s">
        <v>48</v>
      </c>
      <c r="C27" s="1">
        <v>3</v>
      </c>
      <c r="D27" s="1" t="s">
        <v>178</v>
      </c>
      <c r="E27" s="1" t="s">
        <v>251</v>
      </c>
      <c r="F27" s="1" t="s">
        <v>48</v>
      </c>
    </row>
    <row r="28" spans="1:6">
      <c r="A28" s="1">
        <v>3000012</v>
      </c>
      <c r="B28" s="1" t="s">
        <v>49</v>
      </c>
      <c r="C28" s="1">
        <v>3</v>
      </c>
      <c r="D28" s="1" t="s">
        <v>172</v>
      </c>
      <c r="E28" s="1" t="s">
        <v>251</v>
      </c>
      <c r="F28" s="1" t="s">
        <v>49</v>
      </c>
    </row>
    <row r="29" spans="1:6">
      <c r="A29" s="1">
        <v>3000013</v>
      </c>
      <c r="B29" s="1" t="s">
        <v>50</v>
      </c>
      <c r="C29" s="1">
        <v>3</v>
      </c>
      <c r="D29" s="1" t="s">
        <v>172</v>
      </c>
      <c r="E29" s="1" t="s">
        <v>251</v>
      </c>
      <c r="F29" s="1" t="s">
        <v>50</v>
      </c>
    </row>
    <row r="30" spans="1:6">
      <c r="A30" s="1">
        <v>3000014</v>
      </c>
      <c r="B30" s="1" t="s">
        <v>51</v>
      </c>
      <c r="C30" s="1">
        <v>3</v>
      </c>
      <c r="D30" s="1" t="s">
        <v>372</v>
      </c>
      <c r="E30" s="1" t="s">
        <v>251</v>
      </c>
      <c r="F30" s="1" t="s">
        <v>51</v>
      </c>
    </row>
    <row r="31" spans="1:6">
      <c r="A31" s="1">
        <v>3000015</v>
      </c>
      <c r="B31" s="1" t="s">
        <v>110</v>
      </c>
      <c r="C31" s="1">
        <v>3</v>
      </c>
      <c r="D31" s="1" t="s">
        <v>180</v>
      </c>
      <c r="E31" s="1" t="s">
        <v>251</v>
      </c>
      <c r="F31" s="1" t="s">
        <v>110</v>
      </c>
    </row>
    <row r="32" spans="1:6">
      <c r="A32" s="1">
        <v>3000016</v>
      </c>
      <c r="B32" s="1" t="s">
        <v>111</v>
      </c>
      <c r="C32" s="1">
        <v>3</v>
      </c>
      <c r="D32" s="1" t="s">
        <v>180</v>
      </c>
      <c r="E32" s="1" t="s">
        <v>251</v>
      </c>
      <c r="F32" s="1" t="s">
        <v>111</v>
      </c>
    </row>
    <row r="33" spans="1:6">
      <c r="A33" s="1">
        <v>3000017</v>
      </c>
      <c r="B33" s="1" t="s">
        <v>112</v>
      </c>
      <c r="C33" s="1">
        <v>3</v>
      </c>
      <c r="D33" s="1" t="s">
        <v>179</v>
      </c>
      <c r="E33" s="1" t="s">
        <v>251</v>
      </c>
      <c r="F33" s="1" t="s">
        <v>112</v>
      </c>
    </row>
    <row r="34" spans="1:6">
      <c r="A34" s="1">
        <v>3000018</v>
      </c>
      <c r="B34" s="1" t="s">
        <v>113</v>
      </c>
      <c r="C34" s="1">
        <v>3</v>
      </c>
      <c r="D34" s="1" t="s">
        <v>180</v>
      </c>
      <c r="E34" s="1" t="s">
        <v>251</v>
      </c>
      <c r="F34" s="1" t="s">
        <v>113</v>
      </c>
    </row>
    <row r="35" spans="1:6">
      <c r="A35" s="1">
        <v>3000019</v>
      </c>
      <c r="B35" s="1" t="s">
        <v>114</v>
      </c>
      <c r="C35" s="1">
        <v>3</v>
      </c>
      <c r="D35" s="1" t="s">
        <v>180</v>
      </c>
      <c r="E35" s="1" t="s">
        <v>251</v>
      </c>
      <c r="F35" s="1" t="s">
        <v>114</v>
      </c>
    </row>
    <row r="36" spans="1:6">
      <c r="A36" s="1">
        <v>3000020</v>
      </c>
      <c r="B36" s="1" t="s">
        <v>115</v>
      </c>
      <c r="C36" s="1">
        <v>3</v>
      </c>
      <c r="D36" s="1" t="s">
        <v>181</v>
      </c>
      <c r="E36" s="1" t="s">
        <v>251</v>
      </c>
      <c r="F36" s="1" t="s">
        <v>115</v>
      </c>
    </row>
    <row r="37" spans="1:6">
      <c r="A37" s="1">
        <v>3000021</v>
      </c>
      <c r="B37" s="1" t="s">
        <v>116</v>
      </c>
      <c r="C37" s="1">
        <v>3</v>
      </c>
      <c r="D37" s="1" t="s">
        <v>182</v>
      </c>
      <c r="E37" s="1" t="s">
        <v>251</v>
      </c>
      <c r="F37" s="1" t="s">
        <v>116</v>
      </c>
    </row>
    <row r="38" spans="1:6">
      <c r="A38" s="1">
        <v>3000022</v>
      </c>
      <c r="B38" s="1" t="s">
        <v>117</v>
      </c>
      <c r="C38" s="1">
        <v>3</v>
      </c>
      <c r="D38" s="1" t="s">
        <v>182</v>
      </c>
      <c r="E38" s="1" t="s">
        <v>251</v>
      </c>
      <c r="F38" s="1" t="s">
        <v>117</v>
      </c>
    </row>
    <row r="39" spans="1:6">
      <c r="A39" s="1">
        <v>3000023</v>
      </c>
      <c r="B39" s="1" t="s">
        <v>118</v>
      </c>
      <c r="C39" s="1">
        <v>3</v>
      </c>
      <c r="D39" s="1" t="s">
        <v>181</v>
      </c>
      <c r="E39" s="1" t="s">
        <v>251</v>
      </c>
      <c r="F39" s="1" t="s">
        <v>118</v>
      </c>
    </row>
    <row r="40" spans="1:6">
      <c r="A40" s="1">
        <v>3000024</v>
      </c>
      <c r="B40" s="1" t="s">
        <v>119</v>
      </c>
      <c r="C40" s="1">
        <v>3</v>
      </c>
      <c r="D40" s="1" t="s">
        <v>183</v>
      </c>
      <c r="E40" s="1" t="s">
        <v>251</v>
      </c>
      <c r="F40" s="11" t="s">
        <v>119</v>
      </c>
    </row>
    <row r="41" spans="1:6">
      <c r="A41" s="1">
        <v>3000025</v>
      </c>
      <c r="B41" s="1" t="s">
        <v>120</v>
      </c>
      <c r="C41" s="1">
        <v>3</v>
      </c>
      <c r="D41" s="1" t="s">
        <v>183</v>
      </c>
      <c r="E41" s="1" t="s">
        <v>251</v>
      </c>
      <c r="F41" s="1" t="s">
        <v>120</v>
      </c>
    </row>
    <row r="42" spans="1:6">
      <c r="A42" s="1">
        <v>3000026</v>
      </c>
      <c r="B42" s="1" t="s">
        <v>121</v>
      </c>
      <c r="C42" s="1">
        <v>3</v>
      </c>
      <c r="D42" s="1" t="s">
        <v>184</v>
      </c>
      <c r="E42" s="1" t="s">
        <v>251</v>
      </c>
      <c r="F42" s="1" t="s">
        <v>121</v>
      </c>
    </row>
    <row r="43" spans="1:6">
      <c r="A43" s="1">
        <v>3000027</v>
      </c>
      <c r="B43" s="1" t="s">
        <v>122</v>
      </c>
      <c r="C43" s="1">
        <v>3</v>
      </c>
      <c r="D43" s="1" t="s">
        <v>183</v>
      </c>
      <c r="E43" s="1" t="s">
        <v>251</v>
      </c>
      <c r="F43" s="1" t="s">
        <v>122</v>
      </c>
    </row>
    <row r="44" spans="1:6">
      <c r="A44" s="1">
        <v>3000028</v>
      </c>
      <c r="B44" s="1" t="s">
        <v>123</v>
      </c>
      <c r="C44" s="1">
        <v>3</v>
      </c>
      <c r="D44" s="1" t="s">
        <v>183</v>
      </c>
      <c r="E44" s="1" t="s">
        <v>251</v>
      </c>
      <c r="F44" s="1" t="s">
        <v>123</v>
      </c>
    </row>
    <row r="45" spans="1:6">
      <c r="A45" s="1">
        <v>3000029</v>
      </c>
      <c r="B45" s="1" t="s">
        <v>124</v>
      </c>
      <c r="C45" s="1">
        <v>3</v>
      </c>
      <c r="D45" s="1" t="s">
        <v>184</v>
      </c>
      <c r="E45" s="1" t="s">
        <v>251</v>
      </c>
      <c r="F45" s="1" t="s">
        <v>124</v>
      </c>
    </row>
    <row r="46" spans="1:6">
      <c r="A46" s="1">
        <v>3000030</v>
      </c>
      <c r="B46" s="1" t="s">
        <v>125</v>
      </c>
      <c r="C46" s="1">
        <v>3</v>
      </c>
      <c r="D46" s="1" t="s">
        <v>173</v>
      </c>
      <c r="E46" s="1" t="s">
        <v>251</v>
      </c>
      <c r="F46" s="1" t="s">
        <v>125</v>
      </c>
    </row>
    <row r="47" spans="1:6">
      <c r="A47" s="1">
        <v>4000001</v>
      </c>
      <c r="B47" s="1" t="s">
        <v>245</v>
      </c>
      <c r="C47" s="1">
        <v>4</v>
      </c>
      <c r="D47" s="1" t="s">
        <v>250</v>
      </c>
      <c r="E47" s="1" t="s">
        <v>254</v>
      </c>
      <c r="F47" s="1" t="s">
        <v>52</v>
      </c>
    </row>
    <row r="48" spans="1:6">
      <c r="A48" s="1">
        <v>4000002</v>
      </c>
      <c r="B48" s="1" t="s">
        <v>246</v>
      </c>
      <c r="C48" s="1">
        <v>4</v>
      </c>
      <c r="D48" s="1" t="s">
        <v>316</v>
      </c>
      <c r="E48" s="1" t="s">
        <v>254</v>
      </c>
      <c r="F48" s="1" t="s">
        <v>53</v>
      </c>
    </row>
    <row r="49" spans="1:6">
      <c r="A49" s="1">
        <v>4000003</v>
      </c>
      <c r="B49" s="1" t="s">
        <v>54</v>
      </c>
      <c r="C49" s="1">
        <v>4</v>
      </c>
      <c r="D49" s="1" t="s">
        <v>317</v>
      </c>
      <c r="E49" s="1" t="s">
        <v>254</v>
      </c>
      <c r="F49" s="1" t="s">
        <v>54</v>
      </c>
    </row>
    <row r="50" spans="1:6">
      <c r="A50" s="1">
        <v>4000004</v>
      </c>
      <c r="B50" s="1" t="s">
        <v>55</v>
      </c>
      <c r="C50" s="1">
        <v>4</v>
      </c>
      <c r="D50" s="1" t="s">
        <v>177</v>
      </c>
      <c r="E50" s="1" t="s">
        <v>253</v>
      </c>
      <c r="F50" s="1" t="s">
        <v>55</v>
      </c>
    </row>
    <row r="51" spans="1:6">
      <c r="A51" s="1">
        <v>4000005</v>
      </c>
      <c r="B51" s="1" t="s">
        <v>56</v>
      </c>
      <c r="C51" s="1">
        <v>4</v>
      </c>
      <c r="D51" s="1" t="s">
        <v>172</v>
      </c>
      <c r="E51" s="1" t="s">
        <v>253</v>
      </c>
      <c r="F51" s="1" t="s">
        <v>56</v>
      </c>
    </row>
    <row r="52" spans="1:6">
      <c r="A52" s="1">
        <v>4000006</v>
      </c>
      <c r="B52" s="1" t="s">
        <v>57</v>
      </c>
      <c r="C52" s="1">
        <v>4</v>
      </c>
      <c r="D52" s="1" t="s">
        <v>180</v>
      </c>
      <c r="E52" s="1" t="s">
        <v>253</v>
      </c>
      <c r="F52" s="1" t="s">
        <v>57</v>
      </c>
    </row>
    <row r="53" spans="1:6">
      <c r="A53" s="1">
        <v>4000007</v>
      </c>
      <c r="B53" s="1" t="s">
        <v>58</v>
      </c>
      <c r="C53" s="1">
        <v>4</v>
      </c>
      <c r="D53" s="1" t="s">
        <v>182</v>
      </c>
      <c r="E53" s="1" t="s">
        <v>253</v>
      </c>
      <c r="F53" s="1" t="s">
        <v>58</v>
      </c>
    </row>
    <row r="54" spans="1:6">
      <c r="A54" s="1">
        <v>5000001</v>
      </c>
      <c r="B54" s="1" t="str">
        <f>"击败"&amp;[1]map.xml!$B6&amp;"boss奖励"</f>
        <v>击败试炼谷boss奖励</v>
      </c>
      <c r="C54" s="1">
        <v>5</v>
      </c>
      <c r="D54" s="1" t="s">
        <v>257</v>
      </c>
      <c r="E54" s="1" t="s">
        <v>31</v>
      </c>
      <c r="F54" s="1" t="s">
        <v>208</v>
      </c>
    </row>
    <row r="55" spans="1:6">
      <c r="A55" s="1">
        <v>5000002</v>
      </c>
      <c r="B55" s="1" t="str">
        <f>"击败"&amp;[1]map.xml!$B7&amp;"boss奖励"</f>
        <v>击败北境古堡boss奖励</v>
      </c>
      <c r="C55" s="1">
        <v>5</v>
      </c>
      <c r="D55" s="1" t="s">
        <v>257</v>
      </c>
      <c r="E55" s="1" t="s">
        <v>31</v>
      </c>
      <c r="F55" s="1" t="s">
        <v>209</v>
      </c>
    </row>
    <row r="56" spans="1:6">
      <c r="A56" s="1">
        <v>5000003</v>
      </c>
      <c r="B56" s="1" t="str">
        <f>"击败"&amp;[1]map.xml!$B8&amp;"boss奖励"</f>
        <v>击败日光森林boss奖励</v>
      </c>
      <c r="C56" s="1">
        <v>5</v>
      </c>
      <c r="D56" s="1" t="s">
        <v>257</v>
      </c>
      <c r="E56" s="1" t="s">
        <v>31</v>
      </c>
      <c r="F56" s="1" t="s">
        <v>210</v>
      </c>
    </row>
    <row r="57" spans="1:6">
      <c r="A57" s="1">
        <v>5000004</v>
      </c>
      <c r="B57" s="1" t="str">
        <f>"击败"&amp;[1]map.xml!$B9&amp;"boss奖励"</f>
        <v>击败暮光湖boss奖励</v>
      </c>
      <c r="C57" s="1">
        <v>5</v>
      </c>
      <c r="D57" s="1" t="s">
        <v>257</v>
      </c>
      <c r="E57" s="1" t="s">
        <v>31</v>
      </c>
      <c r="F57" s="1" t="s">
        <v>211</v>
      </c>
    </row>
    <row r="58" spans="1:6">
      <c r="A58" s="1">
        <v>5000005</v>
      </c>
      <c r="B58" s="1" t="str">
        <f>"击败"&amp;[1]map.xml!$B10&amp;"boss奖励"</f>
        <v>击败嚎叫深渊boss奖励</v>
      </c>
      <c r="C58" s="1">
        <v>5</v>
      </c>
      <c r="D58" s="1" t="s">
        <v>258</v>
      </c>
      <c r="E58" s="1" t="s">
        <v>31</v>
      </c>
      <c r="F58" s="1" t="s">
        <v>212</v>
      </c>
    </row>
    <row r="59" spans="1:6">
      <c r="A59" s="1">
        <v>5000006</v>
      </c>
      <c r="B59" s="1" t="str">
        <f>"击败"&amp;[1]map.xml!$B11&amp;"boss奖励"</f>
        <v>击败南风堡boss奖励</v>
      </c>
      <c r="C59" s="1">
        <v>5</v>
      </c>
      <c r="D59" s="1" t="s">
        <v>258</v>
      </c>
      <c r="E59" s="1" t="s">
        <v>31</v>
      </c>
      <c r="F59" s="1" t="s">
        <v>213</v>
      </c>
    </row>
    <row r="60" spans="1:6">
      <c r="A60" s="1">
        <v>5000007</v>
      </c>
      <c r="B60" s="1" t="str">
        <f>"击败"&amp;[1]map.xml!$B12&amp;"boss奖励"</f>
        <v>击败圣光教堂boss奖励</v>
      </c>
      <c r="C60" s="1">
        <v>5</v>
      </c>
      <c r="D60" s="1" t="s">
        <v>258</v>
      </c>
      <c r="E60" s="1" t="s">
        <v>31</v>
      </c>
      <c r="F60" s="1" t="s">
        <v>214</v>
      </c>
    </row>
    <row r="61" spans="1:6">
      <c r="A61" s="1">
        <v>5000008</v>
      </c>
      <c r="B61" s="1" t="str">
        <f>"击败"&amp;[1]map.xml!$B13&amp;"boss奖励"</f>
        <v>击败美酒地窖boss奖励</v>
      </c>
      <c r="C61" s="1">
        <v>5</v>
      </c>
      <c r="D61" s="1" t="s">
        <v>258</v>
      </c>
      <c r="E61" s="1" t="s">
        <v>31</v>
      </c>
      <c r="F61" s="1" t="s">
        <v>215</v>
      </c>
    </row>
    <row r="62" spans="1:6">
      <c r="A62" s="1">
        <v>5000009</v>
      </c>
      <c r="B62" s="1" t="str">
        <f>"击败"&amp;[1]map.xml!$B14&amp;"boss奖励"</f>
        <v>击败钢铁之门boss奖励</v>
      </c>
      <c r="C62" s="1">
        <v>5</v>
      </c>
      <c r="D62" s="1" t="s">
        <v>259</v>
      </c>
      <c r="E62" s="1" t="s">
        <v>31</v>
      </c>
      <c r="F62" s="1" t="s">
        <v>216</v>
      </c>
    </row>
    <row r="63" spans="1:6">
      <c r="A63" s="1">
        <v>5000010</v>
      </c>
      <c r="B63" s="1" t="str">
        <f>"击败"&amp;[1]map.xml!$B15&amp;"boss奖励"</f>
        <v>击败红龙巢穴boss奖励</v>
      </c>
      <c r="C63" s="1">
        <v>5</v>
      </c>
      <c r="D63" s="1" t="s">
        <v>259</v>
      </c>
      <c r="E63" s="1" t="s">
        <v>31</v>
      </c>
      <c r="F63" s="1" t="s">
        <v>217</v>
      </c>
    </row>
    <row r="64" spans="1:6">
      <c r="A64" s="1">
        <v>5000011</v>
      </c>
      <c r="B64" s="1" t="str">
        <f>"击败"&amp;[1]map.xml!$B16&amp;"boss奖励"</f>
        <v>击败双龙窟boss奖励</v>
      </c>
      <c r="C64" s="1">
        <v>5</v>
      </c>
      <c r="D64" s="1" t="s">
        <v>259</v>
      </c>
      <c r="E64" s="1" t="s">
        <v>31</v>
      </c>
      <c r="F64" s="1" t="s">
        <v>218</v>
      </c>
    </row>
    <row r="65" spans="1:6">
      <c r="A65" s="1">
        <v>5000012</v>
      </c>
      <c r="B65" s="1" t="str">
        <f>"击败"&amp;[1]map.xml!$B17&amp;"boss奖励"</f>
        <v>击败血色熔炉boss奖励</v>
      </c>
      <c r="C65" s="1">
        <v>5</v>
      </c>
      <c r="D65" s="1" t="s">
        <v>259</v>
      </c>
      <c r="E65" s="1" t="s">
        <v>31</v>
      </c>
      <c r="F65" s="1" t="s">
        <v>219</v>
      </c>
    </row>
    <row r="66" spans="1:6">
      <c r="A66" s="1">
        <v>5000013</v>
      </c>
      <c r="B66" s="1" t="str">
        <f>"击败"&amp;[1]map.xml!$B18&amp;"boss奖励"</f>
        <v>击败绝望镇boss奖励</v>
      </c>
      <c r="C66" s="1">
        <v>5</v>
      </c>
      <c r="D66" s="1" t="s">
        <v>260</v>
      </c>
      <c r="E66" s="1" t="s">
        <v>31</v>
      </c>
      <c r="F66" s="1" t="s">
        <v>220</v>
      </c>
    </row>
    <row r="67" spans="1:6">
      <c r="A67" s="1">
        <v>5000014</v>
      </c>
      <c r="B67" s="1" t="str">
        <f>"击败"&amp;[1]map.xml!$B19&amp;"boss奖励"</f>
        <v>击败艾达溶洞boss奖励</v>
      </c>
      <c r="C67" s="1">
        <v>5</v>
      </c>
      <c r="D67" s="1" t="s">
        <v>260</v>
      </c>
      <c r="E67" s="1" t="s">
        <v>31</v>
      </c>
      <c r="F67" s="1" t="s">
        <v>221</v>
      </c>
    </row>
    <row r="68" spans="1:6">
      <c r="A68" s="1">
        <v>5000015</v>
      </c>
      <c r="B68" s="1" t="str">
        <f>"击败"&amp;[1]map.xml!$B20&amp;"boss奖励"</f>
        <v>击败城墙大门boss奖励</v>
      </c>
      <c r="C68" s="1">
        <v>5</v>
      </c>
      <c r="D68" s="1" t="s">
        <v>260</v>
      </c>
      <c r="E68" s="1" t="s">
        <v>31</v>
      </c>
      <c r="F68" s="1" t="s">
        <v>222</v>
      </c>
    </row>
    <row r="69" spans="1:6">
      <c r="A69" s="1">
        <v>5000016</v>
      </c>
      <c r="B69" s="1" t="str">
        <f>"击败"&amp;[1]map.xml!$B21&amp;"boss奖励"</f>
        <v>击败城墙中部boss奖励</v>
      </c>
      <c r="C69" s="1">
        <v>5</v>
      </c>
      <c r="D69" s="1" t="s">
        <v>260</v>
      </c>
      <c r="E69" s="1" t="s">
        <v>31</v>
      </c>
      <c r="F69" s="1" t="s">
        <v>223</v>
      </c>
    </row>
    <row r="70" spans="1:6">
      <c r="A70" s="1">
        <v>5000017</v>
      </c>
      <c r="B70" s="1" t="str">
        <f>"击败"&amp;[1]map.xml!$B22&amp;"boss奖励"</f>
        <v>击败凛风城boss奖励</v>
      </c>
      <c r="C70" s="1">
        <v>5</v>
      </c>
      <c r="D70" s="1" t="s">
        <v>261</v>
      </c>
      <c r="E70" s="1" t="s">
        <v>31</v>
      </c>
      <c r="F70" s="1" t="s">
        <v>224</v>
      </c>
    </row>
    <row r="71" spans="1:6">
      <c r="A71" s="1">
        <v>5000018</v>
      </c>
      <c r="B71" s="1" t="str">
        <f>"击败"&amp;[1]map.xml!$B23&amp;"boss奖励"</f>
        <v>击败古达姆boss奖励</v>
      </c>
      <c r="C71" s="1">
        <v>5</v>
      </c>
      <c r="D71" s="1" t="s">
        <v>261</v>
      </c>
      <c r="E71" s="1" t="s">
        <v>31</v>
      </c>
      <c r="F71" s="1" t="s">
        <v>225</v>
      </c>
    </row>
    <row r="72" spans="1:6">
      <c r="A72" s="1">
        <v>5000019</v>
      </c>
      <c r="B72" s="1" t="str">
        <f>"击败"&amp;[1]map.xml!$B24&amp;"boss奖励"</f>
        <v>击败密林实验室boss奖励</v>
      </c>
      <c r="C72" s="1">
        <v>5</v>
      </c>
      <c r="D72" s="1" t="s">
        <v>261</v>
      </c>
      <c r="E72" s="1" t="s">
        <v>31</v>
      </c>
      <c r="F72" s="1" t="s">
        <v>226</v>
      </c>
    </row>
    <row r="73" spans="1:6">
      <c r="A73" s="1">
        <v>5000020</v>
      </c>
      <c r="B73" s="1" t="str">
        <f>"击败"&amp;[1]map.xml!$B25&amp;"boss奖励"</f>
        <v>击败北海圣坛boss奖励</v>
      </c>
      <c r="C73" s="1">
        <v>5</v>
      </c>
      <c r="D73" s="1" t="s">
        <v>261</v>
      </c>
      <c r="E73" s="1" t="s">
        <v>31</v>
      </c>
      <c r="F73" s="1" t="s">
        <v>227</v>
      </c>
    </row>
    <row r="74" spans="1:6">
      <c r="A74" s="1">
        <v>5000021</v>
      </c>
      <c r="B74" s="1" t="str">
        <f>"击败"&amp;[1]map.xml!$B26&amp;"boss奖励"</f>
        <v>击败怒牙要塞boss奖励</v>
      </c>
      <c r="C74" s="1">
        <v>5</v>
      </c>
      <c r="D74" s="1" t="s">
        <v>262</v>
      </c>
      <c r="E74" s="1" t="s">
        <v>31</v>
      </c>
      <c r="F74" s="1" t="s">
        <v>228</v>
      </c>
    </row>
    <row r="75" spans="1:6">
      <c r="A75" s="1">
        <v>5000022</v>
      </c>
      <c r="B75" s="1" t="str">
        <f>"击败"&amp;[1]map.xml!$B27&amp;"boss奖励"</f>
        <v>击败尘沙堡boss奖励</v>
      </c>
      <c r="C75" s="1">
        <v>5</v>
      </c>
      <c r="D75" s="1" t="s">
        <v>262</v>
      </c>
      <c r="E75" s="1" t="s">
        <v>31</v>
      </c>
      <c r="F75" s="1" t="s">
        <v>229</v>
      </c>
    </row>
    <row r="76" spans="1:6">
      <c r="A76" s="1">
        <v>5000023</v>
      </c>
      <c r="B76" s="1" t="str">
        <f>"击败"&amp;[1]map.xml!$B28&amp;"boss奖励"</f>
        <v>击败潮汐遗迹boss奖励</v>
      </c>
      <c r="C76" s="1">
        <v>5</v>
      </c>
      <c r="D76" s="1" t="s">
        <v>263</v>
      </c>
      <c r="E76" s="1" t="s">
        <v>31</v>
      </c>
      <c r="F76" s="1" t="s">
        <v>230</v>
      </c>
    </row>
    <row r="77" spans="1:6">
      <c r="A77" s="1">
        <v>5000024</v>
      </c>
      <c r="B77" s="1" t="str">
        <f>"击败"&amp;[1]map.xml!$B29&amp;"boss奖励"</f>
        <v>击败沐星城boss奖励</v>
      </c>
      <c r="C77" s="1">
        <v>5</v>
      </c>
      <c r="D77" s="1" t="s">
        <v>263</v>
      </c>
      <c r="E77" s="1" t="s">
        <v>31</v>
      </c>
      <c r="F77" s="1" t="s">
        <v>231</v>
      </c>
    </row>
    <row r="78" spans="1:6">
      <c r="A78" s="1">
        <v>5000025</v>
      </c>
      <c r="B78" s="1" t="str">
        <f>"击败"&amp;[1]map.xml!$B30&amp;"boss奖励"</f>
        <v>击败猛犸之墓boss奖励</v>
      </c>
      <c r="C78" s="1">
        <v>5</v>
      </c>
      <c r="D78" s="1" t="s">
        <v>264</v>
      </c>
      <c r="E78" s="1" t="s">
        <v>31</v>
      </c>
      <c r="F78" s="1" t="s">
        <v>232</v>
      </c>
    </row>
    <row r="79" spans="1:6">
      <c r="A79" s="1">
        <v>5000026</v>
      </c>
      <c r="B79" s="1" t="str">
        <f>"击败"&amp;[1]map.xml!$B31&amp;"boss奖励"</f>
        <v>击败霜狼十字boss奖励</v>
      </c>
      <c r="C79" s="1">
        <v>5</v>
      </c>
      <c r="D79" s="1" t="s">
        <v>264</v>
      </c>
      <c r="E79" s="1" t="s">
        <v>31</v>
      </c>
      <c r="F79" s="1" t="s">
        <v>233</v>
      </c>
    </row>
    <row r="80" spans="1:6">
      <c r="A80" s="1">
        <v>5000027</v>
      </c>
      <c r="B80" s="1" t="str">
        <f>"击败"&amp;[1]map.xml!$B32&amp;"boss奖励"</f>
        <v>击败时光壁炉boss奖励</v>
      </c>
      <c r="C80" s="1">
        <v>5</v>
      </c>
      <c r="D80" s="1" t="s">
        <v>265</v>
      </c>
      <c r="E80" s="1" t="s">
        <v>31</v>
      </c>
      <c r="F80" s="1" t="s">
        <v>234</v>
      </c>
    </row>
    <row r="81" spans="1:6">
      <c r="A81" s="1">
        <v>5000028</v>
      </c>
      <c r="B81" s="1" t="str">
        <f>"击败"&amp;[1]map.xml!$B33&amp;"boss奖励"</f>
        <v>击败折月城堡boss奖励</v>
      </c>
      <c r="C81" s="1">
        <v>5</v>
      </c>
      <c r="D81" s="1" t="s">
        <v>265</v>
      </c>
      <c r="E81" s="1" t="s">
        <v>31</v>
      </c>
      <c r="F81" s="1" t="s">
        <v>235</v>
      </c>
    </row>
    <row r="82" spans="1:6">
      <c r="A82" s="1">
        <v>5000029</v>
      </c>
      <c r="B82" s="1" t="str">
        <f>"击败"&amp;[1]map.xml!$B34&amp;"boss奖励"</f>
        <v>击败暗魔塔boss奖励</v>
      </c>
      <c r="C82" s="1">
        <v>5</v>
      </c>
      <c r="D82" s="1" t="s">
        <v>266</v>
      </c>
      <c r="E82" s="1" t="s">
        <v>31</v>
      </c>
      <c r="F82" s="1" t="s">
        <v>236</v>
      </c>
    </row>
    <row r="83" spans="1:6">
      <c r="A83" s="1">
        <v>5000030</v>
      </c>
      <c r="B83" s="1" t="str">
        <f>"击败"&amp;[1]map.xml!$B35&amp;"boss奖励"</f>
        <v>击败流金大厅boss奖励</v>
      </c>
      <c r="C83" s="1">
        <v>5</v>
      </c>
      <c r="D83" s="1" t="s">
        <v>266</v>
      </c>
      <c r="E83" s="1" t="s">
        <v>31</v>
      </c>
      <c r="F83" s="1" t="s">
        <v>237</v>
      </c>
    </row>
    <row r="84" spans="1:6">
      <c r="A84" s="1">
        <v>5000031</v>
      </c>
      <c r="B84" s="1" t="str">
        <f>"击败"&amp;[1]map.xml!$B36&amp;"boss奖励"</f>
        <v>击败塔姆丛林boss奖励</v>
      </c>
      <c r="C84" s="1">
        <v>5</v>
      </c>
      <c r="D84" s="1" t="s">
        <v>267</v>
      </c>
      <c r="E84" s="1" t="s">
        <v>31</v>
      </c>
      <c r="F84" s="1" t="s">
        <v>238</v>
      </c>
    </row>
    <row r="85" spans="1:6">
      <c r="A85" s="1">
        <v>5000032</v>
      </c>
      <c r="B85" s="1" t="str">
        <f>"击败"&amp;[1]map.xml!$B37&amp;"boss奖励"</f>
        <v>击败十三王陵boss奖励</v>
      </c>
      <c r="C85" s="1">
        <v>5</v>
      </c>
      <c r="D85" s="1" t="s">
        <v>267</v>
      </c>
      <c r="E85" s="1" t="s">
        <v>31</v>
      </c>
      <c r="F85" s="1" t="s">
        <v>239</v>
      </c>
    </row>
    <row r="86" spans="1:6">
      <c r="A86" s="1">
        <v>5000033</v>
      </c>
      <c r="B86" s="1" t="str">
        <f>"击败"&amp;[1]map.xml!$B38&amp;"boss奖励"</f>
        <v>击败巨木之森boss奖励</v>
      </c>
      <c r="C86" s="1">
        <v>5</v>
      </c>
      <c r="D86" s="1" t="s">
        <v>268</v>
      </c>
      <c r="E86" s="1" t="s">
        <v>31</v>
      </c>
      <c r="F86" s="1" t="s">
        <v>240</v>
      </c>
    </row>
    <row r="87" spans="1:6">
      <c r="A87" s="1">
        <v>5000034</v>
      </c>
      <c r="B87" s="1" t="str">
        <f>"击败"&amp;[1]map.xml!$B39&amp;"boss奖励"</f>
        <v>击败红魔监狱boss奖励</v>
      </c>
      <c r="C87" s="1">
        <v>5</v>
      </c>
      <c r="D87" s="1" t="s">
        <v>268</v>
      </c>
      <c r="E87" s="1" t="s">
        <v>31</v>
      </c>
      <c r="F87" s="1" t="s">
        <v>241</v>
      </c>
    </row>
    <row r="88" spans="1:6">
      <c r="A88" s="1">
        <v>5000035</v>
      </c>
      <c r="B88" s="1" t="str">
        <f>"击败"&amp;[1]map.xml!$B40&amp;"boss奖励"</f>
        <v>击败金砂堡boss奖励</v>
      </c>
      <c r="C88" s="1">
        <v>5</v>
      </c>
      <c r="D88" s="1" t="s">
        <v>269</v>
      </c>
      <c r="E88" s="1" t="s">
        <v>31</v>
      </c>
      <c r="F88" s="1" t="s">
        <v>242</v>
      </c>
    </row>
    <row r="89" spans="1:6">
      <c r="A89" s="1">
        <v>5000036</v>
      </c>
      <c r="B89" s="1" t="str">
        <f>"击败"&amp;[1]map.xml!$B41&amp;"boss奖励"</f>
        <v>击败达雅之核boss奖励</v>
      </c>
      <c r="C89" s="1">
        <v>5</v>
      </c>
      <c r="D89" s="1" t="s">
        <v>335</v>
      </c>
      <c r="E89" s="1" t="s">
        <v>31</v>
      </c>
      <c r="F89" s="1" t="s">
        <v>318</v>
      </c>
    </row>
    <row r="90" spans="1:6">
      <c r="A90" s="1">
        <v>5000037</v>
      </c>
      <c r="B90" s="1" t="str">
        <f>"击败"&amp;[1]map.xml!$B42&amp;"boss奖励"</f>
        <v>击败红谷绞肉机boss奖励</v>
      </c>
      <c r="C90" s="1">
        <v>5</v>
      </c>
      <c r="D90" s="1" t="s">
        <v>336</v>
      </c>
      <c r="E90" s="1" t="s">
        <v>31</v>
      </c>
      <c r="F90" s="1" t="s">
        <v>319</v>
      </c>
    </row>
    <row r="91" spans="1:6">
      <c r="A91" s="1">
        <v>5000038</v>
      </c>
      <c r="B91" s="1" t="str">
        <f>"击败"&amp;[1]map.xml!$B43&amp;"boss奖励"</f>
        <v>击败埋骨地boss奖励</v>
      </c>
      <c r="C91" s="1">
        <v>5</v>
      </c>
      <c r="D91" s="1" t="s">
        <v>337</v>
      </c>
      <c r="E91" s="1" t="s">
        <v>31</v>
      </c>
      <c r="F91" s="1" t="s">
        <v>320</v>
      </c>
    </row>
    <row r="92" spans="1:6">
      <c r="A92" s="1">
        <v>5000039</v>
      </c>
      <c r="B92" s="1" t="str">
        <f>"击败"&amp;[1]map.xml!$B44&amp;"boss奖励"</f>
        <v>击败流云古城boss奖励</v>
      </c>
      <c r="C92" s="1">
        <v>5</v>
      </c>
      <c r="D92" s="1" t="s">
        <v>338</v>
      </c>
      <c r="E92" s="1" t="s">
        <v>31</v>
      </c>
      <c r="F92" s="1" t="s">
        <v>321</v>
      </c>
    </row>
    <row r="93" spans="1:6">
      <c r="A93" s="1">
        <v>5000040</v>
      </c>
      <c r="B93" s="1" t="str">
        <f>"击败"&amp;[1]map.xml!$B45&amp;"boss奖励"</f>
        <v>击败饮光崖boss奖励</v>
      </c>
      <c r="C93" s="1">
        <v>5</v>
      </c>
      <c r="D93" s="1" t="s">
        <v>339</v>
      </c>
      <c r="E93" s="1" t="s">
        <v>31</v>
      </c>
      <c r="F93" s="1" t="s">
        <v>322</v>
      </c>
    </row>
    <row r="94" spans="1:6">
      <c r="A94" s="1">
        <v>5000041</v>
      </c>
      <c r="B94" s="1" t="str">
        <f>"击败"&amp;[1]map.xml!$B46&amp;"boss奖励"</f>
        <v>击败黑风要塞boss奖励</v>
      </c>
      <c r="C94" s="1">
        <v>5</v>
      </c>
      <c r="D94" s="1" t="s">
        <v>340</v>
      </c>
      <c r="E94" s="1" t="s">
        <v>31</v>
      </c>
      <c r="F94" s="1" t="s">
        <v>323</v>
      </c>
    </row>
    <row r="95" spans="1:6">
      <c r="A95" s="1">
        <v>5000042</v>
      </c>
      <c r="B95" s="1" t="str">
        <f>"击败"&amp;[1]map.xml!$B47&amp;"boss奖励"</f>
        <v>击败努玛遗迹boss奖励</v>
      </c>
      <c r="C95" s="1">
        <v>5</v>
      </c>
      <c r="D95" s="1" t="s">
        <v>341</v>
      </c>
      <c r="E95" s="1" t="s">
        <v>31</v>
      </c>
      <c r="F95" s="1" t="s">
        <v>324</v>
      </c>
    </row>
    <row r="96" spans="1:6">
      <c r="A96" s="1">
        <v>5000043</v>
      </c>
      <c r="B96" s="1" t="str">
        <f>"击败"&amp;[1]map.xml!$B48&amp;"boss奖励"</f>
        <v>击败幽灵大厅boss奖励</v>
      </c>
      <c r="C96" s="1">
        <v>5</v>
      </c>
      <c r="D96" s="1" t="s">
        <v>342</v>
      </c>
      <c r="E96" s="1" t="s">
        <v>31</v>
      </c>
      <c r="F96" s="1" t="s">
        <v>325</v>
      </c>
    </row>
    <row r="97" spans="1:6">
      <c r="A97" s="1">
        <v>5000044</v>
      </c>
      <c r="B97" s="1" t="str">
        <f>"击败"&amp;[1]map.xml!$B49&amp;"boss奖励"</f>
        <v>击败寒古山脉boss奖励</v>
      </c>
      <c r="C97" s="1">
        <v>5</v>
      </c>
      <c r="D97" s="1" t="s">
        <v>343</v>
      </c>
      <c r="E97" s="1" t="s">
        <v>31</v>
      </c>
      <c r="F97" s="1" t="s">
        <v>326</v>
      </c>
    </row>
    <row r="98" spans="1:6">
      <c r="A98" s="1">
        <v>5000045</v>
      </c>
      <c r="B98" s="1" t="str">
        <f>"击败"&amp;[1]map.xml!$B50&amp;"boss奖励"</f>
        <v>击败铁卫雕像boss奖励</v>
      </c>
      <c r="C98" s="1">
        <v>5</v>
      </c>
      <c r="D98" s="1" t="s">
        <v>344</v>
      </c>
      <c r="E98" s="1" t="s">
        <v>31</v>
      </c>
      <c r="F98" s="1" t="s">
        <v>327</v>
      </c>
    </row>
    <row r="99" spans="1:6">
      <c r="A99" s="1">
        <v>5000046</v>
      </c>
      <c r="B99" s="1" t="str">
        <f>"击败"&amp;[1]map.xml!$B51&amp;"boss奖励"</f>
        <v>击败喋血之门boss奖励</v>
      </c>
      <c r="C99" s="1">
        <v>5</v>
      </c>
      <c r="D99" s="1" t="s">
        <v>345</v>
      </c>
      <c r="E99" s="1" t="s">
        <v>31</v>
      </c>
      <c r="F99" s="1" t="s">
        <v>328</v>
      </c>
    </row>
    <row r="100" spans="1:6">
      <c r="A100" s="1">
        <v>5000047</v>
      </c>
      <c r="B100" s="1" t="str">
        <f>"击败"&amp;[1]map.xml!$B52&amp;"boss奖励"</f>
        <v>击败苦塔boss奖励</v>
      </c>
      <c r="C100" s="1">
        <v>5</v>
      </c>
      <c r="D100" s="1" t="s">
        <v>346</v>
      </c>
      <c r="E100" s="1" t="s">
        <v>31</v>
      </c>
      <c r="F100" s="1" t="s">
        <v>329</v>
      </c>
    </row>
    <row r="101" spans="1:6">
      <c r="A101" s="1">
        <v>5000048</v>
      </c>
      <c r="B101" s="1" t="str">
        <f>"击败"&amp;[1]map.xml!$B53&amp;"boss奖励"</f>
        <v>击败雪路之庭boss奖励</v>
      </c>
      <c r="C101" s="1">
        <v>5</v>
      </c>
      <c r="D101" s="1" t="s">
        <v>347</v>
      </c>
      <c r="E101" s="1" t="s">
        <v>31</v>
      </c>
      <c r="F101" s="1" t="s">
        <v>330</v>
      </c>
    </row>
    <row r="102" spans="1:6">
      <c r="A102" s="1">
        <v>5000049</v>
      </c>
      <c r="B102" s="1" t="str">
        <f>"击败"&amp;[1]map.xml!$B54&amp;"boss奖励"</f>
        <v>击败幽魂小径boss奖励</v>
      </c>
      <c r="C102" s="1">
        <v>5</v>
      </c>
      <c r="D102" s="1" t="s">
        <v>348</v>
      </c>
      <c r="E102" s="1" t="s">
        <v>31</v>
      </c>
      <c r="F102" s="1" t="s">
        <v>331</v>
      </c>
    </row>
    <row r="103" spans="1:6">
      <c r="A103" s="1">
        <v>5000050</v>
      </c>
      <c r="B103" s="1" t="str">
        <f>"击败"&amp;[1]map.xml!$B55&amp;"boss奖励"</f>
        <v>击败地狱之门boss奖励</v>
      </c>
      <c r="C103" s="1">
        <v>5</v>
      </c>
      <c r="D103" s="1" t="s">
        <v>349</v>
      </c>
      <c r="E103" s="1" t="s">
        <v>31</v>
      </c>
      <c r="F103" s="1" t="s">
        <v>332</v>
      </c>
    </row>
    <row r="104" spans="1:6">
      <c r="A104" s="1">
        <v>5000051</v>
      </c>
      <c r="B104" s="1" t="str">
        <f>"击败"&amp;[1]map.xml!$B56&amp;"boss奖励"</f>
        <v>击败安塔恶魔之城boss奖励</v>
      </c>
      <c r="C104" s="1">
        <v>5</v>
      </c>
      <c r="D104" s="1" t="s">
        <v>350</v>
      </c>
      <c r="E104" s="1" t="s">
        <v>31</v>
      </c>
      <c r="F104" s="1" t="s">
        <v>333</v>
      </c>
    </row>
    <row r="105" spans="1:6">
      <c r="A105" s="1">
        <v>5000052</v>
      </c>
      <c r="B105" s="1" t="str">
        <f>"击败"&amp;[1]map.xml!$B57&amp;"boss奖励"</f>
        <v>击败通天塔boss奖励</v>
      </c>
      <c r="C105" s="1">
        <v>5</v>
      </c>
      <c r="D105" s="1" t="s">
        <v>351</v>
      </c>
      <c r="E105" s="1" t="s">
        <v>31</v>
      </c>
      <c r="F105" s="1" t="s">
        <v>334</v>
      </c>
    </row>
    <row r="106" spans="1:6">
      <c r="A106" s="1">
        <v>6000001</v>
      </c>
      <c r="B106" s="1" t="s">
        <v>247</v>
      </c>
      <c r="C106" s="1">
        <v>6</v>
      </c>
      <c r="D106" s="1" t="s">
        <v>185</v>
      </c>
      <c r="E106" s="1" t="s">
        <v>256</v>
      </c>
      <c r="F106" s="1" t="s">
        <v>66</v>
      </c>
    </row>
    <row r="107" spans="1:6">
      <c r="A107" s="1">
        <v>6000002</v>
      </c>
      <c r="B107" s="1" t="s">
        <v>248</v>
      </c>
      <c r="C107" s="1">
        <v>6</v>
      </c>
      <c r="D107" s="1" t="s">
        <v>186</v>
      </c>
      <c r="E107" s="1" t="s">
        <v>256</v>
      </c>
      <c r="F107" s="1" t="s">
        <v>67</v>
      </c>
    </row>
    <row r="108" spans="1:6">
      <c r="A108" s="1">
        <v>6000003</v>
      </c>
      <c r="B108" s="1" t="s">
        <v>249</v>
      </c>
      <c r="C108" s="1">
        <v>6</v>
      </c>
      <c r="D108" s="1" t="s">
        <v>187</v>
      </c>
      <c r="E108" s="1" t="s">
        <v>255</v>
      </c>
      <c r="F108" s="1" t="s">
        <v>7</v>
      </c>
    </row>
    <row r="109" spans="1:6">
      <c r="A109" s="1">
        <v>6000004</v>
      </c>
      <c r="B109" s="1" t="s">
        <v>68</v>
      </c>
      <c r="C109" s="1">
        <v>6</v>
      </c>
      <c r="D109" s="1" t="s">
        <v>188</v>
      </c>
      <c r="E109" s="1" t="s">
        <v>255</v>
      </c>
      <c r="F109" s="1" t="s">
        <v>68</v>
      </c>
    </row>
    <row r="110" spans="1:6">
      <c r="A110" s="1">
        <v>6000005</v>
      </c>
      <c r="B110" s="1" t="s">
        <v>69</v>
      </c>
      <c r="C110" s="1">
        <v>6</v>
      </c>
      <c r="D110" s="1" t="s">
        <v>189</v>
      </c>
      <c r="E110" s="1" t="s">
        <v>255</v>
      </c>
      <c r="F110" s="1" t="s">
        <v>69</v>
      </c>
    </row>
    <row r="111" spans="1:6">
      <c r="A111" s="1">
        <v>6000006</v>
      </c>
      <c r="B111" s="1" t="s">
        <v>70</v>
      </c>
      <c r="C111" s="1">
        <v>6</v>
      </c>
      <c r="D111" s="1" t="s">
        <v>190</v>
      </c>
      <c r="E111" s="1" t="s">
        <v>255</v>
      </c>
      <c r="F111" s="1" t="s">
        <v>70</v>
      </c>
    </row>
    <row r="112" spans="1:6">
      <c r="A112" s="1">
        <v>6000007</v>
      </c>
      <c r="B112" s="1" t="s">
        <v>71</v>
      </c>
      <c r="C112" s="1">
        <v>6</v>
      </c>
      <c r="D112" s="1" t="s">
        <v>191</v>
      </c>
      <c r="E112" s="1" t="s">
        <v>255</v>
      </c>
      <c r="F112" s="1" t="s">
        <v>71</v>
      </c>
    </row>
    <row r="113" spans="1:6">
      <c r="A113" s="1">
        <v>6000008</v>
      </c>
      <c r="B113" s="1" t="s">
        <v>72</v>
      </c>
      <c r="C113" s="1">
        <v>6</v>
      </c>
      <c r="D113" s="1" t="s">
        <v>192</v>
      </c>
      <c r="E113" s="1" t="s">
        <v>255</v>
      </c>
      <c r="F113" s="1" t="s">
        <v>72</v>
      </c>
    </row>
    <row r="114" spans="1:6">
      <c r="A114" s="1">
        <v>6000009</v>
      </c>
      <c r="B114" s="1" t="s">
        <v>73</v>
      </c>
      <c r="C114" s="1">
        <v>6</v>
      </c>
      <c r="D114" s="1" t="s">
        <v>193</v>
      </c>
      <c r="E114" s="1" t="s">
        <v>255</v>
      </c>
      <c r="F114" s="1" t="s">
        <v>73</v>
      </c>
    </row>
    <row r="115" spans="1:6">
      <c r="A115" s="1">
        <v>6000010</v>
      </c>
      <c r="B115" s="1" t="s">
        <v>74</v>
      </c>
      <c r="C115" s="1">
        <v>6</v>
      </c>
      <c r="D115" s="1" t="s">
        <v>194</v>
      </c>
      <c r="E115" s="1" t="s">
        <v>255</v>
      </c>
      <c r="F115" s="1" t="s">
        <v>74</v>
      </c>
    </row>
    <row r="116" spans="1:6">
      <c r="A116" s="1">
        <v>6000011</v>
      </c>
      <c r="B116" s="1" t="s">
        <v>75</v>
      </c>
      <c r="C116" s="1">
        <v>6</v>
      </c>
      <c r="D116" s="1" t="s">
        <v>195</v>
      </c>
      <c r="E116" s="1" t="s">
        <v>255</v>
      </c>
      <c r="F116" s="1" t="s">
        <v>75</v>
      </c>
    </row>
    <row r="117" spans="1:6">
      <c r="A117" s="1">
        <v>6000012</v>
      </c>
      <c r="B117" s="1" t="s">
        <v>76</v>
      </c>
      <c r="C117" s="1">
        <v>6</v>
      </c>
      <c r="D117" s="1" t="s">
        <v>196</v>
      </c>
      <c r="E117" s="1" t="s">
        <v>255</v>
      </c>
      <c r="F117" s="1" t="s">
        <v>76</v>
      </c>
    </row>
    <row r="118" spans="1:6">
      <c r="A118" s="1">
        <v>6000013</v>
      </c>
      <c r="B118" s="1" t="s">
        <v>77</v>
      </c>
      <c r="C118" s="1">
        <v>6</v>
      </c>
      <c r="D118" s="1" t="s">
        <v>197</v>
      </c>
      <c r="E118" s="1" t="s">
        <v>255</v>
      </c>
      <c r="F118" s="1" t="s">
        <v>77</v>
      </c>
    </row>
    <row r="119" spans="1:6">
      <c r="A119" s="1">
        <v>6000014</v>
      </c>
      <c r="B119" s="1" t="s">
        <v>78</v>
      </c>
      <c r="C119" s="1">
        <v>6</v>
      </c>
      <c r="D119" s="1" t="s">
        <v>198</v>
      </c>
      <c r="E119" s="1" t="s">
        <v>255</v>
      </c>
      <c r="F119" s="1" t="s">
        <v>78</v>
      </c>
    </row>
    <row r="120" spans="1:6">
      <c r="A120" s="1">
        <v>6000015</v>
      </c>
      <c r="B120" s="1" t="s">
        <v>79</v>
      </c>
      <c r="C120" s="1">
        <v>6</v>
      </c>
      <c r="D120" s="1" t="s">
        <v>199</v>
      </c>
      <c r="E120" s="1" t="s">
        <v>255</v>
      </c>
      <c r="F120" s="1" t="s">
        <v>79</v>
      </c>
    </row>
    <row r="121" spans="1:6">
      <c r="A121" s="1">
        <v>6000016</v>
      </c>
      <c r="B121" s="1" t="s">
        <v>80</v>
      </c>
      <c r="C121" s="1">
        <v>6</v>
      </c>
      <c r="D121" s="1" t="s">
        <v>200</v>
      </c>
      <c r="E121" s="1" t="s">
        <v>255</v>
      </c>
      <c r="F121" s="1" t="s">
        <v>80</v>
      </c>
    </row>
    <row r="122" spans="1:6">
      <c r="A122" s="1">
        <v>6000017</v>
      </c>
      <c r="B122" s="1" t="s">
        <v>81</v>
      </c>
      <c r="C122" s="1">
        <v>6</v>
      </c>
      <c r="D122" s="1" t="s">
        <v>201</v>
      </c>
      <c r="E122" s="1" t="s">
        <v>255</v>
      </c>
      <c r="F122" s="1" t="s">
        <v>81</v>
      </c>
    </row>
    <row r="123" spans="1:6">
      <c r="A123" s="1">
        <v>6000018</v>
      </c>
      <c r="B123" s="1" t="s">
        <v>82</v>
      </c>
      <c r="C123" s="1">
        <v>6</v>
      </c>
      <c r="D123" s="1" t="s">
        <v>202</v>
      </c>
      <c r="E123" s="1" t="s">
        <v>255</v>
      </c>
      <c r="F123" s="1" t="s">
        <v>82</v>
      </c>
    </row>
    <row r="124" spans="1:6">
      <c r="A124" s="1">
        <v>6000019</v>
      </c>
      <c r="B124" s="1" t="s">
        <v>83</v>
      </c>
      <c r="C124" s="1">
        <v>6</v>
      </c>
      <c r="D124" s="1" t="s">
        <v>203</v>
      </c>
      <c r="E124" s="1" t="s">
        <v>255</v>
      </c>
      <c r="F124" s="1" t="s">
        <v>83</v>
      </c>
    </row>
    <row r="125" spans="1:6">
      <c r="A125" s="1">
        <v>6000020</v>
      </c>
      <c r="B125" s="1" t="s">
        <v>84</v>
      </c>
      <c r="C125" s="1">
        <v>6</v>
      </c>
      <c r="D125" s="1" t="s">
        <v>204</v>
      </c>
      <c r="E125" s="1" t="s">
        <v>255</v>
      </c>
      <c r="F125" s="1" t="s">
        <v>84</v>
      </c>
    </row>
    <row r="126" spans="1:6">
      <c r="A126" s="1">
        <v>6000021</v>
      </c>
      <c r="B126" s="1" t="s">
        <v>85</v>
      </c>
      <c r="C126" s="1">
        <v>6</v>
      </c>
      <c r="D126" s="1" t="s">
        <v>205</v>
      </c>
      <c r="E126" s="1" t="s">
        <v>255</v>
      </c>
      <c r="F126" s="1" t="s">
        <v>85</v>
      </c>
    </row>
    <row r="127" spans="1:6">
      <c r="A127" s="1">
        <v>6000022</v>
      </c>
      <c r="B127" s="1" t="s">
        <v>86</v>
      </c>
      <c r="C127" s="1">
        <v>6</v>
      </c>
      <c r="D127" s="1" t="s">
        <v>206</v>
      </c>
      <c r="E127" s="1" t="s">
        <v>255</v>
      </c>
      <c r="F127" s="1" t="s">
        <v>86</v>
      </c>
    </row>
    <row r="128" spans="1:6">
      <c r="A128" s="1">
        <v>6000023</v>
      </c>
      <c r="B128" s="1" t="s">
        <v>87</v>
      </c>
      <c r="C128" s="1">
        <v>6</v>
      </c>
      <c r="D128" s="1" t="s">
        <v>207</v>
      </c>
      <c r="E128" s="1" t="s">
        <v>255</v>
      </c>
      <c r="F128" s="1" t="s">
        <v>87</v>
      </c>
    </row>
    <row r="129" spans="1:6">
      <c r="A129" s="1">
        <v>6000024</v>
      </c>
      <c r="B129" s="1" t="s">
        <v>352</v>
      </c>
      <c r="C129" s="1">
        <v>6</v>
      </c>
      <c r="D129" s="1" t="s">
        <v>362</v>
      </c>
      <c r="E129" s="1" t="s">
        <v>255</v>
      </c>
      <c r="F129" s="1" t="s">
        <v>352</v>
      </c>
    </row>
    <row r="130" spans="1:6">
      <c r="A130" s="1">
        <v>6000025</v>
      </c>
      <c r="B130" s="1" t="s">
        <v>353</v>
      </c>
      <c r="C130" s="1">
        <v>6</v>
      </c>
      <c r="D130" s="1" t="s">
        <v>363</v>
      </c>
      <c r="E130" s="1" t="s">
        <v>255</v>
      </c>
      <c r="F130" s="1" t="s">
        <v>353</v>
      </c>
    </row>
    <row r="131" spans="1:6">
      <c r="A131" s="1">
        <v>6000026</v>
      </c>
      <c r="B131" s="1" t="s">
        <v>354</v>
      </c>
      <c r="C131" s="1">
        <v>6</v>
      </c>
      <c r="D131" s="1" t="s">
        <v>364</v>
      </c>
      <c r="E131" s="1" t="s">
        <v>255</v>
      </c>
      <c r="F131" s="1" t="s">
        <v>354</v>
      </c>
    </row>
    <row r="132" spans="1:6">
      <c r="A132" s="1">
        <v>6000027</v>
      </c>
      <c r="B132" s="1" t="s">
        <v>355</v>
      </c>
      <c r="C132" s="1">
        <v>6</v>
      </c>
      <c r="D132" s="1" t="s">
        <v>365</v>
      </c>
      <c r="E132" s="1" t="s">
        <v>255</v>
      </c>
      <c r="F132" s="1" t="s">
        <v>355</v>
      </c>
    </row>
    <row r="133" spans="1:6">
      <c r="A133" s="1">
        <v>6000028</v>
      </c>
      <c r="B133" s="1" t="s">
        <v>356</v>
      </c>
      <c r="C133" s="1">
        <v>6</v>
      </c>
      <c r="D133" s="1" t="s">
        <v>366</v>
      </c>
      <c r="E133" s="1" t="s">
        <v>255</v>
      </c>
      <c r="F133" s="1" t="s">
        <v>356</v>
      </c>
    </row>
    <row r="134" spans="1:6">
      <c r="A134" s="1">
        <v>6000029</v>
      </c>
      <c r="B134" s="1" t="s">
        <v>357</v>
      </c>
      <c r="C134" s="1">
        <v>6</v>
      </c>
      <c r="D134" s="1" t="s">
        <v>367</v>
      </c>
      <c r="E134" s="1" t="s">
        <v>255</v>
      </c>
      <c r="F134" s="1" t="s">
        <v>357</v>
      </c>
    </row>
    <row r="135" spans="1:6">
      <c r="A135" s="1">
        <v>6000030</v>
      </c>
      <c r="B135" s="1" t="s">
        <v>358</v>
      </c>
      <c r="C135" s="1">
        <v>6</v>
      </c>
      <c r="D135" s="1" t="s">
        <v>368</v>
      </c>
      <c r="E135" s="1" t="s">
        <v>255</v>
      </c>
      <c r="F135" s="1" t="s">
        <v>358</v>
      </c>
    </row>
    <row r="136" spans="1:6">
      <c r="A136" s="1">
        <v>6000031</v>
      </c>
      <c r="B136" s="1" t="s">
        <v>359</v>
      </c>
      <c r="C136" s="1">
        <v>6</v>
      </c>
      <c r="D136" s="1" t="s">
        <v>369</v>
      </c>
      <c r="E136" s="1" t="s">
        <v>255</v>
      </c>
      <c r="F136" s="1" t="s">
        <v>359</v>
      </c>
    </row>
    <row r="137" spans="1:6">
      <c r="A137" s="1">
        <v>6000032</v>
      </c>
      <c r="B137" s="1" t="s">
        <v>360</v>
      </c>
      <c r="C137" s="1">
        <v>6</v>
      </c>
      <c r="D137" s="1" t="s">
        <v>370</v>
      </c>
      <c r="E137" s="1" t="s">
        <v>255</v>
      </c>
      <c r="F137" s="1" t="s">
        <v>360</v>
      </c>
    </row>
    <row r="138" spans="1:6">
      <c r="A138" s="1">
        <v>6000033</v>
      </c>
      <c r="B138" s="1" t="s">
        <v>361</v>
      </c>
      <c r="C138" s="1">
        <v>6</v>
      </c>
      <c r="D138" s="1" t="s">
        <v>371</v>
      </c>
      <c r="E138" s="1" t="s">
        <v>255</v>
      </c>
      <c r="F138" s="1" t="s">
        <v>361</v>
      </c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7"/>
  <sheetViews>
    <sheetView workbookViewId="0">
      <selection activeCell="C2" sqref="C2"/>
    </sheetView>
  </sheetViews>
  <sheetFormatPr defaultRowHeight="13.5"/>
  <cols>
    <col min="3" max="3" width="136.625" customWidth="1"/>
  </cols>
  <sheetData>
    <row r="1" spans="1:3">
      <c r="A1" t="s">
        <v>16</v>
      </c>
      <c r="B1" t="s">
        <v>17</v>
      </c>
    </row>
    <row r="2" spans="1:3">
      <c r="B2">
        <v>1</v>
      </c>
      <c r="C2" t="s">
        <v>18</v>
      </c>
    </row>
    <row r="3" spans="1:3">
      <c r="B3">
        <v>2</v>
      </c>
      <c r="C3" t="s">
        <v>19</v>
      </c>
    </row>
    <row r="4" spans="1:3">
      <c r="B4">
        <v>3</v>
      </c>
      <c r="C4" t="s">
        <v>20</v>
      </c>
    </row>
    <row r="5" spans="1:3">
      <c r="B5">
        <v>4</v>
      </c>
      <c r="C5" t="s">
        <v>21</v>
      </c>
    </row>
    <row r="6" spans="1:3">
      <c r="B6">
        <v>5</v>
      </c>
      <c r="C6" t="s">
        <v>22</v>
      </c>
    </row>
    <row r="7" spans="1:3">
      <c r="B7">
        <v>6</v>
      </c>
      <c r="C7" t="s">
        <v>23</v>
      </c>
    </row>
    <row r="8" spans="1:3">
      <c r="B8">
        <v>7</v>
      </c>
      <c r="C8" t="s">
        <v>5</v>
      </c>
    </row>
    <row r="9" spans="1:3">
      <c r="B9">
        <v>8</v>
      </c>
    </row>
    <row r="10" spans="1:3">
      <c r="B10">
        <v>9</v>
      </c>
    </row>
    <row r="11" spans="1:3">
      <c r="B11">
        <v>10</v>
      </c>
    </row>
    <row r="12" spans="1:3">
      <c r="B12">
        <v>11</v>
      </c>
    </row>
    <row r="13" spans="1:3">
      <c r="B13">
        <v>12</v>
      </c>
    </row>
    <row r="14" spans="1:3">
      <c r="B14">
        <v>13</v>
      </c>
    </row>
    <row r="15" spans="1:3">
      <c r="B15">
        <v>14</v>
      </c>
    </row>
    <row r="16" spans="1:3">
      <c r="B16">
        <v>15</v>
      </c>
    </row>
    <row r="17" spans="2:2">
      <c r="B17">
        <v>16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mission.xml</vt:lpstr>
      <vt:lpstr>礼包 - client</vt:lpstr>
      <vt:lpstr>字段说明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2014-10-20T04:41:49Z</dcterms:modified>
</cp:coreProperties>
</file>