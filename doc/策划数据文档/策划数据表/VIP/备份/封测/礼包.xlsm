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mission.xml" sheetId="1" r:id="rId1"/>
    <sheet name="礼包 - client" sheetId="2" r:id="rId2"/>
    <sheet name="字段说明" sheetId="3" r:id="rId3"/>
  </sheets>
  <functionGroups/>
  <calcPr calcId="124519"/>
</workbook>
</file>

<file path=xl/calcChain.xml><?xml version="1.0" encoding="utf-8"?>
<calcChain xmlns="http://schemas.openxmlformats.org/spreadsheetml/2006/main">
  <c r="F191" i="1"/>
  <c r="F19"/>
  <c r="F15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78"/>
  <c r="F75"/>
  <c r="F74"/>
  <c r="F73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F7"/>
  <c r="F8"/>
  <c r="F9"/>
  <c r="F10"/>
  <c r="F11"/>
  <c r="F12"/>
  <c r="F13"/>
  <c r="F178"/>
  <c r="F179"/>
  <c r="F180"/>
  <c r="F181"/>
  <c r="F182"/>
  <c r="F183"/>
  <c r="F184"/>
  <c r="F185"/>
  <c r="F186"/>
  <c r="F187"/>
  <c r="F188"/>
  <c r="F189"/>
  <c r="F190"/>
  <c r="F169"/>
  <c r="F170"/>
  <c r="F171"/>
  <c r="F172"/>
  <c r="F173"/>
  <c r="F174"/>
  <c r="F175"/>
  <c r="F176"/>
  <c r="F177"/>
  <c r="F168"/>
  <c r="F132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76"/>
  <c r="F77"/>
  <c r="F79"/>
  <c r="F80"/>
  <c r="F81"/>
  <c r="F82"/>
  <c r="F83"/>
  <c r="F72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33"/>
  <c r="F14"/>
  <c r="F16"/>
  <c r="F17"/>
  <c r="F18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</calcChain>
</file>

<file path=xl/sharedStrings.xml><?xml version="1.0" encoding="utf-8"?>
<sst xmlns="http://schemas.openxmlformats.org/spreadsheetml/2006/main" count="1314" uniqueCount="372">
  <si>
    <t>id</t>
    <phoneticPr fontId="2" type="noConversion"/>
  </si>
  <si>
    <t>描述</t>
    <phoneticPr fontId="2" type="noConversion"/>
  </si>
  <si>
    <t>条件</t>
    <phoneticPr fontId="2" type="noConversion"/>
  </si>
  <si>
    <t>类型</t>
    <phoneticPr fontId="2" type="noConversion"/>
  </si>
  <si>
    <t>首充</t>
    <phoneticPr fontId="2" type="noConversion"/>
  </si>
  <si>
    <t>前提条件</t>
    <phoneticPr fontId="2" type="noConversion"/>
  </si>
  <si>
    <t>开服天数奖励</t>
    <phoneticPr fontId="2" type="noConversion"/>
  </si>
  <si>
    <t>签到奖励</t>
    <phoneticPr fontId="2" type="noConversion"/>
  </si>
  <si>
    <t>玩家等级达到10级奖励</t>
    <phoneticPr fontId="2" type="noConversion"/>
  </si>
  <si>
    <t>id</t>
    <phoneticPr fontId="2" type="noConversion"/>
  </si>
  <si>
    <t>type</t>
    <phoneticPr fontId="2" type="noConversion"/>
  </si>
  <si>
    <t>后置条件</t>
    <phoneticPr fontId="2" type="noConversion"/>
  </si>
  <si>
    <t>beforeId</t>
    <phoneticPr fontId="2" type="noConversion"/>
  </si>
  <si>
    <t xml:space="preserve"> laterId</t>
    <phoneticPr fontId="2" type="noConversion"/>
  </si>
  <si>
    <t>limit</t>
    <phoneticPr fontId="2" type="noConversion"/>
  </si>
  <si>
    <t>bonus</t>
    <phoneticPr fontId="2" type="noConversion"/>
  </si>
  <si>
    <t>奖励</t>
    <phoneticPr fontId="2" type="noConversion"/>
  </si>
  <si>
    <t>字段说明</t>
    <phoneticPr fontId="2" type="noConversion"/>
  </si>
  <si>
    <t>类型</t>
    <phoneticPr fontId="2" type="noConversion"/>
  </si>
  <si>
    <t>首充类型。奖励字段填的是倍数。条件字段填0表示充多少都返N倍。例如首充N倍</t>
    <phoneticPr fontId="2" type="noConversion"/>
  </si>
  <si>
    <t>充值返还。奖励字段填的是返还的数额。条件字段填的是满足返还条件的最小充值额度。</t>
    <phoneticPr fontId="2" type="noConversion"/>
  </si>
  <si>
    <t>用于开服天数类型的奖励。条件填的是开服的天数，奖励字段规则：  第一天奖励_每天增加额度_连续奖励N天</t>
    <phoneticPr fontId="2" type="noConversion"/>
  </si>
  <si>
    <t>用于签到类型的奖励。条件填的是周期长短，奖励字段规则：  第一天奖励_每天增加额度_周期最大天数。连续签到天数超过最大周期后，每天的奖励按最大值算，一旦中断，重新从第一天开始循环。</t>
    <phoneticPr fontId="2" type="noConversion"/>
  </si>
  <si>
    <t>击败BOSS的奖励</t>
    <phoneticPr fontId="2" type="noConversion"/>
  </si>
  <si>
    <t>玩家等级奖励</t>
    <phoneticPr fontId="2" type="noConversion"/>
  </si>
  <si>
    <t>data</t>
    <phoneticPr fontId="2" type="noConversion"/>
  </si>
  <si>
    <t>名称</t>
    <phoneticPr fontId="2" type="noConversion"/>
  </si>
  <si>
    <t>首充3倍</t>
    <phoneticPr fontId="2" type="noConversion"/>
  </si>
  <si>
    <t>充值返利</t>
    <phoneticPr fontId="2" type="noConversion"/>
  </si>
  <si>
    <t>开服奖励</t>
    <phoneticPr fontId="2" type="noConversion"/>
  </si>
  <si>
    <t>等级礼包</t>
    <phoneticPr fontId="2" type="noConversion"/>
  </si>
  <si>
    <t>图标</t>
    <phoneticPr fontId="2" type="noConversion"/>
  </si>
  <si>
    <t>Item/gift3.png</t>
  </si>
  <si>
    <t>Item/gift3.png</t>
    <phoneticPr fontId="2" type="noConversion"/>
  </si>
  <si>
    <t>充100钻石返10钻石</t>
    <phoneticPr fontId="2" type="noConversion"/>
  </si>
  <si>
    <t>充300钻石返30钻石</t>
    <phoneticPr fontId="2" type="noConversion"/>
  </si>
  <si>
    <t>充500钻石返50钻石</t>
    <phoneticPr fontId="2" type="noConversion"/>
  </si>
  <si>
    <t>充1000钻石返110钻石</t>
    <phoneticPr fontId="2" type="noConversion"/>
  </si>
  <si>
    <t>充2000钻石返230钻石</t>
    <phoneticPr fontId="2" type="noConversion"/>
  </si>
  <si>
    <t>充5000钻石返600钻石</t>
    <phoneticPr fontId="2" type="noConversion"/>
  </si>
  <si>
    <t>开服第1天奖励</t>
    <phoneticPr fontId="2" type="noConversion"/>
  </si>
  <si>
    <t>开服第2天奖励</t>
    <phoneticPr fontId="2" type="noConversion"/>
  </si>
  <si>
    <t>开服第3天奖励</t>
  </si>
  <si>
    <t>开服第4天奖励</t>
  </si>
  <si>
    <t>开服第5天奖励</t>
  </si>
  <si>
    <t>开服第6天奖励</t>
  </si>
  <si>
    <t>开服第7天奖励</t>
  </si>
  <si>
    <t>开服第8天奖励</t>
  </si>
  <si>
    <t>开服第9天奖励</t>
  </si>
  <si>
    <t>开服第10天奖励</t>
  </si>
  <si>
    <t>开服第11天奖励</t>
  </si>
  <si>
    <t>开服第12天奖励</t>
  </si>
  <si>
    <t>开服第13天奖励</t>
  </si>
  <si>
    <t>开服第14天奖励</t>
  </si>
  <si>
    <t>签到第1天奖励</t>
    <phoneticPr fontId="2" type="noConversion"/>
  </si>
  <si>
    <t>签到第2天奖励</t>
    <phoneticPr fontId="2" type="noConversion"/>
  </si>
  <si>
    <t>签到第3天奖励</t>
  </si>
  <si>
    <t>签到第4天奖励</t>
  </si>
  <si>
    <t>签到第5天奖励</t>
  </si>
  <si>
    <t>签到第6天奖励</t>
  </si>
  <si>
    <t>签到第7天奖励</t>
  </si>
  <si>
    <t>签到第8天奖励</t>
  </si>
  <si>
    <t>签到第9天奖励</t>
  </si>
  <si>
    <t>签到第10天奖励</t>
  </si>
  <si>
    <t>签到第11天奖励</t>
  </si>
  <si>
    <t>签到第12天奖励</t>
  </si>
  <si>
    <t>签到第13天奖励</t>
  </si>
  <si>
    <t>签到第14天奖励</t>
  </si>
  <si>
    <t>玩家等级达到4级奖励</t>
    <phoneticPr fontId="2" type="noConversion"/>
  </si>
  <si>
    <t>玩家等级达到7级奖励</t>
    <phoneticPr fontId="2" type="noConversion"/>
  </si>
  <si>
    <t>玩家等级达到13级奖励</t>
  </si>
  <si>
    <t>玩家等级达到16级奖励</t>
  </si>
  <si>
    <t>玩家等级达到19级奖励</t>
  </si>
  <si>
    <t>玩家等级达到22级奖励</t>
  </si>
  <si>
    <t>玩家等级达到25级奖励</t>
  </si>
  <si>
    <t>玩家等级达到28级奖励</t>
  </si>
  <si>
    <t>玩家等级达到31级奖励</t>
  </si>
  <si>
    <t>玩家等级达到34级奖励</t>
  </si>
  <si>
    <t>玩家等级达到37级奖励</t>
  </si>
  <si>
    <t>玩家等级达到40级奖励</t>
  </si>
  <si>
    <t>玩家等级达到43级奖励</t>
  </si>
  <si>
    <t>玩家等级达到46级奖励</t>
  </si>
  <si>
    <t>玩家等级达到49级奖励</t>
  </si>
  <si>
    <t>玩家等级达到52级奖励</t>
  </si>
  <si>
    <t>玩家等级达到55级奖励</t>
  </si>
  <si>
    <t>玩家等级达到58级奖励</t>
  </si>
  <si>
    <t>玩家等级达到61级奖励</t>
  </si>
  <si>
    <t>玩家等级达到64级奖励</t>
  </si>
  <si>
    <t>玩家等级达到67级奖励</t>
  </si>
  <si>
    <t>玩家等级达到70级奖励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</si>
  <si>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</si>
  <si>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</si>
  <si>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</si>
  <si>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</si>
  <si>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</si>
  <si>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</si>
  <si>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</si>
  <si>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剃刀沼泽</t>
  </si>
  <si>
    <t>诺莫瑞根</t>
  </si>
  <si>
    <t>血色修道院</t>
  </si>
  <si>
    <t>剃刀高地</t>
  </si>
  <si>
    <t>奥达曼</t>
  </si>
  <si>
    <t>祖尔法拉克</t>
  </si>
  <si>
    <t>玛拉顿</t>
  </si>
  <si>
    <t>沉没的神庙</t>
  </si>
  <si>
    <t>厄运之槌</t>
  </si>
  <si>
    <t>黑石深渊</t>
  </si>
  <si>
    <t>斯坦索姆</t>
  </si>
  <si>
    <t>通灵学院</t>
  </si>
  <si>
    <t>黑石塔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</si>
  <si>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</si>
  <si>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</si>
  <si>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</si>
  <si>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</si>
  <si>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</si>
  <si>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</si>
  <si>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</si>
  <si>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</si>
  <si>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暗影迷宫</t>
  </si>
  <si>
    <t>蒸汽地窖</t>
  </si>
  <si>
    <t>能源舰</t>
  </si>
  <si>
    <t>生态船</t>
  </si>
  <si>
    <t>禁魔监狱</t>
  </si>
  <si>
    <t>破碎大厅</t>
  </si>
  <si>
    <t>黑色沼泽</t>
  </si>
  <si>
    <t>开服第15天奖励</t>
  </si>
  <si>
    <t>开服第16天奖励</t>
  </si>
  <si>
    <t>开服第17天奖励</t>
  </si>
  <si>
    <t>开服第18天奖励</t>
  </si>
  <si>
    <t>开服第19天奖励</t>
  </si>
  <si>
    <t>开服第20天奖励</t>
  </si>
  <si>
    <t>开服第21天奖励</t>
  </si>
  <si>
    <t>开服第22天奖励</t>
  </si>
  <si>
    <t>开服第23天奖励</t>
  </si>
  <si>
    <t>开服第24天奖励</t>
  </si>
  <si>
    <t>开服第25天奖励</t>
  </si>
  <si>
    <t>开服第26天奖励</t>
  </si>
  <si>
    <t>开服第27天奖励</t>
  </si>
  <si>
    <t>开服第28天奖励</t>
  </si>
  <si>
    <t>开服第29天奖励</t>
  </si>
  <si>
    <t>开服第30天奖励</t>
  </si>
  <si>
    <t>开服第31天奖励</t>
  </si>
  <si>
    <t>开服第32天奖励</t>
  </si>
  <si>
    <t>开服第33天奖励</t>
  </si>
  <si>
    <t>开服第34天奖励</t>
  </si>
  <si>
    <t>开服第35天奖励</t>
  </si>
  <si>
    <t>开服第36天奖励</t>
  </si>
  <si>
    <t>开服第37天奖励</t>
  </si>
  <si>
    <t>开服第38天奖励</t>
  </si>
  <si>
    <t>开服第39天奖励</t>
  </si>
  <si>
    <t>开服第40天奖励</t>
  </si>
  <si>
    <t>开服第41天奖励</t>
  </si>
  <si>
    <t>开服第42天奖励</t>
  </si>
  <si>
    <t>开服第43天奖励</t>
  </si>
  <si>
    <t>开服第44天奖励</t>
  </si>
  <si>
    <t>开服第45天奖励</t>
  </si>
  <si>
    <t>开服第46天奖励</t>
  </si>
  <si>
    <t>开服第47天奖励</t>
  </si>
  <si>
    <t>开服第48天奖励</t>
  </si>
  <si>
    <t>开服第49天奖励</t>
  </si>
  <si>
    <t>开服第50天奖励</t>
  </si>
  <si>
    <t>开服第51天奖励</t>
  </si>
  <si>
    <t>开服第52天奖励</t>
  </si>
  <si>
    <t>开服第53天奖励</t>
  </si>
  <si>
    <t>开服第54天奖励</t>
  </si>
  <si>
    <t>开服第55天奖励</t>
  </si>
  <si>
    <t>开服第56天奖励</t>
  </si>
  <si>
    <t>开服第57天奖励</t>
  </si>
  <si>
    <t>开服第58天奖励</t>
  </si>
  <si>
    <t>开服第59天奖励</t>
  </si>
  <si>
    <t>开服第60天奖励</t>
  </si>
  <si>
    <t>签到第15天奖励</t>
  </si>
  <si>
    <t>签到第16天奖励</t>
  </si>
  <si>
    <t>签到第17天奖励</t>
  </si>
  <si>
    <t>签到第18天奖励</t>
  </si>
  <si>
    <t>签到第19天奖励</t>
  </si>
  <si>
    <t>签到第20天奖励</t>
  </si>
  <si>
    <t>签到第21天奖励</t>
  </si>
  <si>
    <t>签到第22天奖励</t>
  </si>
  <si>
    <t>签到第23天奖励</t>
  </si>
  <si>
    <t>签到第24天奖励</t>
  </si>
  <si>
    <t>签到第25天奖励</t>
  </si>
  <si>
    <t>签到第26天奖励</t>
  </si>
  <si>
    <t>签到第27天奖励</t>
  </si>
  <si>
    <t>签到第28天奖励</t>
  </si>
  <si>
    <t>签到第29天奖励</t>
  </si>
  <si>
    <t>签到第30天奖励</t>
  </si>
  <si>
    <t>签到第31天奖励</t>
  </si>
  <si>
    <t>签到第32天奖励</t>
  </si>
  <si>
    <t>签到第33天奖励</t>
  </si>
  <si>
    <t>签到第34天奖励</t>
  </si>
  <si>
    <t>签到第35天奖励</t>
  </si>
  <si>
    <t>签到第36天奖励</t>
  </si>
  <si>
    <t>签到第37天奖励</t>
  </si>
  <si>
    <t>签到第38天奖励</t>
  </si>
  <si>
    <t>签到第39天奖励</t>
  </si>
  <si>
    <t>签到第40天奖励</t>
  </si>
  <si>
    <t>签到第41天奖励</t>
  </si>
  <si>
    <t>签到第42天奖励</t>
  </si>
  <si>
    <t>签到第43天奖励</t>
  </si>
  <si>
    <t>签到第44天奖励</t>
  </si>
  <si>
    <t>签到第45天奖励</t>
  </si>
  <si>
    <t>签到第46天奖励</t>
  </si>
  <si>
    <t>签到第47天奖励</t>
  </si>
  <si>
    <t>签到第48天奖励</t>
  </si>
  <si>
    <t>签到第49天奖励</t>
  </si>
  <si>
    <t>签到第50天奖励</t>
  </si>
  <si>
    <t>签到第51天奖励</t>
  </si>
  <si>
    <t>签到第52天奖励</t>
  </si>
  <si>
    <t>签到第53天奖励</t>
  </si>
  <si>
    <t>签到第54天奖励</t>
  </si>
  <si>
    <t>签到第55天奖励</t>
  </si>
  <si>
    <t>签到第56天奖励</t>
  </si>
  <si>
    <t>签到第57天奖励</t>
  </si>
  <si>
    <t>签到第58天奖励</t>
  </si>
  <si>
    <t>签到第59天奖励</t>
  </si>
  <si>
    <t>签到第60天奖励</t>
  </si>
  <si>
    <t>10000_1001_30</t>
  </si>
  <si>
    <t>10000_1001_150</t>
  </si>
  <si>
    <t>10000_1001_300</t>
  </si>
  <si>
    <t>10000_1001_900</t>
  </si>
  <si>
    <t>10000_1001_1500</t>
  </si>
  <si>
    <t>10000_1001_10</t>
  </si>
  <si>
    <t>10000_1001_50</t>
  </si>
  <si>
    <t>10000_1001_110</t>
  </si>
  <si>
    <t>10000_1001_230</t>
  </si>
  <si>
    <t>10000_1001_600</t>
  </si>
  <si>
    <t>10000_1001_20</t>
  </si>
  <si>
    <t>10000_1001_120</t>
  </si>
  <si>
    <t>10000_1001_125</t>
  </si>
  <si>
    <t>10000_1001_25</t>
  </si>
  <si>
    <t>10000_1001_130</t>
  </si>
  <si>
    <t>10000_1001_135</t>
  </si>
  <si>
    <t>10000_1001_35</t>
  </si>
  <si>
    <t>10000_1001_140</t>
  </si>
  <si>
    <t>10000_1001_40</t>
  </si>
  <si>
    <t>10000_1001_45</t>
  </si>
  <si>
    <t>10000_1001_145</t>
  </si>
  <si>
    <t>10000_1001_55</t>
  </si>
  <si>
    <t>10000_1001_155</t>
  </si>
  <si>
    <t>10000_1001_60</t>
  </si>
  <si>
    <t>10000_1001_160</t>
  </si>
  <si>
    <t>10000_1001_65</t>
  </si>
  <si>
    <t>10000_1001_165</t>
  </si>
  <si>
    <t>10000_1001_70</t>
  </si>
  <si>
    <t>10000_1001_170</t>
  </si>
  <si>
    <t>10000_1001_75</t>
  </si>
  <si>
    <t>10000_1001_15,10000_1002_10000</t>
  </si>
  <si>
    <t>10000_1001_20,10000_1002_30000</t>
  </si>
  <si>
    <t>10000_1001_20,10000_1002_42000</t>
  </si>
  <si>
    <t>10000_1001_20,10000_1002_45000</t>
  </si>
  <si>
    <t>10000_1001_20,10000_1002_50000</t>
  </si>
  <si>
    <t>10000_1001_20,10000_1002_60000</t>
  </si>
  <si>
    <t>10000_1001_20,10000_1002_62000</t>
  </si>
  <si>
    <t>10000_1001_20,10000_1002_66000</t>
  </si>
  <si>
    <t>10000_1001_20,10000_1002_68000</t>
  </si>
  <si>
    <t>10000_1001_20,10000_1002_70000</t>
  </si>
  <si>
    <t>10000_1001_20,10000_1002_72000</t>
  </si>
  <si>
    <t>10000_1001_20,10000_1002_74000</t>
  </si>
  <si>
    <t>10000_1001_20,10000_1002_76000</t>
  </si>
  <si>
    <t>10000_1001_20,10000_1002_88000</t>
  </si>
  <si>
    <t>10000_1001_20,10000_1002_90000</t>
  </si>
  <si>
    <t>10000_1001_20,10000_1002_92000</t>
  </si>
  <si>
    <t>10000_1001_20,10000_1002_94000</t>
  </si>
  <si>
    <t>10000_1001_20,10000_1002_100000</t>
  </si>
  <si>
    <t>10000_1001_20,10000_1002_128000</t>
  </si>
  <si>
    <t>10000_1001_20,10000_1002_120000</t>
  </si>
  <si>
    <t>10000_1001_20,10000_1002_116000</t>
  </si>
  <si>
    <t>10000_1001_20,10000_1002_110000</t>
  </si>
  <si>
    <t>10000_1001_20,10000_1002_124000</t>
  </si>
  <si>
    <t>10000_1001_20,10000_1002_130000</t>
  </si>
  <si>
    <t>10000_1001_20,10000_1002_140000</t>
  </si>
  <si>
    <t>10000_1001_30,10000_1002_10000</t>
  </si>
  <si>
    <t>10000_1001_40,10000_1002_15000</t>
  </si>
  <si>
    <t>10000_1001_50,10000_1002_20000</t>
  </si>
  <si>
    <t>10000_1001_60,10000_1002_25000</t>
  </si>
  <si>
    <t>10000_1001_70,10000_1002_30000</t>
  </si>
  <si>
    <t>10000_1001_80,10000_1002_35000</t>
  </si>
  <si>
    <t>10000_1001_90,10000_1002_40000</t>
  </si>
  <si>
    <t>10000_1001_100,10000_1002_45000</t>
  </si>
  <si>
    <t>10000_1001_110,10000_1002_50000</t>
  </si>
  <si>
    <t>10000_1001_120,10000_1002_55000</t>
  </si>
  <si>
    <t>10000_1001_130,10000_1002_60000</t>
  </si>
  <si>
    <t>10000_1001_140,10000_1002_65000</t>
  </si>
  <si>
    <t>10000_1001_150,10000_1002_70000</t>
  </si>
  <si>
    <t>10000_1001_160,10000_1002_75000</t>
  </si>
  <si>
    <t>10000_1001_170,10000_1002_80000</t>
  </si>
  <si>
    <t>10000_1001_180,10000_1002_85000</t>
  </si>
  <si>
    <t>10000_1001_190,10000_1002_90000</t>
  </si>
  <si>
    <t>10000_1001_200,10000_1002_95000</t>
  </si>
  <si>
    <t>10000_1001_210,10000_1002_100000</t>
  </si>
  <si>
    <t>10000_1001_220,10000_1002_105000</t>
  </si>
  <si>
    <t>10000_1001_230,10000_1002_110000</t>
  </si>
  <si>
    <t>10000_1001_240,10000_1002_115000</t>
  </si>
  <si>
    <t>10000_1001_250,10000_1002_120000</t>
  </si>
  <si>
    <t>击败新手试炼boss奖励</t>
  </si>
  <si>
    <t>击败怒焰裂谷boss奖励</t>
  </si>
  <si>
    <t>击败死亡矿井boss奖励</t>
  </si>
  <si>
    <t>击败哀嚎洞穴boss奖励</t>
  </si>
  <si>
    <t>击败影牙城堡boss奖励</t>
  </si>
  <si>
    <t>击败黑暗深渊boss奖励</t>
  </si>
  <si>
    <t>击败暴风城监狱boss奖励</t>
  </si>
  <si>
    <t>击败剃刀沼泽boss奖励</t>
  </si>
  <si>
    <t>击败诺莫瑞根boss奖励</t>
  </si>
  <si>
    <t>击败血色修道院boss奖励</t>
  </si>
  <si>
    <t>击败剃刀高地boss奖励</t>
  </si>
  <si>
    <t>击败奥达曼boss奖励</t>
  </si>
  <si>
    <t>击败祖尔法拉克boss奖励</t>
  </si>
  <si>
    <t>击败玛拉顿boss奖励</t>
  </si>
  <si>
    <t>击败沉没的神庙boss奖励</t>
  </si>
  <si>
    <t>击败厄运之槌boss奖励</t>
  </si>
  <si>
    <t>击败黑石深渊boss奖励</t>
  </si>
  <si>
    <t>击败斯坦索姆boss奖励</t>
  </si>
  <si>
    <t>击败通灵学院boss奖励</t>
  </si>
  <si>
    <t>击败黑石塔boss奖励</t>
  </si>
  <si>
    <t>击败地狱火城墙boss奖励</t>
  </si>
  <si>
    <t>击败鲜血熔炉boss奖励</t>
  </si>
  <si>
    <t>击败奴隶围栏boss奖励</t>
  </si>
  <si>
    <t>击败幽暗沼泽boss奖励</t>
  </si>
  <si>
    <t>击败法力陵墓boss奖励</t>
  </si>
  <si>
    <t>击败奥金尼地穴boss奖励</t>
  </si>
  <si>
    <t>击败旧希尔布拉德丘陵boss奖励</t>
  </si>
  <si>
    <t>击败塞泰克大厅boss奖励</t>
  </si>
  <si>
    <t>击败暗影迷宫boss奖励</t>
  </si>
  <si>
    <t>击败蒸汽地窖boss奖励</t>
  </si>
  <si>
    <t>击败能源舰boss奖励</t>
  </si>
  <si>
    <t>击败生态船boss奖励</t>
  </si>
  <si>
    <t>击败禁魔监狱boss奖励</t>
  </si>
  <si>
    <t>击败破碎大厅boss奖励</t>
  </si>
  <si>
    <t>击败黑色沼泽boss奖励</t>
  </si>
  <si>
    <t>首充</t>
  </si>
  <si>
    <t>充100钻石返10钻石</t>
  </si>
  <si>
    <t>充300钻石返30钻石</t>
  </si>
  <si>
    <t>充500钻石返50钻石</t>
  </si>
  <si>
    <t>充1000钻石返110钻石</t>
  </si>
  <si>
    <t>充2000钻石返230钻石</t>
  </si>
  <si>
    <t>充5000钻石返600钻石</t>
  </si>
  <si>
    <t>开服第1天奖励</t>
  </si>
  <si>
    <t>开服第2天奖励</t>
  </si>
  <si>
    <t>签到第1天奖励</t>
  </si>
  <si>
    <t>签到第2天奖励</t>
  </si>
  <si>
    <t>玩家等级达到4级奖励</t>
  </si>
  <si>
    <t>玩家等级达到7级奖励</t>
  </si>
  <si>
    <t>玩家等级达到10级奖励</t>
  </si>
  <si>
    <t>10000_1002_1000</t>
    <phoneticPr fontId="2" type="noConversion"/>
  </si>
  <si>
    <t>10000_1002_5000</t>
    <phoneticPr fontId="2" type="noConversion"/>
  </si>
  <si>
    <t>10000_1001_10</t>
    <phoneticPr fontId="2" type="noConversion"/>
  </si>
  <si>
    <t>Item/gift4.png</t>
  </si>
  <si>
    <t>Item/gift4.png</t>
    <phoneticPr fontId="2" type="noConversion"/>
  </si>
  <si>
    <t>Item/gift2.png</t>
  </si>
  <si>
    <t>Item/gift2.png</t>
    <phoneticPr fontId="2" type="noConversion"/>
  </si>
  <si>
    <t>Item/gift1.png</t>
  </si>
  <si>
    <t>Item/gift1.png</t>
    <phoneticPr fontId="2" type="noConversion"/>
  </si>
  <si>
    <t>Item/gift2.png</t>
    <phoneticPr fontId="2" type="noConversion"/>
  </si>
  <si>
    <t>10000_1001_30,30000_60001_10,10000_1009_1</t>
    <phoneticPr fontId="2" type="noConversion"/>
  </si>
  <si>
    <t>10000_1001_45,30000_60001_20,10000_1009_1</t>
    <phoneticPr fontId="2" type="noConversion"/>
  </si>
  <si>
    <t>10000_1001_60,30000_60001_30,10000_1009_1</t>
    <phoneticPr fontId="2" type="noConversion"/>
  </si>
  <si>
    <t>10000_1001_75,30000_60001_40,10000_1009_1</t>
    <phoneticPr fontId="2" type="noConversion"/>
  </si>
  <si>
    <t>10000_1002_42000</t>
    <phoneticPr fontId="2" type="noConversion"/>
  </si>
  <si>
    <t>10000_1001_90,30000_60001_50,10000_1009_1</t>
    <phoneticPr fontId="2" type="noConversion"/>
  </si>
  <si>
    <t>10000_1001_115,30000_60001_60,10000_1009_1</t>
    <phoneticPr fontId="2" type="noConversion"/>
  </si>
  <si>
    <t>10000_1001_135,30000_60001_80,10000_1009_1</t>
    <phoneticPr fontId="2" type="noConversion"/>
  </si>
  <si>
    <t>10000_1001_150,30000_60001_100,10000_1009_1</t>
    <phoneticPr fontId="2" type="noConversion"/>
  </si>
  <si>
    <t>10000_1001_175,30000_60001_120,10000_1009_1</t>
    <phoneticPr fontId="2" type="noConversion"/>
  </si>
  <si>
    <t>10000_1001_190,30000_60001_140,10000_1009_1</t>
    <phoneticPr fontId="2" type="noConversion"/>
  </si>
  <si>
    <t>10000_1001_205,30000_60001_160,10000_1009_1</t>
    <phoneticPr fontId="2" type="noConversion"/>
  </si>
  <si>
    <t>10000_1001_220,30000_60001_180,10000_1009_1</t>
    <phoneticPr fontId="2" type="noConversion"/>
  </si>
  <si>
    <t>10000_1001_235,30000_60001_200,10000_1009_1</t>
    <phoneticPr fontId="2" type="noConversion"/>
  </si>
  <si>
    <t>10000_1001_20;40000_50201052_1_1,40000_50202052_1_2,40000_50203052_1_3</t>
  </si>
  <si>
    <t>开服注册奖励(封测)</t>
    <phoneticPr fontId="2" type="noConversion"/>
  </si>
  <si>
    <t>10000_1001_3000</t>
  </si>
  <si>
    <t>10000_1001_25;40000_50351062_1_1,40000_50352062_1_2,40000_50353062_1_3</t>
    <phoneticPr fontId="2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</si>
</sst>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" fillId="0" borderId="0" xfId="2">
      <alignment vertical="center"/>
    </xf>
    <xf numFmtId="0" fontId="4" fillId="2" borderId="0" xfId="1">
      <alignment vertical="center"/>
    </xf>
    <xf numFmtId="0" fontId="1" fillId="0" borderId="0" xfId="3">
      <alignment vertical="center"/>
    </xf>
    <xf numFmtId="0" fontId="4" fillId="2" borderId="0" xfId="1">
      <alignment vertical="center"/>
    </xf>
    <xf numFmtId="0" fontId="1" fillId="0" borderId="0" xfId="4" applyFill="1">
      <alignment vertical="center"/>
    </xf>
    <xf numFmtId="0" fontId="1" fillId="0" borderId="0" xfId="4">
      <alignment vertical="center"/>
    </xf>
    <xf numFmtId="0" fontId="1" fillId="0" borderId="0" xfId="5">
      <alignment vertical="center"/>
    </xf>
    <xf numFmtId="0" fontId="4" fillId="2" borderId="0" xfId="1">
      <alignment vertical="center"/>
    </xf>
  </cellXfs>
  <cellStyles count="6">
    <cellStyle name="常规" xfId="0" builtinId="0"/>
    <cellStyle name="常规 2" xfId="2"/>
    <cellStyle name="常规 3" xfId="3"/>
    <cellStyle name="常规 4" xfId="4"/>
    <cellStyle name="常规 5" xfId="5"/>
    <cellStyle name="好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37"/>
  <sheetViews>
    <sheetView tabSelected="1" topLeftCell="D1" workbookViewId="0">
      <selection activeCell="M4" sqref="M4"/>
    </sheetView>
  </sheetViews>
  <sheetFormatPr defaultRowHeight="13.5"/>
  <cols>
    <col min="1" max="2" width="9" style="1"/>
    <col min="3" max="3" width="9" style="1" customWidth="1"/>
    <col min="4" max="5" width="18.125" style="1" customWidth="1"/>
    <col min="6" max="6" width="63" style="1" customWidth="1"/>
    <col min="7" max="7" width="53.875" customWidth="1"/>
    <col min="8" max="8" width="17" style="1" customWidth="1"/>
    <col min="9" max="12" width="9" customWidth="1"/>
    <col min="13" max="13" width="20.75" style="1" customWidth="1"/>
  </cols>
  <sheetData>
    <row r="1" spans="1:13">
      <c r="A1" s="1" t="s">
        <v>25</v>
      </c>
    </row>
    <row r="3" spans="1:13">
      <c r="A3" s="2" t="s">
        <v>0</v>
      </c>
      <c r="B3" s="2" t="s">
        <v>3</v>
      </c>
      <c r="C3" s="2" t="s">
        <v>2</v>
      </c>
      <c r="D3" s="2" t="s">
        <v>5</v>
      </c>
      <c r="E3" s="2" t="s">
        <v>11</v>
      </c>
      <c r="F3" s="2" t="s">
        <v>16</v>
      </c>
      <c r="G3" s="2" t="s">
        <v>1</v>
      </c>
      <c r="H3" s="2" t="s">
        <v>31</v>
      </c>
      <c r="M3" s="2" t="s">
        <v>26</v>
      </c>
    </row>
    <row r="4" spans="1:13">
      <c r="A4" s="2" t="s">
        <v>9</v>
      </c>
      <c r="B4" s="2" t="s">
        <v>10</v>
      </c>
      <c r="C4" s="2" t="s">
        <v>14</v>
      </c>
      <c r="D4" s="2" t="s">
        <v>12</v>
      </c>
      <c r="E4" s="2" t="s">
        <v>13</v>
      </c>
      <c r="F4" s="2" t="s">
        <v>15</v>
      </c>
      <c r="G4" s="2"/>
      <c r="H4" s="2"/>
      <c r="M4" s="2"/>
    </row>
    <row r="5" spans="1:13">
      <c r="A5" s="2"/>
      <c r="B5" s="2"/>
      <c r="C5" s="2"/>
      <c r="D5" s="2"/>
      <c r="E5" s="2"/>
      <c r="F5" s="2"/>
      <c r="G5" s="2"/>
      <c r="H5" s="2"/>
      <c r="M5" s="2"/>
    </row>
    <row r="6" spans="1:13">
      <c r="A6" s="1">
        <v>1000001</v>
      </c>
      <c r="B6" s="1">
        <v>1</v>
      </c>
      <c r="C6" s="1">
        <v>10</v>
      </c>
      <c r="D6" s="1">
        <v>0</v>
      </c>
      <c r="E6" s="1">
        <v>0</v>
      </c>
      <c r="G6" s="1" t="s">
        <v>4</v>
      </c>
      <c r="H6" s="1" t="s">
        <v>33</v>
      </c>
      <c r="J6" s="1">
        <v>30</v>
      </c>
      <c r="M6" s="1" t="s">
        <v>27</v>
      </c>
    </row>
    <row r="7" spans="1:13">
      <c r="A7" s="1">
        <v>2000001</v>
      </c>
      <c r="B7" s="1">
        <v>2</v>
      </c>
      <c r="C7" s="1">
        <v>100</v>
      </c>
      <c r="D7" s="1">
        <v>0</v>
      </c>
      <c r="E7" s="1">
        <v>2000002</v>
      </c>
      <c r="F7" s="1" t="str">
        <f t="shared" ref="F7:F33" si="0">"10000_1001_"&amp;J7</f>
        <v>10000_1001_10</v>
      </c>
      <c r="G7" s="1" t="s">
        <v>34</v>
      </c>
      <c r="H7" s="1" t="s">
        <v>32</v>
      </c>
      <c r="J7" s="1">
        <v>10</v>
      </c>
      <c r="M7" s="1" t="s">
        <v>28</v>
      </c>
    </row>
    <row r="8" spans="1:13">
      <c r="A8" s="1">
        <v>2000002</v>
      </c>
      <c r="B8" s="1">
        <v>2</v>
      </c>
      <c r="C8" s="1">
        <v>300</v>
      </c>
      <c r="D8" s="1">
        <v>2000001</v>
      </c>
      <c r="E8" s="1">
        <v>2000003</v>
      </c>
      <c r="F8" s="1" t="str">
        <f t="shared" si="0"/>
        <v>10000_1001_30</v>
      </c>
      <c r="G8" s="1" t="s">
        <v>35</v>
      </c>
      <c r="H8" s="1" t="s">
        <v>32</v>
      </c>
      <c r="J8" s="1">
        <v>30</v>
      </c>
      <c r="M8" s="1" t="s">
        <v>28</v>
      </c>
    </row>
    <row r="9" spans="1:13">
      <c r="A9" s="1">
        <v>2000003</v>
      </c>
      <c r="B9" s="1">
        <v>2</v>
      </c>
      <c r="C9" s="1">
        <v>500</v>
      </c>
      <c r="D9" s="1">
        <v>2000002</v>
      </c>
      <c r="E9" s="1">
        <v>2000004</v>
      </c>
      <c r="F9" s="1" t="str">
        <f t="shared" si="0"/>
        <v>10000_1001_50</v>
      </c>
      <c r="G9" s="1" t="s">
        <v>36</v>
      </c>
      <c r="H9" s="1" t="s">
        <v>32</v>
      </c>
      <c r="J9" s="1">
        <v>50</v>
      </c>
      <c r="M9" s="1" t="s">
        <v>28</v>
      </c>
    </row>
    <row r="10" spans="1:13">
      <c r="A10" s="1">
        <v>2000004</v>
      </c>
      <c r="B10" s="1">
        <v>2</v>
      </c>
      <c r="C10" s="1">
        <v>1000</v>
      </c>
      <c r="D10" s="1">
        <v>2000003</v>
      </c>
      <c r="E10" s="1">
        <v>2000005</v>
      </c>
      <c r="F10" s="1" t="str">
        <f t="shared" si="0"/>
        <v>10000_1001_110</v>
      </c>
      <c r="G10" s="1" t="s">
        <v>37</v>
      </c>
      <c r="H10" s="1" t="s">
        <v>32</v>
      </c>
      <c r="J10" s="1">
        <v>110</v>
      </c>
      <c r="M10" s="1" t="s">
        <v>28</v>
      </c>
    </row>
    <row r="11" spans="1:13">
      <c r="A11" s="1">
        <v>2000005</v>
      </c>
      <c r="B11" s="1">
        <v>2</v>
      </c>
      <c r="C11" s="1">
        <v>2000</v>
      </c>
      <c r="D11" s="1">
        <v>2000004</v>
      </c>
      <c r="E11" s="1">
        <v>2000006</v>
      </c>
      <c r="F11" s="1" t="str">
        <f t="shared" si="0"/>
        <v>10000_1001_230</v>
      </c>
      <c r="G11" s="1" t="s">
        <v>38</v>
      </c>
      <c r="H11" s="1" t="s">
        <v>32</v>
      </c>
      <c r="J11" s="1">
        <v>230</v>
      </c>
      <c r="M11" s="1" t="s">
        <v>28</v>
      </c>
    </row>
    <row r="12" spans="1:13">
      <c r="A12" s="1">
        <v>2000006</v>
      </c>
      <c r="B12" s="1">
        <v>2</v>
      </c>
      <c r="C12" s="1">
        <v>5000</v>
      </c>
      <c r="D12" s="1">
        <v>2000005</v>
      </c>
      <c r="E12" s="1">
        <v>-1</v>
      </c>
      <c r="F12" s="1" t="str">
        <f t="shared" si="0"/>
        <v>10000_1001_600</v>
      </c>
      <c r="G12" s="1" t="s">
        <v>39</v>
      </c>
      <c r="H12" s="1" t="s">
        <v>32</v>
      </c>
      <c r="J12" s="1">
        <v>600</v>
      </c>
      <c r="M12" s="1" t="s">
        <v>28</v>
      </c>
    </row>
    <row r="13" spans="1:13">
      <c r="A13" s="1">
        <v>3000001</v>
      </c>
      <c r="B13" s="1">
        <v>3</v>
      </c>
      <c r="C13" s="1">
        <v>1</v>
      </c>
      <c r="D13" s="1">
        <v>0</v>
      </c>
      <c r="E13" s="1">
        <v>3000002</v>
      </c>
      <c r="F13" s="1" t="str">
        <f t="shared" si="0"/>
        <v>10000_1001_20</v>
      </c>
      <c r="G13" s="1" t="s">
        <v>40</v>
      </c>
      <c r="H13" s="1" t="s">
        <v>32</v>
      </c>
      <c r="J13" s="7">
        <v>20</v>
      </c>
      <c r="M13" s="1" t="s">
        <v>29</v>
      </c>
    </row>
    <row r="14" spans="1:13">
      <c r="A14" s="1">
        <v>3000002</v>
      </c>
      <c r="B14" s="1">
        <v>3</v>
      </c>
      <c r="C14" s="1">
        <v>2</v>
      </c>
      <c r="D14" s="1">
        <v>3000001</v>
      </c>
      <c r="E14" s="1">
        <v>3000003</v>
      </c>
      <c r="F14" s="1" t="str">
        <f t="shared" si="0"/>
        <v>10000_1001_120</v>
      </c>
      <c r="G14" s="1" t="s">
        <v>41</v>
      </c>
      <c r="H14" s="1" t="s">
        <v>32</v>
      </c>
      <c r="J14" s="7">
        <v>120</v>
      </c>
      <c r="M14" s="1" t="s">
        <v>29</v>
      </c>
    </row>
    <row r="15" spans="1:13">
      <c r="A15" s="1">
        <v>3000003</v>
      </c>
      <c r="B15" s="1">
        <v>3</v>
      </c>
      <c r="C15" s="1">
        <v>3</v>
      </c>
      <c r="D15" s="1">
        <v>3000002</v>
      </c>
      <c r="E15" s="1">
        <v>3000004</v>
      </c>
      <c r="F15" s="1" t="str">
        <f>"10000_1001_"&amp;J15&amp;";40000_50201052_1_1,40000_50202052_1_2,40000_50203052_1_3"</f>
        <v>10000_1001_20;40000_50201052_1_1,40000_50202052_1_2,40000_50203052_1_3</v>
      </c>
      <c r="G15" s="1" t="s">
        <v>42</v>
      </c>
      <c r="H15" s="1" t="s">
        <v>32</v>
      </c>
      <c r="J15" s="6">
        <v>20</v>
      </c>
      <c r="M15" s="1" t="s">
        <v>29</v>
      </c>
    </row>
    <row r="16" spans="1:13">
      <c r="A16" s="1">
        <v>3000004</v>
      </c>
      <c r="B16" s="1">
        <v>3</v>
      </c>
      <c r="C16" s="1">
        <v>4</v>
      </c>
      <c r="D16" s="1">
        <v>3000003</v>
      </c>
      <c r="E16" s="1">
        <v>3000005</v>
      </c>
      <c r="F16" s="1" t="str">
        <f t="shared" si="0"/>
        <v>10000_1001_20</v>
      </c>
      <c r="G16" s="1" t="s">
        <v>43</v>
      </c>
      <c r="H16" s="1" t="s">
        <v>32</v>
      </c>
      <c r="J16" s="6">
        <v>20</v>
      </c>
      <c r="M16" s="1" t="s">
        <v>29</v>
      </c>
    </row>
    <row r="17" spans="1:13">
      <c r="A17" s="1">
        <v>3000005</v>
      </c>
      <c r="B17" s="1">
        <v>3</v>
      </c>
      <c r="C17" s="1">
        <v>5</v>
      </c>
      <c r="D17" s="1">
        <v>3000004</v>
      </c>
      <c r="E17" s="1">
        <v>3000006</v>
      </c>
      <c r="F17" s="1" t="str">
        <f t="shared" si="0"/>
        <v>10000_1001_125</v>
      </c>
      <c r="G17" s="1" t="s">
        <v>44</v>
      </c>
      <c r="H17" s="1" t="s">
        <v>32</v>
      </c>
      <c r="J17" s="6">
        <v>125</v>
      </c>
      <c r="M17" s="1" t="s">
        <v>29</v>
      </c>
    </row>
    <row r="18" spans="1:13">
      <c r="A18" s="1">
        <v>3000006</v>
      </c>
      <c r="B18" s="1">
        <v>3</v>
      </c>
      <c r="C18" s="1">
        <v>6</v>
      </c>
      <c r="D18" s="1">
        <v>3000005</v>
      </c>
      <c r="E18" s="1">
        <v>3000007</v>
      </c>
      <c r="F18" s="1" t="str">
        <f t="shared" si="0"/>
        <v>10000_1001_25</v>
      </c>
      <c r="G18" s="1" t="s">
        <v>45</v>
      </c>
      <c r="H18" s="1" t="s">
        <v>32</v>
      </c>
      <c r="J18" s="7">
        <v>25</v>
      </c>
      <c r="M18" s="1" t="s">
        <v>29</v>
      </c>
    </row>
    <row r="19" spans="1:13">
      <c r="A19" s="1">
        <v>3000007</v>
      </c>
      <c r="B19" s="1">
        <v>3</v>
      </c>
      <c r="C19" s="1">
        <v>7</v>
      </c>
      <c r="D19" s="1">
        <v>3000006</v>
      </c>
      <c r="E19" s="1">
        <v>3000008</v>
      </c>
      <c r="F19" s="1" t="str">
        <f>"10000_1001_"&amp;J19&amp;";40000_50351062_1_1,40000_50352062_1_2,40000_50353062_1_3"</f>
        <v>10000_1001_25;40000_50351062_1_1,40000_50352062_1_2,40000_50353062_1_3</v>
      </c>
      <c r="G19" s="1" t="s">
        <v>46</v>
      </c>
      <c r="H19" s="1" t="s">
        <v>32</v>
      </c>
      <c r="J19" s="7">
        <v>25</v>
      </c>
      <c r="M19" s="1" t="s">
        <v>29</v>
      </c>
    </row>
    <row r="20" spans="1:13">
      <c r="A20" s="1">
        <v>3000008</v>
      </c>
      <c r="B20" s="1">
        <v>3</v>
      </c>
      <c r="C20" s="1">
        <v>8</v>
      </c>
      <c r="D20" s="1">
        <v>3000007</v>
      </c>
      <c r="E20" s="1">
        <v>3000009</v>
      </c>
      <c r="F20" s="1" t="str">
        <f t="shared" si="0"/>
        <v>10000_1001_125</v>
      </c>
      <c r="G20" s="1" t="s">
        <v>47</v>
      </c>
      <c r="H20" s="1" t="s">
        <v>32</v>
      </c>
      <c r="J20" s="6">
        <v>125</v>
      </c>
      <c r="M20" s="1" t="s">
        <v>29</v>
      </c>
    </row>
    <row r="21" spans="1:13">
      <c r="A21" s="1">
        <v>3000009</v>
      </c>
      <c r="B21" s="1">
        <v>3</v>
      </c>
      <c r="C21" s="1">
        <v>9</v>
      </c>
      <c r="D21" s="1">
        <v>3000008</v>
      </c>
      <c r="E21" s="1">
        <v>3000010</v>
      </c>
      <c r="F21" s="1" t="str">
        <f t="shared" si="0"/>
        <v>10000_1001_25</v>
      </c>
      <c r="G21" s="1" t="s">
        <v>48</v>
      </c>
      <c r="H21" s="1" t="s">
        <v>32</v>
      </c>
      <c r="J21" s="6">
        <v>25</v>
      </c>
      <c r="M21" s="1" t="s">
        <v>29</v>
      </c>
    </row>
    <row r="22" spans="1:13">
      <c r="A22" s="1">
        <v>3000010</v>
      </c>
      <c r="B22" s="1">
        <v>3</v>
      </c>
      <c r="C22" s="1">
        <v>10</v>
      </c>
      <c r="D22" s="1">
        <v>3000009</v>
      </c>
      <c r="E22" s="1">
        <v>3000011</v>
      </c>
      <c r="F22" s="1" t="str">
        <f t="shared" si="0"/>
        <v>10000_1001_25</v>
      </c>
      <c r="G22" s="1" t="s">
        <v>49</v>
      </c>
      <c r="H22" s="1" t="s">
        <v>32</v>
      </c>
      <c r="J22" s="6">
        <v>25</v>
      </c>
      <c r="M22" s="1" t="s">
        <v>29</v>
      </c>
    </row>
    <row r="23" spans="1:13">
      <c r="A23" s="1">
        <v>3000011</v>
      </c>
      <c r="B23" s="1">
        <v>3</v>
      </c>
      <c r="C23" s="1">
        <v>11</v>
      </c>
      <c r="D23" s="1">
        <v>3000010</v>
      </c>
      <c r="E23" s="1">
        <v>3000012</v>
      </c>
      <c r="F23" s="1" t="str">
        <f t="shared" si="0"/>
        <v>10000_1001_130</v>
      </c>
      <c r="G23" s="1" t="s">
        <v>50</v>
      </c>
      <c r="H23" s="1" t="s">
        <v>32</v>
      </c>
      <c r="J23" s="6">
        <v>130</v>
      </c>
      <c r="M23" s="1" t="s">
        <v>29</v>
      </c>
    </row>
    <row r="24" spans="1:13">
      <c r="A24" s="1">
        <v>3000012</v>
      </c>
      <c r="B24" s="1">
        <v>3</v>
      </c>
      <c r="C24" s="1">
        <v>12</v>
      </c>
      <c r="D24" s="1">
        <v>3000011</v>
      </c>
      <c r="E24" s="1">
        <v>3000013</v>
      </c>
      <c r="F24" s="1" t="str">
        <f t="shared" si="0"/>
        <v>10000_1001_30</v>
      </c>
      <c r="G24" s="1" t="s">
        <v>51</v>
      </c>
      <c r="H24" s="1" t="s">
        <v>32</v>
      </c>
      <c r="J24" s="6">
        <v>30</v>
      </c>
      <c r="M24" s="1" t="s">
        <v>29</v>
      </c>
    </row>
    <row r="25" spans="1:13">
      <c r="A25" s="1">
        <v>3000013</v>
      </c>
      <c r="B25" s="1">
        <v>3</v>
      </c>
      <c r="C25" s="1">
        <v>13</v>
      </c>
      <c r="D25" s="1">
        <v>3000012</v>
      </c>
      <c r="E25" s="1">
        <v>3000014</v>
      </c>
      <c r="F25" s="1" t="str">
        <f t="shared" si="0"/>
        <v>10000_1001_30</v>
      </c>
      <c r="G25" s="1" t="s">
        <v>52</v>
      </c>
      <c r="H25" s="1" t="s">
        <v>32</v>
      </c>
      <c r="J25" s="6">
        <v>30</v>
      </c>
      <c r="M25" s="1" t="s">
        <v>29</v>
      </c>
    </row>
    <row r="26" spans="1:13">
      <c r="A26" s="1">
        <v>3000014</v>
      </c>
      <c r="B26" s="1">
        <v>3</v>
      </c>
      <c r="C26" s="1">
        <v>14</v>
      </c>
      <c r="D26" s="1">
        <v>3000013</v>
      </c>
      <c r="E26" s="1">
        <v>3000015</v>
      </c>
      <c r="F26" s="1" t="str">
        <f t="shared" si="0"/>
        <v>10000_1001_135</v>
      </c>
      <c r="G26" s="1" t="s">
        <v>53</v>
      </c>
      <c r="H26" s="1" t="s">
        <v>32</v>
      </c>
      <c r="J26" s="6">
        <v>135</v>
      </c>
      <c r="M26" s="1" t="s">
        <v>29</v>
      </c>
    </row>
    <row r="27" spans="1:13">
      <c r="A27" s="1">
        <v>3000015</v>
      </c>
      <c r="B27" s="1">
        <v>3</v>
      </c>
      <c r="C27" s="1">
        <v>15</v>
      </c>
      <c r="D27" s="1">
        <v>3000014</v>
      </c>
      <c r="E27" s="1">
        <v>3000016</v>
      </c>
      <c r="F27" s="1" t="str">
        <f t="shared" si="0"/>
        <v>10000_1001_35</v>
      </c>
      <c r="G27" s="1" t="s">
        <v>125</v>
      </c>
      <c r="H27" s="1" t="s">
        <v>32</v>
      </c>
      <c r="J27" s="6">
        <v>35</v>
      </c>
      <c r="M27" s="1" t="s">
        <v>29</v>
      </c>
    </row>
    <row r="28" spans="1:13">
      <c r="A28" s="1">
        <v>3000016</v>
      </c>
      <c r="B28" s="1">
        <v>3</v>
      </c>
      <c r="C28" s="1">
        <v>16</v>
      </c>
      <c r="D28" s="1">
        <v>3000015</v>
      </c>
      <c r="E28" s="1">
        <v>3000017</v>
      </c>
      <c r="F28" s="1" t="str">
        <f t="shared" si="0"/>
        <v>10000_1001_35</v>
      </c>
      <c r="G28" s="1" t="s">
        <v>126</v>
      </c>
      <c r="H28" s="1" t="s">
        <v>32</v>
      </c>
      <c r="J28" s="7">
        <v>35</v>
      </c>
      <c r="M28" s="1" t="s">
        <v>29</v>
      </c>
    </row>
    <row r="29" spans="1:13">
      <c r="A29" s="1">
        <v>3000017</v>
      </c>
      <c r="B29" s="1">
        <v>3</v>
      </c>
      <c r="C29" s="1">
        <v>17</v>
      </c>
      <c r="D29" s="1">
        <v>3000016</v>
      </c>
      <c r="E29" s="1">
        <v>3000018</v>
      </c>
      <c r="F29" s="1" t="str">
        <f t="shared" si="0"/>
        <v>10000_1001_135</v>
      </c>
      <c r="G29" s="1" t="s">
        <v>127</v>
      </c>
      <c r="H29" s="1" t="s">
        <v>32</v>
      </c>
      <c r="J29" s="7">
        <v>135</v>
      </c>
      <c r="M29" s="1" t="s">
        <v>29</v>
      </c>
    </row>
    <row r="30" spans="1:13">
      <c r="A30" s="1">
        <v>3000018</v>
      </c>
      <c r="B30" s="1">
        <v>3</v>
      </c>
      <c r="C30" s="1">
        <v>18</v>
      </c>
      <c r="D30" s="1">
        <v>3000017</v>
      </c>
      <c r="E30" s="1">
        <v>3000019</v>
      </c>
      <c r="F30" s="1" t="str">
        <f t="shared" si="0"/>
        <v>10000_1001_35</v>
      </c>
      <c r="G30" s="1" t="s">
        <v>128</v>
      </c>
      <c r="H30" s="1" t="s">
        <v>32</v>
      </c>
      <c r="J30" s="7">
        <v>35</v>
      </c>
      <c r="M30" s="1" t="s">
        <v>29</v>
      </c>
    </row>
    <row r="31" spans="1:13">
      <c r="A31" s="1">
        <v>3000019</v>
      </c>
      <c r="B31" s="1">
        <v>3</v>
      </c>
      <c r="C31" s="1">
        <v>19</v>
      </c>
      <c r="D31" s="1">
        <v>3000018</v>
      </c>
      <c r="E31" s="1">
        <v>3000020</v>
      </c>
      <c r="F31" s="1" t="str">
        <f t="shared" si="0"/>
        <v>10000_1001_35</v>
      </c>
      <c r="G31" s="1" t="s">
        <v>129</v>
      </c>
      <c r="H31" s="1" t="s">
        <v>32</v>
      </c>
      <c r="J31" s="7">
        <v>35</v>
      </c>
      <c r="M31" s="1" t="s">
        <v>29</v>
      </c>
    </row>
    <row r="32" spans="1:13">
      <c r="A32" s="1">
        <v>3000020</v>
      </c>
      <c r="B32" s="1">
        <v>3</v>
      </c>
      <c r="C32" s="1">
        <v>20</v>
      </c>
      <c r="D32" s="1">
        <v>3000019</v>
      </c>
      <c r="E32" s="1">
        <v>3000021</v>
      </c>
      <c r="F32" s="1" t="str">
        <f t="shared" si="0"/>
        <v>10000_1001_140</v>
      </c>
      <c r="G32" s="1" t="s">
        <v>130</v>
      </c>
      <c r="H32" s="1" t="s">
        <v>32</v>
      </c>
      <c r="J32" s="7">
        <v>140</v>
      </c>
      <c r="M32" s="1" t="s">
        <v>29</v>
      </c>
    </row>
    <row r="33" spans="1:13">
      <c r="A33" s="1">
        <v>3000021</v>
      </c>
      <c r="B33" s="1">
        <v>3</v>
      </c>
      <c r="C33" s="1">
        <v>21</v>
      </c>
      <c r="D33" s="1">
        <v>3000020</v>
      </c>
      <c r="E33" s="1">
        <v>3000022</v>
      </c>
      <c r="F33" s="1" t="str">
        <f t="shared" si="0"/>
        <v>10000_1001_40</v>
      </c>
      <c r="G33" s="1" t="s">
        <v>131</v>
      </c>
      <c r="H33" s="1" t="s">
        <v>32</v>
      </c>
      <c r="J33" s="6">
        <v>40</v>
      </c>
      <c r="M33" s="1" t="s">
        <v>29</v>
      </c>
    </row>
    <row r="34" spans="1:13">
      <c r="A34" s="1">
        <v>3000022</v>
      </c>
      <c r="B34" s="1">
        <v>3</v>
      </c>
      <c r="C34" s="1">
        <v>22</v>
      </c>
      <c r="D34" s="1">
        <v>3000021</v>
      </c>
      <c r="E34" s="1">
        <v>3000023</v>
      </c>
      <c r="F34" s="1" t="str">
        <f t="shared" ref="F34:F65" si="1">"10000_1001_"&amp;J34</f>
        <v>10000_1001_40</v>
      </c>
      <c r="G34" s="1" t="s">
        <v>132</v>
      </c>
      <c r="H34" s="1" t="s">
        <v>32</v>
      </c>
      <c r="J34" s="6">
        <v>40</v>
      </c>
      <c r="M34" s="1" t="s">
        <v>29</v>
      </c>
    </row>
    <row r="35" spans="1:13">
      <c r="A35" s="1">
        <v>3000023</v>
      </c>
      <c r="B35" s="1">
        <v>3</v>
      </c>
      <c r="C35" s="1">
        <v>23</v>
      </c>
      <c r="D35" s="1">
        <v>3000022</v>
      </c>
      <c r="E35" s="1">
        <v>3000024</v>
      </c>
      <c r="F35" s="1" t="str">
        <f t="shared" si="1"/>
        <v>10000_1001_140</v>
      </c>
      <c r="G35" s="1" t="s">
        <v>133</v>
      </c>
      <c r="H35" s="1" t="s">
        <v>32</v>
      </c>
      <c r="J35" s="6">
        <v>140</v>
      </c>
      <c r="M35" s="1" t="s">
        <v>29</v>
      </c>
    </row>
    <row r="36" spans="1:13">
      <c r="A36" s="1">
        <v>3000024</v>
      </c>
      <c r="B36" s="1">
        <v>3</v>
      </c>
      <c r="C36" s="1">
        <v>24</v>
      </c>
      <c r="D36" s="1">
        <v>3000023</v>
      </c>
      <c r="E36" s="1">
        <v>3000025</v>
      </c>
      <c r="F36" s="1" t="str">
        <f t="shared" si="1"/>
        <v>10000_1001_45</v>
      </c>
      <c r="G36" s="1" t="s">
        <v>134</v>
      </c>
      <c r="H36" s="1" t="s">
        <v>32</v>
      </c>
      <c r="J36" s="6">
        <v>45</v>
      </c>
      <c r="M36" s="1" t="s">
        <v>29</v>
      </c>
    </row>
    <row r="37" spans="1:13">
      <c r="A37" s="1">
        <v>3000025</v>
      </c>
      <c r="B37" s="1">
        <v>3</v>
      </c>
      <c r="C37" s="1">
        <v>25</v>
      </c>
      <c r="D37" s="1">
        <v>3000024</v>
      </c>
      <c r="E37" s="1">
        <v>3000026</v>
      </c>
      <c r="F37" s="1" t="str">
        <f t="shared" si="1"/>
        <v>10000_1001_45</v>
      </c>
      <c r="G37" s="1" t="s">
        <v>135</v>
      </c>
      <c r="H37" s="1" t="s">
        <v>32</v>
      </c>
      <c r="J37" s="6">
        <v>45</v>
      </c>
      <c r="M37" s="1" t="s">
        <v>29</v>
      </c>
    </row>
    <row r="38" spans="1:13">
      <c r="A38" s="1">
        <v>3000026</v>
      </c>
      <c r="B38" s="1">
        <v>3</v>
      </c>
      <c r="C38" s="1">
        <v>26</v>
      </c>
      <c r="D38" s="1">
        <v>3000025</v>
      </c>
      <c r="E38" s="1">
        <v>3000027</v>
      </c>
      <c r="F38" s="1" t="str">
        <f t="shared" si="1"/>
        <v>10000_1001_145</v>
      </c>
      <c r="G38" s="1" t="s">
        <v>136</v>
      </c>
      <c r="H38" s="1" t="s">
        <v>32</v>
      </c>
      <c r="J38" s="7">
        <v>145</v>
      </c>
      <c r="M38" s="1" t="s">
        <v>29</v>
      </c>
    </row>
    <row r="39" spans="1:13">
      <c r="A39" s="1">
        <v>3000027</v>
      </c>
      <c r="B39" s="1">
        <v>3</v>
      </c>
      <c r="C39" s="1">
        <v>27</v>
      </c>
      <c r="D39" s="1">
        <v>3000026</v>
      </c>
      <c r="E39" s="1">
        <v>3000028</v>
      </c>
      <c r="F39" s="1" t="str">
        <f t="shared" si="1"/>
        <v>10000_1001_45</v>
      </c>
      <c r="G39" s="1" t="s">
        <v>137</v>
      </c>
      <c r="H39" s="1" t="s">
        <v>32</v>
      </c>
      <c r="J39" s="6">
        <v>45</v>
      </c>
      <c r="M39" s="1" t="s">
        <v>29</v>
      </c>
    </row>
    <row r="40" spans="1:13">
      <c r="A40" s="1">
        <v>3000028</v>
      </c>
      <c r="B40" s="1">
        <v>3</v>
      </c>
      <c r="C40" s="1">
        <v>28</v>
      </c>
      <c r="D40" s="1">
        <v>3000027</v>
      </c>
      <c r="E40" s="1">
        <v>3000029</v>
      </c>
      <c r="F40" s="1" t="str">
        <f t="shared" si="1"/>
        <v>10000_1001_45</v>
      </c>
      <c r="G40" s="1" t="s">
        <v>138</v>
      </c>
      <c r="H40" s="1" t="s">
        <v>32</v>
      </c>
      <c r="J40" s="6">
        <v>45</v>
      </c>
      <c r="M40" s="1" t="s">
        <v>29</v>
      </c>
    </row>
    <row r="41" spans="1:13">
      <c r="A41" s="1">
        <v>3000029</v>
      </c>
      <c r="B41" s="1">
        <v>3</v>
      </c>
      <c r="C41" s="1">
        <v>29</v>
      </c>
      <c r="D41" s="1">
        <v>3000028</v>
      </c>
      <c r="E41" s="1">
        <v>3000030</v>
      </c>
      <c r="F41" s="1" t="str">
        <f t="shared" si="1"/>
        <v>10000_1001_145</v>
      </c>
      <c r="G41" s="1" t="s">
        <v>139</v>
      </c>
      <c r="H41" s="1" t="s">
        <v>32</v>
      </c>
      <c r="J41" s="7">
        <v>145</v>
      </c>
      <c r="M41" s="1" t="s">
        <v>29</v>
      </c>
    </row>
    <row r="42" spans="1:13">
      <c r="A42" s="1">
        <v>3000030</v>
      </c>
      <c r="B42" s="1">
        <v>3</v>
      </c>
      <c r="C42" s="1">
        <v>30</v>
      </c>
      <c r="D42" s="1">
        <v>3000029</v>
      </c>
      <c r="E42" s="1">
        <v>3000031</v>
      </c>
      <c r="F42" s="1" t="str">
        <f t="shared" si="1"/>
        <v>10000_1001_50</v>
      </c>
      <c r="G42" s="1" t="s">
        <v>140</v>
      </c>
      <c r="H42" s="1" t="s">
        <v>32</v>
      </c>
      <c r="J42" s="6">
        <v>50</v>
      </c>
      <c r="M42" s="1" t="s">
        <v>29</v>
      </c>
    </row>
    <row r="43" spans="1:13">
      <c r="A43" s="1">
        <v>3000031</v>
      </c>
      <c r="B43" s="1">
        <v>3</v>
      </c>
      <c r="C43" s="1">
        <v>31</v>
      </c>
      <c r="D43" s="1">
        <v>3000030</v>
      </c>
      <c r="E43" s="1">
        <v>3000032</v>
      </c>
      <c r="F43" s="1" t="str">
        <f t="shared" si="1"/>
        <v>10000_1001_50</v>
      </c>
      <c r="G43" s="1" t="s">
        <v>141</v>
      </c>
      <c r="H43" s="1" t="s">
        <v>32</v>
      </c>
      <c r="J43" s="6">
        <v>50</v>
      </c>
      <c r="M43" s="1" t="s">
        <v>29</v>
      </c>
    </row>
    <row r="44" spans="1:13">
      <c r="A44" s="1">
        <v>3000032</v>
      </c>
      <c r="B44" s="1">
        <v>3</v>
      </c>
      <c r="C44" s="1">
        <v>32</v>
      </c>
      <c r="D44" s="1">
        <v>3000031</v>
      </c>
      <c r="E44" s="1">
        <v>3000033</v>
      </c>
      <c r="F44" s="1" t="str">
        <f t="shared" si="1"/>
        <v>10000_1001_150</v>
      </c>
      <c r="G44" s="1" t="s">
        <v>142</v>
      </c>
      <c r="H44" s="1" t="s">
        <v>32</v>
      </c>
      <c r="J44" s="6">
        <v>150</v>
      </c>
      <c r="M44" s="1" t="s">
        <v>29</v>
      </c>
    </row>
    <row r="45" spans="1:13">
      <c r="A45" s="1">
        <v>3000033</v>
      </c>
      <c r="B45" s="1">
        <v>3</v>
      </c>
      <c r="C45" s="1">
        <v>33</v>
      </c>
      <c r="D45" s="1">
        <v>3000032</v>
      </c>
      <c r="E45" s="1">
        <v>3000034</v>
      </c>
      <c r="F45" s="1" t="str">
        <f t="shared" si="1"/>
        <v>10000_1001_50</v>
      </c>
      <c r="G45" s="1" t="s">
        <v>143</v>
      </c>
      <c r="H45" s="1" t="s">
        <v>32</v>
      </c>
      <c r="J45" s="6">
        <v>50</v>
      </c>
      <c r="M45" s="1" t="s">
        <v>29</v>
      </c>
    </row>
    <row r="46" spans="1:13">
      <c r="A46" s="1">
        <v>3000034</v>
      </c>
      <c r="B46" s="1">
        <v>3</v>
      </c>
      <c r="C46" s="1">
        <v>34</v>
      </c>
      <c r="D46" s="1">
        <v>3000033</v>
      </c>
      <c r="E46" s="1">
        <v>3000035</v>
      </c>
      <c r="F46" s="1" t="str">
        <f t="shared" si="1"/>
        <v>10000_1001_50</v>
      </c>
      <c r="G46" s="1" t="s">
        <v>144</v>
      </c>
      <c r="H46" s="1" t="s">
        <v>32</v>
      </c>
      <c r="J46" s="6">
        <v>50</v>
      </c>
      <c r="M46" s="1" t="s">
        <v>29</v>
      </c>
    </row>
    <row r="47" spans="1:13">
      <c r="A47" s="1">
        <v>3000035</v>
      </c>
      <c r="B47" s="1">
        <v>3</v>
      </c>
      <c r="C47" s="1">
        <v>35</v>
      </c>
      <c r="D47" s="1">
        <v>3000034</v>
      </c>
      <c r="E47" s="1">
        <v>3000036</v>
      </c>
      <c r="F47" s="1" t="str">
        <f t="shared" si="1"/>
        <v>10000_1001_150</v>
      </c>
      <c r="G47" s="1" t="s">
        <v>145</v>
      </c>
      <c r="H47" s="1" t="s">
        <v>32</v>
      </c>
      <c r="J47" s="6">
        <v>150</v>
      </c>
      <c r="M47" s="1" t="s">
        <v>29</v>
      </c>
    </row>
    <row r="48" spans="1:13">
      <c r="A48" s="1">
        <v>3000036</v>
      </c>
      <c r="B48" s="1">
        <v>3</v>
      </c>
      <c r="C48" s="1">
        <v>36</v>
      </c>
      <c r="D48" s="1">
        <v>3000035</v>
      </c>
      <c r="E48" s="1">
        <v>3000037</v>
      </c>
      <c r="F48" s="1" t="str">
        <f t="shared" si="1"/>
        <v>10000_1001_55</v>
      </c>
      <c r="G48" s="1" t="s">
        <v>146</v>
      </c>
      <c r="H48" s="1" t="s">
        <v>32</v>
      </c>
      <c r="J48" s="6">
        <v>55</v>
      </c>
      <c r="M48" s="1" t="s">
        <v>29</v>
      </c>
    </row>
    <row r="49" spans="1:13">
      <c r="A49" s="1">
        <v>3000037</v>
      </c>
      <c r="B49" s="1">
        <v>3</v>
      </c>
      <c r="C49" s="1">
        <v>37</v>
      </c>
      <c r="D49" s="1">
        <v>3000036</v>
      </c>
      <c r="E49" s="1">
        <v>3000038</v>
      </c>
      <c r="F49" s="1" t="str">
        <f t="shared" si="1"/>
        <v>10000_1001_55</v>
      </c>
      <c r="G49" s="1" t="s">
        <v>147</v>
      </c>
      <c r="H49" s="1" t="s">
        <v>32</v>
      </c>
      <c r="J49" s="6">
        <v>55</v>
      </c>
      <c r="M49" s="1" t="s">
        <v>29</v>
      </c>
    </row>
    <row r="50" spans="1:13">
      <c r="A50" s="1">
        <v>3000038</v>
      </c>
      <c r="B50" s="1">
        <v>3</v>
      </c>
      <c r="C50" s="1">
        <v>38</v>
      </c>
      <c r="D50" s="1">
        <v>3000037</v>
      </c>
      <c r="E50" s="1">
        <v>3000039</v>
      </c>
      <c r="F50" s="1" t="str">
        <f t="shared" si="1"/>
        <v>10000_1001_155</v>
      </c>
      <c r="G50" s="1" t="s">
        <v>148</v>
      </c>
      <c r="H50" s="1" t="s">
        <v>32</v>
      </c>
      <c r="J50" s="6">
        <v>155</v>
      </c>
      <c r="M50" s="1" t="s">
        <v>29</v>
      </c>
    </row>
    <row r="51" spans="1:13">
      <c r="A51" s="1">
        <v>3000039</v>
      </c>
      <c r="B51" s="1">
        <v>3</v>
      </c>
      <c r="C51" s="1">
        <v>39</v>
      </c>
      <c r="D51" s="1">
        <v>3000038</v>
      </c>
      <c r="E51" s="1">
        <v>3000040</v>
      </c>
      <c r="F51" s="1" t="str">
        <f t="shared" si="1"/>
        <v>10000_1001_55</v>
      </c>
      <c r="G51" s="1" t="s">
        <v>149</v>
      </c>
      <c r="H51" s="1" t="s">
        <v>32</v>
      </c>
      <c r="J51" s="6">
        <v>55</v>
      </c>
      <c r="M51" s="1" t="s">
        <v>29</v>
      </c>
    </row>
    <row r="52" spans="1:13">
      <c r="A52" s="1">
        <v>3000040</v>
      </c>
      <c r="B52" s="1">
        <v>3</v>
      </c>
      <c r="C52" s="1">
        <v>40</v>
      </c>
      <c r="D52" s="1">
        <v>3000039</v>
      </c>
      <c r="E52" s="1">
        <v>3000041</v>
      </c>
      <c r="F52" s="1" t="str">
        <f t="shared" si="1"/>
        <v>10000_1001_55</v>
      </c>
      <c r="G52" s="1" t="s">
        <v>150</v>
      </c>
      <c r="H52" s="1" t="s">
        <v>32</v>
      </c>
      <c r="J52" s="6">
        <v>55</v>
      </c>
      <c r="M52" s="1" t="s">
        <v>29</v>
      </c>
    </row>
    <row r="53" spans="1:13">
      <c r="A53" s="1">
        <v>3000041</v>
      </c>
      <c r="B53" s="1">
        <v>3</v>
      </c>
      <c r="C53" s="1">
        <v>41</v>
      </c>
      <c r="D53" s="1">
        <v>3000040</v>
      </c>
      <c r="E53" s="1">
        <v>3000042</v>
      </c>
      <c r="F53" s="1" t="str">
        <f t="shared" si="1"/>
        <v>10000_1001_155</v>
      </c>
      <c r="G53" s="1" t="s">
        <v>151</v>
      </c>
      <c r="H53" s="1" t="s">
        <v>32</v>
      </c>
      <c r="J53" s="6">
        <v>155</v>
      </c>
      <c r="M53" s="1" t="s">
        <v>29</v>
      </c>
    </row>
    <row r="54" spans="1:13">
      <c r="A54" s="1">
        <v>3000042</v>
      </c>
      <c r="B54" s="1">
        <v>3</v>
      </c>
      <c r="C54" s="1">
        <v>42</v>
      </c>
      <c r="D54" s="1">
        <v>3000041</v>
      </c>
      <c r="E54" s="1">
        <v>3000043</v>
      </c>
      <c r="F54" s="1" t="str">
        <f t="shared" si="1"/>
        <v>10000_1001_60</v>
      </c>
      <c r="G54" s="1" t="s">
        <v>152</v>
      </c>
      <c r="H54" s="1" t="s">
        <v>32</v>
      </c>
      <c r="J54" s="6">
        <v>60</v>
      </c>
      <c r="M54" s="1" t="s">
        <v>29</v>
      </c>
    </row>
    <row r="55" spans="1:13">
      <c r="A55" s="1">
        <v>3000043</v>
      </c>
      <c r="B55" s="1">
        <v>3</v>
      </c>
      <c r="C55" s="1">
        <v>43</v>
      </c>
      <c r="D55" s="1">
        <v>3000042</v>
      </c>
      <c r="E55" s="1">
        <v>3000044</v>
      </c>
      <c r="F55" s="1" t="str">
        <f t="shared" si="1"/>
        <v>10000_1001_60</v>
      </c>
      <c r="G55" s="1" t="s">
        <v>153</v>
      </c>
      <c r="H55" s="1" t="s">
        <v>32</v>
      </c>
      <c r="J55" s="6">
        <v>60</v>
      </c>
      <c r="M55" s="1" t="s">
        <v>29</v>
      </c>
    </row>
    <row r="56" spans="1:13">
      <c r="A56" s="1">
        <v>3000044</v>
      </c>
      <c r="B56" s="1">
        <v>3</v>
      </c>
      <c r="C56" s="1">
        <v>44</v>
      </c>
      <c r="D56" s="1">
        <v>3000043</v>
      </c>
      <c r="E56" s="1">
        <v>3000045</v>
      </c>
      <c r="F56" s="1" t="str">
        <f t="shared" si="1"/>
        <v>10000_1001_160</v>
      </c>
      <c r="G56" s="1" t="s">
        <v>154</v>
      </c>
      <c r="H56" s="1" t="s">
        <v>32</v>
      </c>
      <c r="J56" s="6">
        <v>160</v>
      </c>
      <c r="M56" s="1" t="s">
        <v>29</v>
      </c>
    </row>
    <row r="57" spans="1:13">
      <c r="A57" s="1">
        <v>3000045</v>
      </c>
      <c r="B57" s="1">
        <v>3</v>
      </c>
      <c r="C57" s="1">
        <v>45</v>
      </c>
      <c r="D57" s="1">
        <v>3000044</v>
      </c>
      <c r="E57" s="1">
        <v>3000046</v>
      </c>
      <c r="F57" s="1" t="str">
        <f t="shared" si="1"/>
        <v>10000_1001_60</v>
      </c>
      <c r="G57" s="1" t="s">
        <v>155</v>
      </c>
      <c r="H57" s="1" t="s">
        <v>32</v>
      </c>
      <c r="J57" s="6">
        <v>60</v>
      </c>
      <c r="M57" s="1" t="s">
        <v>29</v>
      </c>
    </row>
    <row r="58" spans="1:13">
      <c r="A58" s="1">
        <v>3000046</v>
      </c>
      <c r="B58" s="1">
        <v>3</v>
      </c>
      <c r="C58" s="1">
        <v>46</v>
      </c>
      <c r="D58" s="1">
        <v>3000045</v>
      </c>
      <c r="E58" s="1">
        <v>3000047</v>
      </c>
      <c r="F58" s="1" t="str">
        <f t="shared" si="1"/>
        <v>10000_1001_60</v>
      </c>
      <c r="G58" s="1" t="s">
        <v>156</v>
      </c>
      <c r="H58" s="1" t="s">
        <v>32</v>
      </c>
      <c r="J58" s="6">
        <v>60</v>
      </c>
      <c r="M58" s="1" t="s">
        <v>29</v>
      </c>
    </row>
    <row r="59" spans="1:13">
      <c r="A59" s="1">
        <v>3000047</v>
      </c>
      <c r="B59" s="1">
        <v>3</v>
      </c>
      <c r="C59" s="1">
        <v>47</v>
      </c>
      <c r="D59" s="1">
        <v>3000046</v>
      </c>
      <c r="E59" s="1">
        <v>3000048</v>
      </c>
      <c r="F59" s="1" t="str">
        <f t="shared" si="1"/>
        <v>10000_1001_160</v>
      </c>
      <c r="G59" s="1" t="s">
        <v>157</v>
      </c>
      <c r="H59" s="1" t="s">
        <v>32</v>
      </c>
      <c r="J59" s="6">
        <v>160</v>
      </c>
      <c r="M59" s="1" t="s">
        <v>29</v>
      </c>
    </row>
    <row r="60" spans="1:13">
      <c r="A60" s="1">
        <v>3000048</v>
      </c>
      <c r="B60" s="1">
        <v>3</v>
      </c>
      <c r="C60" s="1">
        <v>48</v>
      </c>
      <c r="D60" s="1">
        <v>3000047</v>
      </c>
      <c r="E60" s="1">
        <v>3000049</v>
      </c>
      <c r="F60" s="1" t="str">
        <f t="shared" si="1"/>
        <v>10000_1001_65</v>
      </c>
      <c r="G60" s="1" t="s">
        <v>158</v>
      </c>
      <c r="H60" s="1" t="s">
        <v>32</v>
      </c>
      <c r="J60" s="6">
        <v>65</v>
      </c>
      <c r="M60" s="1" t="s">
        <v>29</v>
      </c>
    </row>
    <row r="61" spans="1:13">
      <c r="A61" s="1">
        <v>3000049</v>
      </c>
      <c r="B61" s="1">
        <v>3</v>
      </c>
      <c r="C61" s="1">
        <v>49</v>
      </c>
      <c r="D61" s="1">
        <v>3000048</v>
      </c>
      <c r="E61" s="1">
        <v>3000050</v>
      </c>
      <c r="F61" s="1" t="str">
        <f t="shared" si="1"/>
        <v>10000_1001_65</v>
      </c>
      <c r="G61" s="1" t="s">
        <v>159</v>
      </c>
      <c r="H61" s="1" t="s">
        <v>32</v>
      </c>
      <c r="J61" s="6">
        <v>65</v>
      </c>
      <c r="M61" s="1" t="s">
        <v>29</v>
      </c>
    </row>
    <row r="62" spans="1:13">
      <c r="A62" s="1">
        <v>3000050</v>
      </c>
      <c r="B62" s="1">
        <v>3</v>
      </c>
      <c r="C62" s="1">
        <v>50</v>
      </c>
      <c r="D62" s="1">
        <v>3000049</v>
      </c>
      <c r="E62" s="1">
        <v>3000051</v>
      </c>
      <c r="F62" s="1" t="str">
        <f t="shared" si="1"/>
        <v>10000_1001_165</v>
      </c>
      <c r="G62" s="1" t="s">
        <v>160</v>
      </c>
      <c r="H62" s="1" t="s">
        <v>32</v>
      </c>
      <c r="J62" s="6">
        <v>165</v>
      </c>
      <c r="M62" s="1" t="s">
        <v>29</v>
      </c>
    </row>
    <row r="63" spans="1:13">
      <c r="A63" s="1">
        <v>3000051</v>
      </c>
      <c r="B63" s="1">
        <v>3</v>
      </c>
      <c r="C63" s="1">
        <v>51</v>
      </c>
      <c r="D63" s="1">
        <v>3000050</v>
      </c>
      <c r="E63" s="1">
        <v>3000052</v>
      </c>
      <c r="F63" s="1" t="str">
        <f t="shared" si="1"/>
        <v>10000_1001_65</v>
      </c>
      <c r="G63" s="1" t="s">
        <v>161</v>
      </c>
      <c r="H63" s="1" t="s">
        <v>32</v>
      </c>
      <c r="J63" s="6">
        <v>65</v>
      </c>
      <c r="M63" s="1" t="s">
        <v>29</v>
      </c>
    </row>
    <row r="64" spans="1:13">
      <c r="A64" s="1">
        <v>3000052</v>
      </c>
      <c r="B64" s="1">
        <v>3</v>
      </c>
      <c r="C64" s="1">
        <v>52</v>
      </c>
      <c r="D64" s="1">
        <v>3000051</v>
      </c>
      <c r="E64" s="1">
        <v>3000053</v>
      </c>
      <c r="F64" s="1" t="str">
        <f t="shared" si="1"/>
        <v>10000_1001_65</v>
      </c>
      <c r="G64" s="1" t="s">
        <v>162</v>
      </c>
      <c r="H64" s="1" t="s">
        <v>32</v>
      </c>
      <c r="J64" s="6">
        <v>65</v>
      </c>
      <c r="M64" s="1" t="s">
        <v>29</v>
      </c>
    </row>
    <row r="65" spans="1:13">
      <c r="A65" s="1">
        <v>3000053</v>
      </c>
      <c r="B65" s="1">
        <v>3</v>
      </c>
      <c r="C65" s="1">
        <v>53</v>
      </c>
      <c r="D65" s="1">
        <v>3000052</v>
      </c>
      <c r="E65" s="1">
        <v>3000054</v>
      </c>
      <c r="F65" s="1" t="str">
        <f t="shared" si="1"/>
        <v>10000_1001_165</v>
      </c>
      <c r="G65" s="1" t="s">
        <v>163</v>
      </c>
      <c r="H65" s="1" t="s">
        <v>32</v>
      </c>
      <c r="J65" s="6">
        <v>165</v>
      </c>
      <c r="M65" s="1" t="s">
        <v>29</v>
      </c>
    </row>
    <row r="66" spans="1:13">
      <c r="A66" s="1">
        <v>3000054</v>
      </c>
      <c r="B66" s="1">
        <v>3</v>
      </c>
      <c r="C66" s="1">
        <v>54</v>
      </c>
      <c r="D66" s="1">
        <v>3000053</v>
      </c>
      <c r="E66" s="1">
        <v>3000055</v>
      </c>
      <c r="F66" s="1" t="str">
        <f t="shared" ref="F66:F72" si="2">"10000_1001_"&amp;J66</f>
        <v>10000_1001_70</v>
      </c>
      <c r="G66" s="1" t="s">
        <v>164</v>
      </c>
      <c r="H66" s="1" t="s">
        <v>32</v>
      </c>
      <c r="J66" s="6">
        <v>70</v>
      </c>
      <c r="M66" s="1" t="s">
        <v>29</v>
      </c>
    </row>
    <row r="67" spans="1:13">
      <c r="A67" s="1">
        <v>3000055</v>
      </c>
      <c r="B67" s="1">
        <v>3</v>
      </c>
      <c r="C67" s="1">
        <v>55</v>
      </c>
      <c r="D67" s="1">
        <v>3000054</v>
      </c>
      <c r="E67" s="1">
        <v>3000056</v>
      </c>
      <c r="F67" s="1" t="str">
        <f t="shared" si="2"/>
        <v>10000_1001_70</v>
      </c>
      <c r="G67" s="1" t="s">
        <v>165</v>
      </c>
      <c r="H67" s="1" t="s">
        <v>32</v>
      </c>
      <c r="J67" s="6">
        <v>70</v>
      </c>
      <c r="M67" s="1" t="s">
        <v>29</v>
      </c>
    </row>
    <row r="68" spans="1:13">
      <c r="A68" s="1">
        <v>3000056</v>
      </c>
      <c r="B68" s="1">
        <v>3</v>
      </c>
      <c r="C68" s="1">
        <v>56</v>
      </c>
      <c r="D68" s="1">
        <v>3000055</v>
      </c>
      <c r="E68" s="1">
        <v>3000057</v>
      </c>
      <c r="F68" s="1" t="str">
        <f t="shared" si="2"/>
        <v>10000_1001_170</v>
      </c>
      <c r="G68" s="1" t="s">
        <v>166</v>
      </c>
      <c r="H68" s="1" t="s">
        <v>32</v>
      </c>
      <c r="J68" s="6">
        <v>170</v>
      </c>
      <c r="M68" s="1" t="s">
        <v>29</v>
      </c>
    </row>
    <row r="69" spans="1:13">
      <c r="A69" s="1">
        <v>3000057</v>
      </c>
      <c r="B69" s="1">
        <v>3</v>
      </c>
      <c r="C69" s="1">
        <v>57</v>
      </c>
      <c r="D69" s="1">
        <v>3000056</v>
      </c>
      <c r="E69" s="1">
        <v>3000058</v>
      </c>
      <c r="F69" s="1" t="str">
        <f t="shared" si="2"/>
        <v>10000_1001_70</v>
      </c>
      <c r="G69" s="1" t="s">
        <v>167</v>
      </c>
      <c r="H69" s="1" t="s">
        <v>32</v>
      </c>
      <c r="J69" s="6">
        <v>70</v>
      </c>
      <c r="M69" s="1" t="s">
        <v>29</v>
      </c>
    </row>
    <row r="70" spans="1:13">
      <c r="A70" s="1">
        <v>3000058</v>
      </c>
      <c r="B70" s="1">
        <v>3</v>
      </c>
      <c r="C70" s="1">
        <v>58</v>
      </c>
      <c r="D70" s="1">
        <v>3000057</v>
      </c>
      <c r="E70" s="1">
        <v>3000059</v>
      </c>
      <c r="F70" s="1" t="str">
        <f t="shared" si="2"/>
        <v>10000_1001_70</v>
      </c>
      <c r="G70" s="1" t="s">
        <v>168</v>
      </c>
      <c r="H70" s="1" t="s">
        <v>32</v>
      </c>
      <c r="J70" s="6">
        <v>70</v>
      </c>
      <c r="M70" s="1" t="s">
        <v>29</v>
      </c>
    </row>
    <row r="71" spans="1:13">
      <c r="A71" s="1">
        <v>3000059</v>
      </c>
      <c r="B71" s="1">
        <v>3</v>
      </c>
      <c r="C71" s="1">
        <v>59</v>
      </c>
      <c r="D71" s="1">
        <v>3000058</v>
      </c>
      <c r="E71" s="1">
        <v>3000060</v>
      </c>
      <c r="F71" s="1" t="str">
        <f t="shared" si="2"/>
        <v>10000_1001_170</v>
      </c>
      <c r="G71" s="1" t="s">
        <v>169</v>
      </c>
      <c r="H71" s="1" t="s">
        <v>32</v>
      </c>
      <c r="J71" s="6">
        <v>170</v>
      </c>
      <c r="M71" s="1" t="s">
        <v>29</v>
      </c>
    </row>
    <row r="72" spans="1:13">
      <c r="A72" s="1">
        <v>3000060</v>
      </c>
      <c r="B72" s="1">
        <v>3</v>
      </c>
      <c r="C72" s="1">
        <v>60</v>
      </c>
      <c r="D72" s="1">
        <v>3000059</v>
      </c>
      <c r="E72" s="1">
        <v>-1</v>
      </c>
      <c r="F72" s="1" t="str">
        <f t="shared" si="2"/>
        <v>10000_1001_75</v>
      </c>
      <c r="G72" s="1" t="s">
        <v>170</v>
      </c>
      <c r="H72" s="1" t="s">
        <v>32</v>
      </c>
      <c r="J72" s="6">
        <v>75</v>
      </c>
      <c r="M72" s="1" t="s">
        <v>29</v>
      </c>
    </row>
    <row r="73" spans="1:13">
      <c r="A73" s="1">
        <v>4000001</v>
      </c>
      <c r="B73" s="1">
        <v>4</v>
      </c>
      <c r="C73" s="1">
        <v>1</v>
      </c>
      <c r="D73" s="1">
        <v>0</v>
      </c>
      <c r="E73" s="1">
        <v>4000002</v>
      </c>
      <c r="F73" s="1" t="str">
        <f>"10000_1002_"&amp;K73</f>
        <v>10000_1002_1000</v>
      </c>
      <c r="G73" s="1" t="s">
        <v>54</v>
      </c>
      <c r="H73" s="1" t="s">
        <v>32</v>
      </c>
      <c r="J73" s="8">
        <v>0</v>
      </c>
      <c r="K73" s="9">
        <v>1000</v>
      </c>
      <c r="M73" s="1" t="s">
        <v>7</v>
      </c>
    </row>
    <row r="74" spans="1:13">
      <c r="A74" s="1">
        <v>4000002</v>
      </c>
      <c r="B74" s="1">
        <v>4</v>
      </c>
      <c r="C74" s="1">
        <v>2</v>
      </c>
      <c r="D74" s="1">
        <v>4000001</v>
      </c>
      <c r="E74" s="1">
        <v>4000003</v>
      </c>
      <c r="F74" s="1" t="str">
        <f>"10000_1001_"&amp;J74</f>
        <v>10000_1001_10</v>
      </c>
      <c r="G74" s="1" t="s">
        <v>55</v>
      </c>
      <c r="H74" s="1" t="s">
        <v>32</v>
      </c>
      <c r="J74" s="9">
        <v>10</v>
      </c>
      <c r="K74" s="8">
        <v>0</v>
      </c>
      <c r="M74" s="1" t="s">
        <v>7</v>
      </c>
    </row>
    <row r="75" spans="1:13">
      <c r="A75" s="1">
        <v>4000003</v>
      </c>
      <c r="B75" s="1">
        <v>4</v>
      </c>
      <c r="C75" s="1">
        <v>3</v>
      </c>
      <c r="D75" s="1">
        <v>4000002</v>
      </c>
      <c r="E75" s="1">
        <v>4000004</v>
      </c>
      <c r="F75" s="1" t="str">
        <f>"10000_1002_"&amp;K75</f>
        <v>10000_1002_5000</v>
      </c>
      <c r="G75" s="1" t="s">
        <v>56</v>
      </c>
      <c r="H75" s="1" t="s">
        <v>32</v>
      </c>
      <c r="J75" s="8">
        <v>0</v>
      </c>
      <c r="K75" s="8">
        <v>5000</v>
      </c>
      <c r="M75" s="1" t="s">
        <v>7</v>
      </c>
    </row>
    <row r="76" spans="1:13">
      <c r="A76" s="1">
        <v>4000004</v>
      </c>
      <c r="B76" s="1">
        <v>4</v>
      </c>
      <c r="C76" s="1">
        <v>4</v>
      </c>
      <c r="D76" s="1">
        <v>4000003</v>
      </c>
      <c r="E76" s="1">
        <v>4000005</v>
      </c>
      <c r="F76" s="1" t="str">
        <f t="shared" ref="F76:F104" si="3">"10000_1001_"&amp;J76&amp;",10000_1002_"&amp;K76</f>
        <v>10000_1001_15,10000_1002_10000</v>
      </c>
      <c r="G76" s="1" t="s">
        <v>57</v>
      </c>
      <c r="H76" s="1" t="s">
        <v>32</v>
      </c>
      <c r="J76" s="8">
        <v>15</v>
      </c>
      <c r="K76" s="8">
        <v>10000</v>
      </c>
      <c r="M76" s="1" t="s">
        <v>7</v>
      </c>
    </row>
    <row r="77" spans="1:13">
      <c r="A77" s="1">
        <v>4000005</v>
      </c>
      <c r="B77" s="1">
        <v>4</v>
      </c>
      <c r="C77" s="1">
        <v>5</v>
      </c>
      <c r="D77" s="1">
        <v>4000004</v>
      </c>
      <c r="E77" s="1">
        <v>4000006</v>
      </c>
      <c r="F77" s="1" t="str">
        <f t="shared" si="3"/>
        <v>10000_1001_20,10000_1002_30000</v>
      </c>
      <c r="G77" s="1" t="s">
        <v>58</v>
      </c>
      <c r="H77" s="1" t="s">
        <v>32</v>
      </c>
      <c r="J77" s="8">
        <v>20</v>
      </c>
      <c r="K77" s="8">
        <v>30000</v>
      </c>
      <c r="M77" s="1" t="s">
        <v>7</v>
      </c>
    </row>
    <row r="78" spans="1:13">
      <c r="A78" s="1">
        <v>4000006</v>
      </c>
      <c r="B78" s="1">
        <v>4</v>
      </c>
      <c r="C78" s="1">
        <v>6</v>
      </c>
      <c r="D78" s="1">
        <v>4000005</v>
      </c>
      <c r="E78" s="1">
        <v>4000007</v>
      </c>
      <c r="F78" s="1" t="str">
        <f>"10000_1002_"&amp;K78</f>
        <v>10000_1002_42000</v>
      </c>
      <c r="G78" s="1" t="s">
        <v>59</v>
      </c>
      <c r="H78" s="1" t="s">
        <v>32</v>
      </c>
      <c r="J78" s="8">
        <v>0</v>
      </c>
      <c r="K78" s="9">
        <v>42000</v>
      </c>
      <c r="M78" s="1" t="s">
        <v>7</v>
      </c>
    </row>
    <row r="79" spans="1:13">
      <c r="A79" s="1">
        <v>4000007</v>
      </c>
      <c r="B79" s="1">
        <v>4</v>
      </c>
      <c r="C79" s="1">
        <v>7</v>
      </c>
      <c r="D79" s="1">
        <v>4000006</v>
      </c>
      <c r="E79" s="1">
        <v>4000008</v>
      </c>
      <c r="F79" s="1" t="str">
        <f t="shared" si="3"/>
        <v>10000_1001_20,10000_1002_42000</v>
      </c>
      <c r="G79" s="1" t="s">
        <v>60</v>
      </c>
      <c r="H79" s="1" t="s">
        <v>32</v>
      </c>
      <c r="J79" s="9">
        <v>20</v>
      </c>
      <c r="K79" s="9">
        <v>42000</v>
      </c>
      <c r="M79" s="1" t="s">
        <v>7</v>
      </c>
    </row>
    <row r="80" spans="1:13">
      <c r="A80" s="1">
        <v>4000008</v>
      </c>
      <c r="B80" s="1">
        <v>4</v>
      </c>
      <c r="C80" s="1">
        <v>8</v>
      </c>
      <c r="D80" s="1">
        <v>4000007</v>
      </c>
      <c r="E80" s="1">
        <v>4000009</v>
      </c>
      <c r="F80" s="1" t="str">
        <f t="shared" si="3"/>
        <v>10000_1001_20,10000_1002_45000</v>
      </c>
      <c r="G80" s="1" t="s">
        <v>61</v>
      </c>
      <c r="H80" s="1" t="s">
        <v>32</v>
      </c>
      <c r="J80" s="8">
        <v>20</v>
      </c>
      <c r="K80" s="8">
        <v>45000</v>
      </c>
      <c r="M80" s="1" t="s">
        <v>7</v>
      </c>
    </row>
    <row r="81" spans="1:13">
      <c r="A81" s="1">
        <v>4000009</v>
      </c>
      <c r="B81" s="1">
        <v>4</v>
      </c>
      <c r="C81" s="1">
        <v>9</v>
      </c>
      <c r="D81" s="1">
        <v>4000008</v>
      </c>
      <c r="E81" s="1">
        <v>4000010</v>
      </c>
      <c r="F81" s="1" t="str">
        <f t="shared" si="3"/>
        <v>10000_1001_20,10000_1002_50000</v>
      </c>
      <c r="G81" s="1" t="s">
        <v>62</v>
      </c>
      <c r="H81" s="1" t="s">
        <v>32</v>
      </c>
      <c r="J81" s="8">
        <v>20</v>
      </c>
      <c r="K81" s="8">
        <v>50000</v>
      </c>
      <c r="M81" s="1" t="s">
        <v>7</v>
      </c>
    </row>
    <row r="82" spans="1:13">
      <c r="A82" s="1">
        <v>4000010</v>
      </c>
      <c r="B82" s="1">
        <v>4</v>
      </c>
      <c r="C82" s="1">
        <v>10</v>
      </c>
      <c r="D82" s="1">
        <v>4000009</v>
      </c>
      <c r="E82" s="1">
        <v>4000011</v>
      </c>
      <c r="F82" s="1" t="str">
        <f t="shared" si="3"/>
        <v>10000_1001_20,10000_1002_60000</v>
      </c>
      <c r="G82" s="1" t="s">
        <v>63</v>
      </c>
      <c r="H82" s="1" t="s">
        <v>32</v>
      </c>
      <c r="J82" s="8">
        <v>20</v>
      </c>
      <c r="K82" s="8">
        <v>60000</v>
      </c>
      <c r="M82" s="1" t="s">
        <v>7</v>
      </c>
    </row>
    <row r="83" spans="1:13">
      <c r="A83" s="1">
        <v>4000011</v>
      </c>
      <c r="B83" s="1">
        <v>4</v>
      </c>
      <c r="C83" s="1">
        <v>11</v>
      </c>
      <c r="D83" s="1">
        <v>4000010</v>
      </c>
      <c r="E83" s="1">
        <v>4000012</v>
      </c>
      <c r="F83" s="1" t="str">
        <f t="shared" si="3"/>
        <v>10000_1001_20,10000_1002_62000</v>
      </c>
      <c r="G83" s="1" t="s">
        <v>64</v>
      </c>
      <c r="H83" s="1" t="s">
        <v>32</v>
      </c>
      <c r="J83" s="8">
        <v>20</v>
      </c>
      <c r="K83" s="8">
        <v>62000</v>
      </c>
      <c r="M83" s="1" t="s">
        <v>7</v>
      </c>
    </row>
    <row r="84" spans="1:13">
      <c r="A84" s="1">
        <v>4000012</v>
      </c>
      <c r="B84" s="1">
        <v>4</v>
      </c>
      <c r="C84" s="1">
        <v>12</v>
      </c>
      <c r="D84" s="1">
        <v>4000011</v>
      </c>
      <c r="E84" s="1">
        <v>4000013</v>
      </c>
      <c r="F84" s="1" t="str">
        <f t="shared" si="3"/>
        <v>10000_1001_20,10000_1002_66000</v>
      </c>
      <c r="G84" s="1" t="s">
        <v>65</v>
      </c>
      <c r="H84" s="1" t="s">
        <v>32</v>
      </c>
      <c r="J84" s="8">
        <v>20</v>
      </c>
      <c r="K84" s="8">
        <v>66000</v>
      </c>
      <c r="M84" s="1" t="s">
        <v>7</v>
      </c>
    </row>
    <row r="85" spans="1:13">
      <c r="A85" s="1">
        <v>4000013</v>
      </c>
      <c r="B85" s="1">
        <v>4</v>
      </c>
      <c r="C85" s="1">
        <v>13</v>
      </c>
      <c r="D85" s="1">
        <v>4000012</v>
      </c>
      <c r="E85" s="1">
        <v>4000014</v>
      </c>
      <c r="F85" s="1" t="str">
        <f t="shared" si="3"/>
        <v>10000_1001_20,10000_1002_68000</v>
      </c>
      <c r="G85" s="1" t="s">
        <v>66</v>
      </c>
      <c r="H85" s="1" t="s">
        <v>32</v>
      </c>
      <c r="J85" s="8">
        <v>20</v>
      </c>
      <c r="K85" s="8">
        <v>68000</v>
      </c>
      <c r="M85" s="1" t="s">
        <v>7</v>
      </c>
    </row>
    <row r="86" spans="1:13">
      <c r="A86" s="1">
        <v>4000014</v>
      </c>
      <c r="B86" s="1">
        <v>4</v>
      </c>
      <c r="C86" s="1">
        <v>14</v>
      </c>
      <c r="D86" s="1">
        <v>4000013</v>
      </c>
      <c r="E86" s="1">
        <v>4000015</v>
      </c>
      <c r="F86" s="1" t="str">
        <f t="shared" si="3"/>
        <v>10000_1001_20,10000_1002_70000</v>
      </c>
      <c r="G86" s="1" t="s">
        <v>67</v>
      </c>
      <c r="H86" s="1" t="s">
        <v>32</v>
      </c>
      <c r="J86" s="8">
        <v>20</v>
      </c>
      <c r="K86" s="8">
        <v>70000</v>
      </c>
      <c r="M86" s="1" t="s">
        <v>7</v>
      </c>
    </row>
    <row r="87" spans="1:13">
      <c r="A87" s="1">
        <v>4000015</v>
      </c>
      <c r="B87" s="1">
        <v>4</v>
      </c>
      <c r="C87" s="1">
        <v>15</v>
      </c>
      <c r="D87" s="1">
        <v>4000014</v>
      </c>
      <c r="E87" s="1">
        <v>4000016</v>
      </c>
      <c r="F87" s="1" t="str">
        <f t="shared" si="3"/>
        <v>10000_1001_20,10000_1002_70000</v>
      </c>
      <c r="G87" s="1" t="s">
        <v>171</v>
      </c>
      <c r="H87" s="1" t="s">
        <v>32</v>
      </c>
      <c r="J87" s="8">
        <v>20</v>
      </c>
      <c r="K87" s="8">
        <v>70000</v>
      </c>
      <c r="M87" s="1" t="s">
        <v>7</v>
      </c>
    </row>
    <row r="88" spans="1:13">
      <c r="A88" s="1">
        <v>4000016</v>
      </c>
      <c r="B88" s="1">
        <v>4</v>
      </c>
      <c r="C88" s="1">
        <v>16</v>
      </c>
      <c r="D88" s="1">
        <v>4000015</v>
      </c>
      <c r="E88" s="1">
        <v>4000017</v>
      </c>
      <c r="F88" s="1" t="str">
        <f t="shared" si="3"/>
        <v>10000_1001_20,10000_1002_72000</v>
      </c>
      <c r="G88" s="1" t="s">
        <v>172</v>
      </c>
      <c r="H88" s="1" t="s">
        <v>32</v>
      </c>
      <c r="J88" s="9">
        <v>20</v>
      </c>
      <c r="K88" s="9">
        <v>72000</v>
      </c>
      <c r="M88" s="1" t="s">
        <v>7</v>
      </c>
    </row>
    <row r="89" spans="1:13">
      <c r="A89" s="1">
        <v>4000017</v>
      </c>
      <c r="B89" s="1">
        <v>4</v>
      </c>
      <c r="C89" s="1">
        <v>17</v>
      </c>
      <c r="D89" s="1">
        <v>4000016</v>
      </c>
      <c r="E89" s="1">
        <v>4000018</v>
      </c>
      <c r="F89" s="1" t="str">
        <f t="shared" si="3"/>
        <v>10000_1001_20,10000_1002_72000</v>
      </c>
      <c r="G89" s="1" t="s">
        <v>173</v>
      </c>
      <c r="H89" s="1" t="s">
        <v>32</v>
      </c>
      <c r="J89" s="9">
        <v>20</v>
      </c>
      <c r="K89" s="9">
        <v>72000</v>
      </c>
      <c r="M89" s="1" t="s">
        <v>7</v>
      </c>
    </row>
    <row r="90" spans="1:13">
      <c r="A90" s="1">
        <v>4000018</v>
      </c>
      <c r="B90" s="1">
        <v>4</v>
      </c>
      <c r="C90" s="1">
        <v>18</v>
      </c>
      <c r="D90" s="1">
        <v>4000017</v>
      </c>
      <c r="E90" s="1">
        <v>4000019</v>
      </c>
      <c r="F90" s="1" t="str">
        <f t="shared" si="3"/>
        <v>10000_1001_20,10000_1002_74000</v>
      </c>
      <c r="G90" s="1" t="s">
        <v>174</v>
      </c>
      <c r="H90" s="1" t="s">
        <v>32</v>
      </c>
      <c r="J90" s="9">
        <v>20</v>
      </c>
      <c r="K90" s="9">
        <v>74000</v>
      </c>
      <c r="M90" s="1" t="s">
        <v>7</v>
      </c>
    </row>
    <row r="91" spans="1:13">
      <c r="A91" s="1">
        <v>4000019</v>
      </c>
      <c r="B91" s="1">
        <v>4</v>
      </c>
      <c r="C91" s="1">
        <v>19</v>
      </c>
      <c r="D91" s="1">
        <v>4000018</v>
      </c>
      <c r="E91" s="1">
        <v>4000020</v>
      </c>
      <c r="F91" s="1" t="str">
        <f t="shared" si="3"/>
        <v>10000_1001_20,10000_1002_76000</v>
      </c>
      <c r="G91" s="1" t="s">
        <v>175</v>
      </c>
      <c r="H91" s="1" t="s">
        <v>32</v>
      </c>
      <c r="J91" s="9">
        <v>20</v>
      </c>
      <c r="K91" s="9">
        <v>76000</v>
      </c>
      <c r="M91" s="1" t="s">
        <v>7</v>
      </c>
    </row>
    <row r="92" spans="1:13">
      <c r="A92" s="1">
        <v>4000020</v>
      </c>
      <c r="B92" s="1">
        <v>4</v>
      </c>
      <c r="C92" s="1">
        <v>20</v>
      </c>
      <c r="D92" s="1">
        <v>4000019</v>
      </c>
      <c r="E92" s="1">
        <v>4000021</v>
      </c>
      <c r="F92" s="1" t="str">
        <f t="shared" si="3"/>
        <v>10000_1001_20,10000_1002_88000</v>
      </c>
      <c r="G92" s="1" t="s">
        <v>176</v>
      </c>
      <c r="H92" s="1" t="s">
        <v>32</v>
      </c>
      <c r="J92" s="9">
        <v>20</v>
      </c>
      <c r="K92" s="9">
        <v>88000</v>
      </c>
      <c r="M92" s="1" t="s">
        <v>7</v>
      </c>
    </row>
    <row r="93" spans="1:13">
      <c r="A93" s="1">
        <v>4000021</v>
      </c>
      <c r="B93" s="1">
        <v>4</v>
      </c>
      <c r="C93" s="1">
        <v>21</v>
      </c>
      <c r="D93" s="1">
        <v>4000020</v>
      </c>
      <c r="E93" s="1">
        <v>4000022</v>
      </c>
      <c r="F93" s="1" t="str">
        <f t="shared" si="3"/>
        <v>10000_1001_20,10000_1002_88000</v>
      </c>
      <c r="G93" s="1" t="s">
        <v>177</v>
      </c>
      <c r="H93" s="1" t="s">
        <v>32</v>
      </c>
      <c r="J93" s="8">
        <v>20</v>
      </c>
      <c r="K93" s="8">
        <v>88000</v>
      </c>
      <c r="M93" s="1" t="s">
        <v>7</v>
      </c>
    </row>
    <row r="94" spans="1:13">
      <c r="A94" s="1">
        <v>4000022</v>
      </c>
      <c r="B94" s="1">
        <v>4</v>
      </c>
      <c r="C94" s="1">
        <v>22</v>
      </c>
      <c r="D94" s="1">
        <v>4000021</v>
      </c>
      <c r="E94" s="1">
        <v>4000023</v>
      </c>
      <c r="F94" s="1" t="str">
        <f t="shared" si="3"/>
        <v>10000_1001_20,10000_1002_90000</v>
      </c>
      <c r="G94" s="1" t="s">
        <v>178</v>
      </c>
      <c r="H94" s="1" t="s">
        <v>32</v>
      </c>
      <c r="J94" s="8">
        <v>20</v>
      </c>
      <c r="K94" s="8">
        <v>90000</v>
      </c>
      <c r="M94" s="1" t="s">
        <v>7</v>
      </c>
    </row>
    <row r="95" spans="1:13">
      <c r="A95" s="1">
        <v>4000023</v>
      </c>
      <c r="B95" s="1">
        <v>4</v>
      </c>
      <c r="C95" s="1">
        <v>23</v>
      </c>
      <c r="D95" s="1">
        <v>4000022</v>
      </c>
      <c r="E95" s="1">
        <v>4000024</v>
      </c>
      <c r="F95" s="1" t="str">
        <f t="shared" si="3"/>
        <v>10000_1001_20,10000_1002_92000</v>
      </c>
      <c r="G95" s="1" t="s">
        <v>179</v>
      </c>
      <c r="H95" s="1" t="s">
        <v>32</v>
      </c>
      <c r="J95" s="8">
        <v>20</v>
      </c>
      <c r="K95" s="8">
        <v>92000</v>
      </c>
      <c r="M95" s="1" t="s">
        <v>7</v>
      </c>
    </row>
    <row r="96" spans="1:13">
      <c r="A96" s="1">
        <v>4000024</v>
      </c>
      <c r="B96" s="1">
        <v>4</v>
      </c>
      <c r="C96" s="1">
        <v>24</v>
      </c>
      <c r="D96" s="1">
        <v>4000023</v>
      </c>
      <c r="E96" s="1">
        <v>4000025</v>
      </c>
      <c r="F96" s="1" t="str">
        <f t="shared" si="3"/>
        <v>10000_1001_20,10000_1002_94000</v>
      </c>
      <c r="G96" s="1" t="s">
        <v>180</v>
      </c>
      <c r="H96" s="1" t="s">
        <v>32</v>
      </c>
      <c r="J96" s="8">
        <v>20</v>
      </c>
      <c r="K96" s="8">
        <v>94000</v>
      </c>
      <c r="M96" s="1" t="s">
        <v>7</v>
      </c>
    </row>
    <row r="97" spans="1:13">
      <c r="A97" s="1">
        <v>4000025</v>
      </c>
      <c r="B97" s="1">
        <v>4</v>
      </c>
      <c r="C97" s="1">
        <v>25</v>
      </c>
      <c r="D97" s="1">
        <v>4000024</v>
      </c>
      <c r="E97" s="1">
        <v>4000026</v>
      </c>
      <c r="F97" s="1" t="str">
        <f t="shared" si="3"/>
        <v>10000_1001_20,10000_1002_100000</v>
      </c>
      <c r="G97" s="1" t="s">
        <v>181</v>
      </c>
      <c r="H97" s="1" t="s">
        <v>32</v>
      </c>
      <c r="J97" s="8">
        <v>20</v>
      </c>
      <c r="K97" s="8">
        <v>100000</v>
      </c>
      <c r="M97" s="1" t="s">
        <v>7</v>
      </c>
    </row>
    <row r="98" spans="1:13">
      <c r="A98" s="1">
        <v>4000026</v>
      </c>
      <c r="B98" s="1">
        <v>4</v>
      </c>
      <c r="C98" s="1">
        <v>26</v>
      </c>
      <c r="D98" s="1">
        <v>4000025</v>
      </c>
      <c r="E98" s="1">
        <v>4000027</v>
      </c>
      <c r="F98" s="1" t="str">
        <f t="shared" si="3"/>
        <v>10000_1001_20,10000_1002_128000</v>
      </c>
      <c r="G98" s="1" t="s">
        <v>182</v>
      </c>
      <c r="H98" s="1" t="s">
        <v>32</v>
      </c>
      <c r="J98" s="9">
        <v>20</v>
      </c>
      <c r="K98" s="9">
        <v>128000</v>
      </c>
      <c r="M98" s="1" t="s">
        <v>7</v>
      </c>
    </row>
    <row r="99" spans="1:13">
      <c r="A99" s="1">
        <v>4000027</v>
      </c>
      <c r="B99" s="1">
        <v>4</v>
      </c>
      <c r="C99" s="1">
        <v>27</v>
      </c>
      <c r="D99" s="1">
        <v>4000026</v>
      </c>
      <c r="E99" s="1">
        <v>4000028</v>
      </c>
      <c r="F99" s="1" t="str">
        <f t="shared" si="3"/>
        <v>10000_1001_20,10000_1002_128000</v>
      </c>
      <c r="G99" s="1" t="s">
        <v>183</v>
      </c>
      <c r="H99" s="1" t="s">
        <v>32</v>
      </c>
      <c r="J99" s="8">
        <v>20</v>
      </c>
      <c r="K99" s="8">
        <v>128000</v>
      </c>
      <c r="M99" s="1" t="s">
        <v>7</v>
      </c>
    </row>
    <row r="100" spans="1:13">
      <c r="A100" s="1">
        <v>4000028</v>
      </c>
      <c r="B100" s="1">
        <v>4</v>
      </c>
      <c r="C100" s="1">
        <v>28</v>
      </c>
      <c r="D100" s="1">
        <v>4000027</v>
      </c>
      <c r="E100" s="1">
        <v>4000029</v>
      </c>
      <c r="F100" s="1" t="str">
        <f t="shared" si="3"/>
        <v>10000_1001_20,10000_1002_120000</v>
      </c>
      <c r="G100" s="1" t="s">
        <v>184</v>
      </c>
      <c r="H100" s="1" t="s">
        <v>32</v>
      </c>
      <c r="J100" s="8">
        <v>20</v>
      </c>
      <c r="K100" s="8">
        <v>120000</v>
      </c>
      <c r="M100" s="1" t="s">
        <v>7</v>
      </c>
    </row>
    <row r="101" spans="1:13">
      <c r="A101" s="1">
        <v>4000029</v>
      </c>
      <c r="B101" s="1">
        <v>4</v>
      </c>
      <c r="C101" s="1">
        <v>29</v>
      </c>
      <c r="D101" s="1">
        <v>4000028</v>
      </c>
      <c r="E101" s="1">
        <v>4000030</v>
      </c>
      <c r="F101" s="1" t="str">
        <f t="shared" si="3"/>
        <v>10000_1001_20,10000_1002_116000</v>
      </c>
      <c r="G101" s="1" t="s">
        <v>185</v>
      </c>
      <c r="H101" s="1" t="s">
        <v>32</v>
      </c>
      <c r="J101" s="9">
        <v>20</v>
      </c>
      <c r="K101" s="9">
        <v>116000</v>
      </c>
      <c r="M101" s="1" t="s">
        <v>7</v>
      </c>
    </row>
    <row r="102" spans="1:13">
      <c r="A102" s="1">
        <v>4000030</v>
      </c>
      <c r="B102" s="1">
        <v>4</v>
      </c>
      <c r="C102" s="1">
        <v>30</v>
      </c>
      <c r="D102" s="1">
        <v>4000029</v>
      </c>
      <c r="E102" s="1">
        <v>4000031</v>
      </c>
      <c r="F102" s="1" t="str">
        <f t="shared" si="3"/>
        <v>10000_1001_20,10000_1002_110000</v>
      </c>
      <c r="G102" s="1" t="s">
        <v>186</v>
      </c>
      <c r="H102" s="1" t="s">
        <v>32</v>
      </c>
      <c r="J102" s="8">
        <v>20</v>
      </c>
      <c r="K102" s="8">
        <v>110000</v>
      </c>
      <c r="M102" s="1" t="s">
        <v>7</v>
      </c>
    </row>
    <row r="103" spans="1:13">
      <c r="A103" s="1">
        <v>4000031</v>
      </c>
      <c r="B103" s="1">
        <v>4</v>
      </c>
      <c r="C103" s="1">
        <v>31</v>
      </c>
      <c r="D103" s="1">
        <v>4000030</v>
      </c>
      <c r="E103" s="1">
        <v>4000032</v>
      </c>
      <c r="F103" s="1" t="str">
        <f t="shared" si="3"/>
        <v>10000_1001_20,10000_1002_110000</v>
      </c>
      <c r="G103" s="1" t="s">
        <v>187</v>
      </c>
      <c r="H103" s="1" t="s">
        <v>32</v>
      </c>
      <c r="J103" s="8">
        <v>20</v>
      </c>
      <c r="K103" s="8">
        <v>110000</v>
      </c>
      <c r="M103" s="1" t="s">
        <v>7</v>
      </c>
    </row>
    <row r="104" spans="1:13">
      <c r="A104" s="1">
        <v>4000032</v>
      </c>
      <c r="B104" s="1">
        <v>4</v>
      </c>
      <c r="C104" s="1">
        <v>32</v>
      </c>
      <c r="D104" s="1">
        <v>4000031</v>
      </c>
      <c r="E104" s="1">
        <v>4000033</v>
      </c>
      <c r="F104" s="1" t="str">
        <f t="shared" si="3"/>
        <v>10000_1001_20,10000_1002_110000</v>
      </c>
      <c r="G104" s="1" t="s">
        <v>188</v>
      </c>
      <c r="H104" s="1" t="s">
        <v>32</v>
      </c>
      <c r="J104" s="8">
        <v>20</v>
      </c>
      <c r="K104" s="8">
        <v>110000</v>
      </c>
      <c r="M104" s="1" t="s">
        <v>7</v>
      </c>
    </row>
    <row r="105" spans="1:13">
      <c r="A105" s="1">
        <v>4000033</v>
      </c>
      <c r="B105" s="1">
        <v>4</v>
      </c>
      <c r="C105" s="1">
        <v>33</v>
      </c>
      <c r="D105" s="1">
        <v>4000032</v>
      </c>
      <c r="E105" s="1">
        <v>4000034</v>
      </c>
      <c r="F105" s="1" t="str">
        <f t="shared" ref="F105:F132" si="4">"10000_1001_"&amp;J105&amp;",10000_1002_"&amp;K105</f>
        <v>10000_1001_20,10000_1002_110000</v>
      </c>
      <c r="G105" s="1" t="s">
        <v>189</v>
      </c>
      <c r="H105" s="1" t="s">
        <v>32</v>
      </c>
      <c r="J105" s="8">
        <v>20</v>
      </c>
      <c r="K105" s="8">
        <v>110000</v>
      </c>
      <c r="M105" s="1" t="s">
        <v>7</v>
      </c>
    </row>
    <row r="106" spans="1:13">
      <c r="A106" s="1">
        <v>4000034</v>
      </c>
      <c r="B106" s="1">
        <v>4</v>
      </c>
      <c r="C106" s="1">
        <v>34</v>
      </c>
      <c r="D106" s="1">
        <v>4000033</v>
      </c>
      <c r="E106" s="1">
        <v>4000035</v>
      </c>
      <c r="F106" s="1" t="str">
        <f t="shared" si="4"/>
        <v>10000_1001_20,10000_1002_110000</v>
      </c>
      <c r="G106" s="1" t="s">
        <v>190</v>
      </c>
      <c r="H106" s="1" t="s">
        <v>32</v>
      </c>
      <c r="J106" s="8">
        <v>20</v>
      </c>
      <c r="K106" s="8">
        <v>110000</v>
      </c>
      <c r="M106" s="1" t="s">
        <v>7</v>
      </c>
    </row>
    <row r="107" spans="1:13">
      <c r="A107" s="1">
        <v>4000035</v>
      </c>
      <c r="B107" s="1">
        <v>4</v>
      </c>
      <c r="C107" s="1">
        <v>35</v>
      </c>
      <c r="D107" s="1">
        <v>4000034</v>
      </c>
      <c r="E107" s="1">
        <v>4000036</v>
      </c>
      <c r="F107" s="1" t="str">
        <f t="shared" si="4"/>
        <v>10000_1001_20,10000_1002_110000</v>
      </c>
      <c r="G107" s="1" t="s">
        <v>191</v>
      </c>
      <c r="H107" s="1" t="s">
        <v>32</v>
      </c>
      <c r="J107" s="8">
        <v>20</v>
      </c>
      <c r="K107" s="8">
        <v>110000</v>
      </c>
      <c r="M107" s="1" t="s">
        <v>7</v>
      </c>
    </row>
    <row r="108" spans="1:13">
      <c r="A108" s="1">
        <v>4000036</v>
      </c>
      <c r="B108" s="1">
        <v>4</v>
      </c>
      <c r="C108" s="1">
        <v>36</v>
      </c>
      <c r="D108" s="1">
        <v>4000035</v>
      </c>
      <c r="E108" s="1">
        <v>4000037</v>
      </c>
      <c r="F108" s="1" t="str">
        <f t="shared" si="4"/>
        <v>10000_1001_20,10000_1002_120000</v>
      </c>
      <c r="G108" s="1" t="s">
        <v>192</v>
      </c>
      <c r="H108" s="1" t="s">
        <v>32</v>
      </c>
      <c r="J108" s="8">
        <v>20</v>
      </c>
      <c r="K108" s="8">
        <v>120000</v>
      </c>
      <c r="M108" s="1" t="s">
        <v>7</v>
      </c>
    </row>
    <row r="109" spans="1:13">
      <c r="A109" s="1">
        <v>4000037</v>
      </c>
      <c r="B109" s="1">
        <v>4</v>
      </c>
      <c r="C109" s="1">
        <v>37</v>
      </c>
      <c r="D109" s="1">
        <v>4000036</v>
      </c>
      <c r="E109" s="1">
        <v>4000038</v>
      </c>
      <c r="F109" s="1" t="str">
        <f t="shared" si="4"/>
        <v>10000_1001_20,10000_1002_120000</v>
      </c>
      <c r="G109" s="1" t="s">
        <v>193</v>
      </c>
      <c r="H109" s="1" t="s">
        <v>32</v>
      </c>
      <c r="J109" s="8">
        <v>20</v>
      </c>
      <c r="K109" s="8">
        <v>120000</v>
      </c>
      <c r="M109" s="1" t="s">
        <v>7</v>
      </c>
    </row>
    <row r="110" spans="1:13">
      <c r="A110" s="1">
        <v>4000038</v>
      </c>
      <c r="B110" s="1">
        <v>4</v>
      </c>
      <c r="C110" s="1">
        <v>38</v>
      </c>
      <c r="D110" s="1">
        <v>4000037</v>
      </c>
      <c r="E110" s="1">
        <v>4000039</v>
      </c>
      <c r="F110" s="1" t="str">
        <f t="shared" si="4"/>
        <v>10000_1001_20,10000_1002_120000</v>
      </c>
      <c r="G110" s="1" t="s">
        <v>194</v>
      </c>
      <c r="H110" s="1" t="s">
        <v>32</v>
      </c>
      <c r="J110" s="8">
        <v>20</v>
      </c>
      <c r="K110" s="8">
        <v>120000</v>
      </c>
      <c r="M110" s="1" t="s">
        <v>7</v>
      </c>
    </row>
    <row r="111" spans="1:13">
      <c r="A111" s="1">
        <v>4000039</v>
      </c>
      <c r="B111" s="1">
        <v>4</v>
      </c>
      <c r="C111" s="1">
        <v>39</v>
      </c>
      <c r="D111" s="1">
        <v>4000038</v>
      </c>
      <c r="E111" s="1">
        <v>4000040</v>
      </c>
      <c r="F111" s="1" t="str">
        <f t="shared" si="4"/>
        <v>10000_1001_20,10000_1002_120000</v>
      </c>
      <c r="G111" s="1" t="s">
        <v>195</v>
      </c>
      <c r="H111" s="1" t="s">
        <v>32</v>
      </c>
      <c r="J111" s="8">
        <v>20</v>
      </c>
      <c r="K111" s="8">
        <v>120000</v>
      </c>
      <c r="M111" s="1" t="s">
        <v>7</v>
      </c>
    </row>
    <row r="112" spans="1:13">
      <c r="A112" s="1">
        <v>4000040</v>
      </c>
      <c r="B112" s="1">
        <v>4</v>
      </c>
      <c r="C112" s="1">
        <v>40</v>
      </c>
      <c r="D112" s="1">
        <v>4000039</v>
      </c>
      <c r="E112" s="1">
        <v>4000041</v>
      </c>
      <c r="F112" s="1" t="str">
        <f t="shared" si="4"/>
        <v>10000_1001_20,10000_1002_120000</v>
      </c>
      <c r="G112" s="1" t="s">
        <v>196</v>
      </c>
      <c r="H112" s="1" t="s">
        <v>32</v>
      </c>
      <c r="J112" s="8">
        <v>20</v>
      </c>
      <c r="K112" s="8">
        <v>120000</v>
      </c>
      <c r="M112" s="1" t="s">
        <v>7</v>
      </c>
    </row>
    <row r="113" spans="1:13">
      <c r="A113" s="1">
        <v>4000041</v>
      </c>
      <c r="B113" s="1">
        <v>4</v>
      </c>
      <c r="C113" s="1">
        <v>41</v>
      </c>
      <c r="D113" s="1">
        <v>4000040</v>
      </c>
      <c r="E113" s="1">
        <v>4000042</v>
      </c>
      <c r="F113" s="1" t="str">
        <f t="shared" si="4"/>
        <v>10000_1001_20,10000_1002_120000</v>
      </c>
      <c r="G113" s="1" t="s">
        <v>197</v>
      </c>
      <c r="H113" s="1" t="s">
        <v>32</v>
      </c>
      <c r="J113" s="8">
        <v>20</v>
      </c>
      <c r="K113" s="8">
        <v>120000</v>
      </c>
      <c r="M113" s="1" t="s">
        <v>7</v>
      </c>
    </row>
    <row r="114" spans="1:13">
      <c r="A114" s="1">
        <v>4000042</v>
      </c>
      <c r="B114" s="1">
        <v>4</v>
      </c>
      <c r="C114" s="1">
        <v>42</v>
      </c>
      <c r="D114" s="1">
        <v>4000041</v>
      </c>
      <c r="E114" s="1">
        <v>4000043</v>
      </c>
      <c r="F114" s="1" t="str">
        <f t="shared" si="4"/>
        <v>10000_1001_20,10000_1002_120000</v>
      </c>
      <c r="G114" s="1" t="s">
        <v>198</v>
      </c>
      <c r="H114" s="1" t="s">
        <v>32</v>
      </c>
      <c r="J114" s="8">
        <v>20</v>
      </c>
      <c r="K114" s="8">
        <v>120000</v>
      </c>
      <c r="M114" s="1" t="s">
        <v>7</v>
      </c>
    </row>
    <row r="115" spans="1:13">
      <c r="A115" s="1">
        <v>4000043</v>
      </c>
      <c r="B115" s="1">
        <v>4</v>
      </c>
      <c r="C115" s="1">
        <v>43</v>
      </c>
      <c r="D115" s="1">
        <v>4000042</v>
      </c>
      <c r="E115" s="1">
        <v>4000044</v>
      </c>
      <c r="F115" s="1" t="str">
        <f t="shared" si="4"/>
        <v>10000_1001_20,10000_1002_120000</v>
      </c>
      <c r="G115" s="1" t="s">
        <v>199</v>
      </c>
      <c r="H115" s="1" t="s">
        <v>32</v>
      </c>
      <c r="J115" s="8">
        <v>20</v>
      </c>
      <c r="K115" s="8">
        <v>120000</v>
      </c>
      <c r="M115" s="1" t="s">
        <v>7</v>
      </c>
    </row>
    <row r="116" spans="1:13">
      <c r="A116" s="1">
        <v>4000044</v>
      </c>
      <c r="B116" s="1">
        <v>4</v>
      </c>
      <c r="C116" s="1">
        <v>44</v>
      </c>
      <c r="D116" s="1">
        <v>4000043</v>
      </c>
      <c r="E116" s="1">
        <v>4000045</v>
      </c>
      <c r="F116" s="1" t="str">
        <f t="shared" si="4"/>
        <v>10000_1001_20,10000_1002_124000</v>
      </c>
      <c r="G116" s="1" t="s">
        <v>200</v>
      </c>
      <c r="H116" s="1" t="s">
        <v>32</v>
      </c>
      <c r="J116" s="9">
        <v>20</v>
      </c>
      <c r="K116" s="9">
        <v>124000</v>
      </c>
      <c r="M116" s="1" t="s">
        <v>7</v>
      </c>
    </row>
    <row r="117" spans="1:13">
      <c r="A117" s="1">
        <v>4000045</v>
      </c>
      <c r="B117" s="1">
        <v>4</v>
      </c>
      <c r="C117" s="1">
        <v>45</v>
      </c>
      <c r="D117" s="1">
        <v>4000044</v>
      </c>
      <c r="E117" s="1">
        <v>4000046</v>
      </c>
      <c r="F117" s="1" t="str">
        <f t="shared" si="4"/>
        <v>10000_1001_20,10000_1002_128000</v>
      </c>
      <c r="G117" s="1" t="s">
        <v>201</v>
      </c>
      <c r="H117" s="1" t="s">
        <v>32</v>
      </c>
      <c r="J117" s="8">
        <v>20</v>
      </c>
      <c r="K117" s="8">
        <v>128000</v>
      </c>
      <c r="M117" s="1" t="s">
        <v>7</v>
      </c>
    </row>
    <row r="118" spans="1:13">
      <c r="A118" s="1">
        <v>4000046</v>
      </c>
      <c r="B118" s="1">
        <v>4</v>
      </c>
      <c r="C118" s="1">
        <v>46</v>
      </c>
      <c r="D118" s="1">
        <v>4000045</v>
      </c>
      <c r="E118" s="1">
        <v>4000047</v>
      </c>
      <c r="F118" s="1" t="str">
        <f t="shared" si="4"/>
        <v>10000_1001_20,10000_1002_128000</v>
      </c>
      <c r="G118" s="1" t="s">
        <v>202</v>
      </c>
      <c r="H118" s="1" t="s">
        <v>32</v>
      </c>
      <c r="J118" s="8">
        <v>20</v>
      </c>
      <c r="K118" s="8">
        <v>128000</v>
      </c>
      <c r="M118" s="1" t="s">
        <v>7</v>
      </c>
    </row>
    <row r="119" spans="1:13">
      <c r="A119" s="1">
        <v>4000047</v>
      </c>
      <c r="B119" s="1">
        <v>4</v>
      </c>
      <c r="C119" s="1">
        <v>47</v>
      </c>
      <c r="D119" s="1">
        <v>4000046</v>
      </c>
      <c r="E119" s="1">
        <v>4000048</v>
      </c>
      <c r="F119" s="1" t="str">
        <f t="shared" si="4"/>
        <v>10000_1001_20,10000_1002_128000</v>
      </c>
      <c r="G119" s="1" t="s">
        <v>203</v>
      </c>
      <c r="H119" s="1" t="s">
        <v>32</v>
      </c>
      <c r="J119" s="8">
        <v>20</v>
      </c>
      <c r="K119" s="8">
        <v>128000</v>
      </c>
      <c r="M119" s="1" t="s">
        <v>7</v>
      </c>
    </row>
    <row r="120" spans="1:13">
      <c r="A120" s="1">
        <v>4000048</v>
      </c>
      <c r="B120" s="1">
        <v>4</v>
      </c>
      <c r="C120" s="1">
        <v>48</v>
      </c>
      <c r="D120" s="1">
        <v>4000047</v>
      </c>
      <c r="E120" s="1">
        <v>4000049</v>
      </c>
      <c r="F120" s="1" t="str">
        <f t="shared" si="4"/>
        <v>10000_1001_20,10000_1002_128000</v>
      </c>
      <c r="G120" s="1" t="s">
        <v>204</v>
      </c>
      <c r="H120" s="1" t="s">
        <v>32</v>
      </c>
      <c r="J120" s="8">
        <v>20</v>
      </c>
      <c r="K120" s="8">
        <v>128000</v>
      </c>
      <c r="M120" s="1" t="s">
        <v>7</v>
      </c>
    </row>
    <row r="121" spans="1:13">
      <c r="A121" s="1">
        <v>4000049</v>
      </c>
      <c r="B121" s="1">
        <v>4</v>
      </c>
      <c r="C121" s="1">
        <v>49</v>
      </c>
      <c r="D121" s="1">
        <v>4000048</v>
      </c>
      <c r="E121" s="1">
        <v>4000050</v>
      </c>
      <c r="F121" s="1" t="str">
        <f t="shared" si="4"/>
        <v>10000_1001_20,10000_1002_130000</v>
      </c>
      <c r="G121" s="1" t="s">
        <v>205</v>
      </c>
      <c r="H121" s="1" t="s">
        <v>32</v>
      </c>
      <c r="J121" s="8">
        <v>20</v>
      </c>
      <c r="K121" s="8">
        <v>130000</v>
      </c>
      <c r="M121" s="1" t="s">
        <v>7</v>
      </c>
    </row>
    <row r="122" spans="1:13">
      <c r="A122" s="1">
        <v>4000050</v>
      </c>
      <c r="B122" s="1">
        <v>4</v>
      </c>
      <c r="C122" s="1">
        <v>50</v>
      </c>
      <c r="D122" s="1">
        <v>4000049</v>
      </c>
      <c r="E122" s="1">
        <v>4000051</v>
      </c>
      <c r="F122" s="1" t="str">
        <f t="shared" si="4"/>
        <v>10000_1001_20,10000_1002_130000</v>
      </c>
      <c r="G122" s="1" t="s">
        <v>206</v>
      </c>
      <c r="H122" s="1" t="s">
        <v>32</v>
      </c>
      <c r="J122" s="8">
        <v>20</v>
      </c>
      <c r="K122" s="8">
        <v>130000</v>
      </c>
      <c r="M122" s="1" t="s">
        <v>7</v>
      </c>
    </row>
    <row r="123" spans="1:13">
      <c r="A123" s="1">
        <v>4000051</v>
      </c>
      <c r="B123" s="1">
        <v>4</v>
      </c>
      <c r="C123" s="1">
        <v>51</v>
      </c>
      <c r="D123" s="1">
        <v>4000050</v>
      </c>
      <c r="E123" s="1">
        <v>4000052</v>
      </c>
      <c r="F123" s="1" t="str">
        <f t="shared" si="4"/>
        <v>10000_1001_20,10000_1002_130000</v>
      </c>
      <c r="G123" s="1" t="s">
        <v>207</v>
      </c>
      <c r="H123" s="1" t="s">
        <v>32</v>
      </c>
      <c r="J123" s="8">
        <v>20</v>
      </c>
      <c r="K123" s="8">
        <v>130000</v>
      </c>
      <c r="M123" s="1" t="s">
        <v>7</v>
      </c>
    </row>
    <row r="124" spans="1:13">
      <c r="A124" s="1">
        <v>4000052</v>
      </c>
      <c r="B124" s="1">
        <v>4</v>
      </c>
      <c r="C124" s="1">
        <v>52</v>
      </c>
      <c r="D124" s="1">
        <v>4000051</v>
      </c>
      <c r="E124" s="1">
        <v>4000053</v>
      </c>
      <c r="F124" s="1" t="str">
        <f t="shared" si="4"/>
        <v>10000_1001_20,10000_1002_130000</v>
      </c>
      <c r="G124" s="1" t="s">
        <v>208</v>
      </c>
      <c r="H124" s="1" t="s">
        <v>32</v>
      </c>
      <c r="J124" s="8">
        <v>20</v>
      </c>
      <c r="K124" s="8">
        <v>130000</v>
      </c>
      <c r="M124" s="1" t="s">
        <v>7</v>
      </c>
    </row>
    <row r="125" spans="1:13">
      <c r="A125" s="1">
        <v>4000053</v>
      </c>
      <c r="B125" s="1">
        <v>4</v>
      </c>
      <c r="C125" s="1">
        <v>53</v>
      </c>
      <c r="D125" s="1">
        <v>4000052</v>
      </c>
      <c r="E125" s="1">
        <v>4000054</v>
      </c>
      <c r="F125" s="1" t="str">
        <f t="shared" si="4"/>
        <v>10000_1001_20,10000_1002_130000</v>
      </c>
      <c r="G125" s="1" t="s">
        <v>209</v>
      </c>
      <c r="H125" s="1" t="s">
        <v>32</v>
      </c>
      <c r="J125" s="8">
        <v>20</v>
      </c>
      <c r="K125" s="8">
        <v>130000</v>
      </c>
      <c r="M125" s="1" t="s">
        <v>7</v>
      </c>
    </row>
    <row r="126" spans="1:13">
      <c r="A126" s="1">
        <v>4000054</v>
      </c>
      <c r="B126" s="1">
        <v>4</v>
      </c>
      <c r="C126" s="1">
        <v>54</v>
      </c>
      <c r="D126" s="1">
        <v>4000053</v>
      </c>
      <c r="E126" s="1">
        <v>4000055</v>
      </c>
      <c r="F126" s="1" t="str">
        <f t="shared" si="4"/>
        <v>10000_1001_20,10000_1002_130000</v>
      </c>
      <c r="G126" s="1" t="s">
        <v>210</v>
      </c>
      <c r="H126" s="1" t="s">
        <v>32</v>
      </c>
      <c r="J126" s="8">
        <v>20</v>
      </c>
      <c r="K126" s="8">
        <v>130000</v>
      </c>
      <c r="M126" s="1" t="s">
        <v>7</v>
      </c>
    </row>
    <row r="127" spans="1:13">
      <c r="A127" s="1">
        <v>4000055</v>
      </c>
      <c r="B127" s="1">
        <v>4</v>
      </c>
      <c r="C127" s="1">
        <v>55</v>
      </c>
      <c r="D127" s="1">
        <v>4000054</v>
      </c>
      <c r="E127" s="1">
        <v>4000056</v>
      </c>
      <c r="F127" s="1" t="str">
        <f t="shared" si="4"/>
        <v>10000_1001_20,10000_1002_140000</v>
      </c>
      <c r="G127" s="1" t="s">
        <v>211</v>
      </c>
      <c r="H127" s="1" t="s">
        <v>32</v>
      </c>
      <c r="J127" s="8">
        <v>20</v>
      </c>
      <c r="K127" s="8">
        <v>140000</v>
      </c>
      <c r="M127" s="1" t="s">
        <v>7</v>
      </c>
    </row>
    <row r="128" spans="1:13">
      <c r="A128" s="1">
        <v>4000056</v>
      </c>
      <c r="B128" s="1">
        <v>4</v>
      </c>
      <c r="C128" s="1">
        <v>56</v>
      </c>
      <c r="D128" s="1">
        <v>4000055</v>
      </c>
      <c r="E128" s="1">
        <v>4000057</v>
      </c>
      <c r="F128" s="1" t="str">
        <f t="shared" si="4"/>
        <v>10000_1001_20,10000_1002_140000</v>
      </c>
      <c r="G128" s="1" t="s">
        <v>212</v>
      </c>
      <c r="H128" s="1" t="s">
        <v>32</v>
      </c>
      <c r="J128" s="8">
        <v>20</v>
      </c>
      <c r="K128" s="8">
        <v>140000</v>
      </c>
      <c r="M128" s="1" t="s">
        <v>7</v>
      </c>
    </row>
    <row r="129" spans="1:13">
      <c r="A129" s="1">
        <v>4000057</v>
      </c>
      <c r="B129" s="1">
        <v>4</v>
      </c>
      <c r="C129" s="1">
        <v>57</v>
      </c>
      <c r="D129" s="1">
        <v>4000056</v>
      </c>
      <c r="E129" s="1">
        <v>4000058</v>
      </c>
      <c r="F129" s="1" t="str">
        <f t="shared" si="4"/>
        <v>10000_1001_20,10000_1002_140000</v>
      </c>
      <c r="G129" s="1" t="s">
        <v>213</v>
      </c>
      <c r="H129" s="1" t="s">
        <v>32</v>
      </c>
      <c r="J129" s="8">
        <v>20</v>
      </c>
      <c r="K129" s="8">
        <v>140000</v>
      </c>
      <c r="M129" s="1" t="s">
        <v>7</v>
      </c>
    </row>
    <row r="130" spans="1:13">
      <c r="A130" s="1">
        <v>4000058</v>
      </c>
      <c r="B130" s="1">
        <v>4</v>
      </c>
      <c r="C130" s="1">
        <v>58</v>
      </c>
      <c r="D130" s="1">
        <v>4000057</v>
      </c>
      <c r="E130" s="1">
        <v>4000059</v>
      </c>
      <c r="F130" s="1" t="str">
        <f t="shared" si="4"/>
        <v>10000_1001_20,10000_1002_140000</v>
      </c>
      <c r="G130" s="1" t="s">
        <v>214</v>
      </c>
      <c r="H130" s="1" t="s">
        <v>32</v>
      </c>
      <c r="J130" s="8">
        <v>20</v>
      </c>
      <c r="K130" s="8">
        <v>140000</v>
      </c>
      <c r="M130" s="1" t="s">
        <v>7</v>
      </c>
    </row>
    <row r="131" spans="1:13">
      <c r="A131" s="1">
        <v>4000059</v>
      </c>
      <c r="B131" s="1">
        <v>4</v>
      </c>
      <c r="C131" s="1">
        <v>59</v>
      </c>
      <c r="D131" s="1">
        <v>4000058</v>
      </c>
      <c r="E131" s="1">
        <v>4000060</v>
      </c>
      <c r="F131" s="1" t="str">
        <f t="shared" si="4"/>
        <v>10000_1001_20,10000_1002_140000</v>
      </c>
      <c r="G131" s="1" t="s">
        <v>215</v>
      </c>
      <c r="H131" s="1" t="s">
        <v>32</v>
      </c>
      <c r="J131" s="8">
        <v>20</v>
      </c>
      <c r="K131" s="8">
        <v>140000</v>
      </c>
      <c r="M131" s="1" t="s">
        <v>7</v>
      </c>
    </row>
    <row r="132" spans="1:13">
      <c r="A132" s="1">
        <v>4000060</v>
      </c>
      <c r="B132" s="1">
        <v>4</v>
      </c>
      <c r="C132" s="1">
        <v>60</v>
      </c>
      <c r="D132" s="1">
        <v>4000059</v>
      </c>
      <c r="E132" s="1">
        <v>-1</v>
      </c>
      <c r="F132" s="1" t="str">
        <f t="shared" si="4"/>
        <v>10000_1001_20,10000_1002_140000</v>
      </c>
      <c r="G132" s="1" t="s">
        <v>216</v>
      </c>
      <c r="H132" s="1" t="s">
        <v>32</v>
      </c>
      <c r="J132" s="8">
        <v>20</v>
      </c>
      <c r="K132" s="8">
        <v>140000</v>
      </c>
      <c r="M132" s="1" t="s">
        <v>7</v>
      </c>
    </row>
    <row r="133" spans="1:13">
      <c r="A133" s="1">
        <v>5000001</v>
      </c>
      <c r="B133" s="1">
        <v>5</v>
      </c>
      <c r="C133" s="3">
        <v>1001</v>
      </c>
      <c r="D133" s="1">
        <v>0</v>
      </c>
      <c r="E133" s="1">
        <v>5000002</v>
      </c>
      <c r="F133" s="1" t="str">
        <f t="shared" ref="F133:F167" si="5">"10000_1001_"&amp;K133&amp;",30000_60001_"&amp;L133&amp;",10000_1009_1"</f>
        <v>10000_1001_30,30000_60001_10,10000_1009_1</v>
      </c>
      <c r="G133" s="1" t="str">
        <f t="shared" ref="G133:G167" si="6">"击败"&amp;J133&amp;"boss奖励"</f>
        <v>击败新手试炼boss奖励</v>
      </c>
      <c r="H133" s="1" t="s">
        <v>32</v>
      </c>
      <c r="J133" s="3" t="s">
        <v>90</v>
      </c>
      <c r="K133" s="11">
        <v>30</v>
      </c>
      <c r="L133" s="11">
        <v>10</v>
      </c>
      <c r="M133" s="1" t="str">
        <f t="shared" ref="M133:M167" si="7">"击杀"&amp;J133&amp;"BOSS"</f>
        <v>击杀新手试炼BOSS</v>
      </c>
    </row>
    <row r="134" spans="1:13">
      <c r="A134" s="1">
        <v>5000002</v>
      </c>
      <c r="B134" s="1">
        <v>5</v>
      </c>
      <c r="C134" s="3">
        <v>1002</v>
      </c>
      <c r="D134" s="1">
        <v>5000001</v>
      </c>
      <c r="E134" s="1">
        <v>5000003</v>
      </c>
      <c r="F134" s="1" t="str">
        <f t="shared" si="5"/>
        <v>10000_1001_30,30000_60001_10,10000_1009_1</v>
      </c>
      <c r="G134" s="1" t="str">
        <f t="shared" si="6"/>
        <v>击败怒焰裂谷boss奖励</v>
      </c>
      <c r="H134" s="1" t="s">
        <v>32</v>
      </c>
      <c r="J134" s="3" t="s">
        <v>91</v>
      </c>
      <c r="K134" s="11">
        <v>30</v>
      </c>
      <c r="L134" s="11">
        <v>10</v>
      </c>
      <c r="M134" s="1" t="str">
        <f t="shared" si="7"/>
        <v>击杀怒焰裂谷BOSS</v>
      </c>
    </row>
    <row r="135" spans="1:13">
      <c r="A135" s="1">
        <v>5000003</v>
      </c>
      <c r="B135" s="1">
        <v>5</v>
      </c>
      <c r="C135" s="3">
        <v>1003</v>
      </c>
      <c r="D135" s="1">
        <v>5000002</v>
      </c>
      <c r="E135" s="1">
        <v>5000004</v>
      </c>
      <c r="F135" s="1" t="str">
        <f t="shared" si="5"/>
        <v>10000_1001_30,30000_60001_10,10000_1009_1</v>
      </c>
      <c r="G135" s="1" t="str">
        <f t="shared" si="6"/>
        <v>击败死亡矿井boss奖励</v>
      </c>
      <c r="H135" s="1" t="s">
        <v>32</v>
      </c>
      <c r="J135" s="3" t="s">
        <v>92</v>
      </c>
      <c r="K135" s="11">
        <v>30</v>
      </c>
      <c r="L135" s="11">
        <v>10</v>
      </c>
      <c r="M135" s="1" t="str">
        <f t="shared" si="7"/>
        <v>击杀死亡矿井BOSS</v>
      </c>
    </row>
    <row r="136" spans="1:13">
      <c r="A136" s="1">
        <v>5000004</v>
      </c>
      <c r="B136" s="1">
        <v>5</v>
      </c>
      <c r="C136" s="3">
        <v>1004</v>
      </c>
      <c r="D136" s="1">
        <v>5000003</v>
      </c>
      <c r="E136" s="1">
        <v>5000005</v>
      </c>
      <c r="F136" s="1" t="str">
        <f t="shared" si="5"/>
        <v>10000_1001_30,30000_60001_10,10000_1009_1</v>
      </c>
      <c r="G136" s="1" t="str">
        <f t="shared" si="6"/>
        <v>击败哀嚎洞穴boss奖励</v>
      </c>
      <c r="H136" s="1" t="s">
        <v>32</v>
      </c>
      <c r="J136" s="3" t="s">
        <v>93</v>
      </c>
      <c r="K136" s="11">
        <v>30</v>
      </c>
      <c r="L136" s="11">
        <v>10</v>
      </c>
      <c r="M136" s="1" t="str">
        <f t="shared" si="7"/>
        <v>击杀哀嚎洞穴BOSS</v>
      </c>
    </row>
    <row r="137" spans="1:13">
      <c r="A137" s="1">
        <v>5000005</v>
      </c>
      <c r="B137" s="1">
        <v>5</v>
      </c>
      <c r="C137" s="3">
        <v>1005</v>
      </c>
      <c r="D137" s="1">
        <v>5000004</v>
      </c>
      <c r="E137" s="1">
        <v>5000006</v>
      </c>
      <c r="F137" s="1" t="str">
        <f t="shared" si="5"/>
        <v>10000_1001_45,30000_60001_20,10000_1009_1</v>
      </c>
      <c r="G137" s="1" t="str">
        <f t="shared" si="6"/>
        <v>击败影牙城堡boss奖励</v>
      </c>
      <c r="H137" s="1" t="s">
        <v>32</v>
      </c>
      <c r="J137" s="3" t="s">
        <v>94</v>
      </c>
      <c r="K137" s="11">
        <v>45</v>
      </c>
      <c r="L137" s="11">
        <v>20</v>
      </c>
      <c r="M137" s="1" t="str">
        <f t="shared" si="7"/>
        <v>击杀影牙城堡BOSS</v>
      </c>
    </row>
    <row r="138" spans="1:13">
      <c r="A138" s="1">
        <v>5000006</v>
      </c>
      <c r="B138" s="1">
        <v>5</v>
      </c>
      <c r="C138" s="3">
        <v>1006</v>
      </c>
      <c r="D138" s="1">
        <v>5000005</v>
      </c>
      <c r="E138" s="1">
        <v>5000007</v>
      </c>
      <c r="F138" s="1" t="str">
        <f t="shared" si="5"/>
        <v>10000_1001_45,30000_60001_20,10000_1009_1</v>
      </c>
      <c r="G138" s="1" t="str">
        <f t="shared" si="6"/>
        <v>击败黑暗深渊boss奖励</v>
      </c>
      <c r="H138" s="1" t="s">
        <v>32</v>
      </c>
      <c r="J138" s="3" t="s">
        <v>95</v>
      </c>
      <c r="K138" s="11">
        <v>45</v>
      </c>
      <c r="L138" s="11">
        <v>20</v>
      </c>
      <c r="M138" s="1" t="str">
        <f t="shared" si="7"/>
        <v>击杀黑暗深渊BOSS</v>
      </c>
    </row>
    <row r="139" spans="1:13">
      <c r="A139" s="1">
        <v>5000007</v>
      </c>
      <c r="B139" s="1">
        <v>5</v>
      </c>
      <c r="C139" s="3">
        <v>1007</v>
      </c>
      <c r="D139" s="1">
        <v>5000006</v>
      </c>
      <c r="E139" s="1">
        <v>5000008</v>
      </c>
      <c r="F139" s="1" t="str">
        <f t="shared" si="5"/>
        <v>10000_1001_45,30000_60001_20,10000_1009_1</v>
      </c>
      <c r="G139" s="1" t="str">
        <f t="shared" si="6"/>
        <v>击败暴风城监狱boss奖励</v>
      </c>
      <c r="H139" s="1" t="s">
        <v>32</v>
      </c>
      <c r="J139" s="3" t="s">
        <v>96</v>
      </c>
      <c r="K139" s="11">
        <v>45</v>
      </c>
      <c r="L139" s="11">
        <v>20</v>
      </c>
      <c r="M139" s="1" t="str">
        <f t="shared" si="7"/>
        <v>击杀暴风城监狱BOSS</v>
      </c>
    </row>
    <row r="140" spans="1:13">
      <c r="A140" s="1">
        <v>5000008</v>
      </c>
      <c r="B140" s="1">
        <v>5</v>
      </c>
      <c r="C140" s="3">
        <v>1008</v>
      </c>
      <c r="D140" s="1">
        <v>5000007</v>
      </c>
      <c r="E140" s="1">
        <v>5000009</v>
      </c>
      <c r="F140" s="1" t="str">
        <f t="shared" si="5"/>
        <v>10000_1001_45,30000_60001_20,10000_1009_1</v>
      </c>
      <c r="G140" s="1" t="str">
        <f t="shared" si="6"/>
        <v>击败剃刀沼泽boss奖励</v>
      </c>
      <c r="H140" s="1" t="s">
        <v>32</v>
      </c>
      <c r="J140" s="3" t="s">
        <v>97</v>
      </c>
      <c r="K140" s="11">
        <v>45</v>
      </c>
      <c r="L140" s="11">
        <v>20</v>
      </c>
      <c r="M140" s="1" t="str">
        <f t="shared" si="7"/>
        <v>击杀剃刀沼泽BOSS</v>
      </c>
    </row>
    <row r="141" spans="1:13">
      <c r="A141" s="1">
        <v>5000009</v>
      </c>
      <c r="B141" s="1">
        <v>5</v>
      </c>
      <c r="C141" s="3">
        <v>1009</v>
      </c>
      <c r="D141" s="1">
        <v>5000008</v>
      </c>
      <c r="E141" s="1">
        <v>5000010</v>
      </c>
      <c r="F141" s="1" t="str">
        <f t="shared" si="5"/>
        <v>10000_1001_60,30000_60001_30,10000_1009_1</v>
      </c>
      <c r="G141" s="1" t="str">
        <f t="shared" si="6"/>
        <v>击败诺莫瑞根boss奖励</v>
      </c>
      <c r="H141" s="1" t="s">
        <v>32</v>
      </c>
      <c r="J141" s="3" t="s">
        <v>98</v>
      </c>
      <c r="K141" s="11">
        <v>60</v>
      </c>
      <c r="L141" s="11">
        <v>30</v>
      </c>
      <c r="M141" s="1" t="str">
        <f t="shared" si="7"/>
        <v>击杀诺莫瑞根BOSS</v>
      </c>
    </row>
    <row r="142" spans="1:13">
      <c r="A142" s="1">
        <v>5000010</v>
      </c>
      <c r="B142" s="1">
        <v>5</v>
      </c>
      <c r="C142" s="3">
        <v>1010</v>
      </c>
      <c r="D142" s="1">
        <v>5000009</v>
      </c>
      <c r="E142" s="1">
        <v>5000011</v>
      </c>
      <c r="F142" s="1" t="str">
        <f t="shared" si="5"/>
        <v>10000_1001_60,30000_60001_30,10000_1009_1</v>
      </c>
      <c r="G142" s="1" t="str">
        <f t="shared" si="6"/>
        <v>击败血色修道院boss奖励</v>
      </c>
      <c r="H142" s="1" t="s">
        <v>32</v>
      </c>
      <c r="J142" s="4" t="s">
        <v>99</v>
      </c>
      <c r="K142" s="11">
        <v>60</v>
      </c>
      <c r="L142" s="11">
        <v>30</v>
      </c>
      <c r="M142" s="1" t="str">
        <f t="shared" si="7"/>
        <v>击杀血色修道院BOSS</v>
      </c>
    </row>
    <row r="143" spans="1:13">
      <c r="A143" s="1">
        <v>5000011</v>
      </c>
      <c r="B143" s="1">
        <v>5</v>
      </c>
      <c r="C143" s="3">
        <v>1011</v>
      </c>
      <c r="D143" s="1">
        <v>5000010</v>
      </c>
      <c r="E143" s="1">
        <v>5000012</v>
      </c>
      <c r="F143" s="1" t="str">
        <f t="shared" si="5"/>
        <v>10000_1001_60,30000_60001_30,10000_1009_1</v>
      </c>
      <c r="G143" s="1" t="str">
        <f t="shared" si="6"/>
        <v>击败剃刀高地boss奖励</v>
      </c>
      <c r="H143" s="1" t="s">
        <v>32</v>
      </c>
      <c r="J143" s="3" t="s">
        <v>100</v>
      </c>
      <c r="K143" s="11">
        <v>60</v>
      </c>
      <c r="L143" s="11">
        <v>30</v>
      </c>
      <c r="M143" s="1" t="str">
        <f t="shared" si="7"/>
        <v>击杀剃刀高地BOSS</v>
      </c>
    </row>
    <row r="144" spans="1:13">
      <c r="A144" s="1">
        <v>5000012</v>
      </c>
      <c r="B144" s="1">
        <v>5</v>
      </c>
      <c r="C144" s="3">
        <v>1012</v>
      </c>
      <c r="D144" s="1">
        <v>5000011</v>
      </c>
      <c r="E144" s="1">
        <v>5000013</v>
      </c>
      <c r="F144" s="1" t="str">
        <f t="shared" si="5"/>
        <v>10000_1001_60,30000_60001_30,10000_1009_1</v>
      </c>
      <c r="G144" s="1" t="str">
        <f t="shared" si="6"/>
        <v>击败奥达曼boss奖励</v>
      </c>
      <c r="H144" s="1" t="s">
        <v>32</v>
      </c>
      <c r="J144" s="3" t="s">
        <v>101</v>
      </c>
      <c r="K144" s="11">
        <v>60</v>
      </c>
      <c r="L144" s="11">
        <v>30</v>
      </c>
      <c r="M144" s="1" t="str">
        <f t="shared" si="7"/>
        <v>击杀奥达曼BOSS</v>
      </c>
    </row>
    <row r="145" spans="1:13">
      <c r="A145" s="1">
        <v>5000013</v>
      </c>
      <c r="B145" s="1">
        <v>5</v>
      </c>
      <c r="C145" s="3">
        <v>1013</v>
      </c>
      <c r="D145" s="1">
        <v>5000012</v>
      </c>
      <c r="E145" s="1">
        <v>5000014</v>
      </c>
      <c r="F145" s="1" t="str">
        <f t="shared" si="5"/>
        <v>10000_1001_75,30000_60001_40,10000_1009_1</v>
      </c>
      <c r="G145" s="1" t="str">
        <f t="shared" si="6"/>
        <v>击败祖尔法拉克boss奖励</v>
      </c>
      <c r="H145" s="1" t="s">
        <v>32</v>
      </c>
      <c r="J145" s="3" t="s">
        <v>102</v>
      </c>
      <c r="K145" s="11">
        <v>75</v>
      </c>
      <c r="L145" s="11">
        <v>40</v>
      </c>
      <c r="M145" s="1" t="str">
        <f t="shared" si="7"/>
        <v>击杀祖尔法拉克BOSS</v>
      </c>
    </row>
    <row r="146" spans="1:13">
      <c r="A146" s="1">
        <v>5000014</v>
      </c>
      <c r="B146" s="1">
        <v>5</v>
      </c>
      <c r="C146" s="3">
        <v>1014</v>
      </c>
      <c r="D146" s="1">
        <v>5000013</v>
      </c>
      <c r="E146" s="1">
        <v>5000015</v>
      </c>
      <c r="F146" s="1" t="str">
        <f t="shared" si="5"/>
        <v>10000_1001_75,30000_60001_40,10000_1009_1</v>
      </c>
      <c r="G146" s="1" t="str">
        <f t="shared" si="6"/>
        <v>击败玛拉顿boss奖励</v>
      </c>
      <c r="H146" s="1" t="s">
        <v>32</v>
      </c>
      <c r="J146" s="3" t="s">
        <v>103</v>
      </c>
      <c r="K146" s="11">
        <v>75</v>
      </c>
      <c r="L146" s="11">
        <v>40</v>
      </c>
      <c r="M146" s="1" t="str">
        <f t="shared" si="7"/>
        <v>击杀玛拉顿BOSS</v>
      </c>
    </row>
    <row r="147" spans="1:13">
      <c r="A147" s="1">
        <v>5000015</v>
      </c>
      <c r="B147" s="1">
        <v>5</v>
      </c>
      <c r="C147" s="3">
        <v>1015</v>
      </c>
      <c r="D147" s="1">
        <v>5000014</v>
      </c>
      <c r="E147" s="1">
        <v>5000016</v>
      </c>
      <c r="F147" s="1" t="str">
        <f t="shared" si="5"/>
        <v>10000_1001_75,30000_60001_40,10000_1009_1</v>
      </c>
      <c r="G147" s="1" t="str">
        <f t="shared" si="6"/>
        <v>击败沉没的神庙boss奖励</v>
      </c>
      <c r="H147" s="1" t="s">
        <v>32</v>
      </c>
      <c r="J147" s="3" t="s">
        <v>104</v>
      </c>
      <c r="K147" s="11">
        <v>75</v>
      </c>
      <c r="L147" s="11">
        <v>40</v>
      </c>
      <c r="M147" s="1" t="str">
        <f t="shared" si="7"/>
        <v>击杀沉没的神庙BOSS</v>
      </c>
    </row>
    <row r="148" spans="1:13">
      <c r="A148" s="1">
        <v>5000016</v>
      </c>
      <c r="B148" s="1">
        <v>5</v>
      </c>
      <c r="C148" s="3">
        <v>1016</v>
      </c>
      <c r="D148" s="1">
        <v>5000015</v>
      </c>
      <c r="E148" s="1">
        <v>5000017</v>
      </c>
      <c r="F148" s="1" t="str">
        <f t="shared" si="5"/>
        <v>10000_1001_75,30000_60001_40,10000_1009_1</v>
      </c>
      <c r="G148" s="1" t="str">
        <f t="shared" si="6"/>
        <v>击败厄运之槌boss奖励</v>
      </c>
      <c r="H148" s="1" t="s">
        <v>32</v>
      </c>
      <c r="J148" s="3" t="s">
        <v>105</v>
      </c>
      <c r="K148" s="11">
        <v>75</v>
      </c>
      <c r="L148" s="11">
        <v>40</v>
      </c>
      <c r="M148" s="1" t="str">
        <f t="shared" si="7"/>
        <v>击杀厄运之槌BOSS</v>
      </c>
    </row>
    <row r="149" spans="1:13">
      <c r="A149" s="1">
        <v>5000017</v>
      </c>
      <c r="B149" s="1">
        <v>5</v>
      </c>
      <c r="C149" s="3">
        <v>1017</v>
      </c>
      <c r="D149" s="1">
        <v>5000016</v>
      </c>
      <c r="E149" s="1">
        <v>5000018</v>
      </c>
      <c r="F149" s="1" t="str">
        <f t="shared" si="5"/>
        <v>10000_1001_90,30000_60001_50,10000_1009_1</v>
      </c>
      <c r="G149" s="1" t="str">
        <f t="shared" si="6"/>
        <v>击败黑石深渊boss奖励</v>
      </c>
      <c r="H149" s="1" t="s">
        <v>32</v>
      </c>
      <c r="J149" s="3" t="s">
        <v>106</v>
      </c>
      <c r="K149" s="11">
        <v>90</v>
      </c>
      <c r="L149" s="11">
        <v>50</v>
      </c>
      <c r="M149" s="1" t="str">
        <f t="shared" si="7"/>
        <v>击杀黑石深渊BOSS</v>
      </c>
    </row>
    <row r="150" spans="1:13">
      <c r="A150" s="1">
        <v>5000018</v>
      </c>
      <c r="B150" s="1">
        <v>5</v>
      </c>
      <c r="C150" s="3">
        <v>1018</v>
      </c>
      <c r="D150" s="1">
        <v>5000017</v>
      </c>
      <c r="E150" s="1">
        <v>5000019</v>
      </c>
      <c r="F150" s="1" t="str">
        <f t="shared" si="5"/>
        <v>10000_1001_90,30000_60001_50,10000_1009_1</v>
      </c>
      <c r="G150" s="1" t="str">
        <f t="shared" si="6"/>
        <v>击败斯坦索姆boss奖励</v>
      </c>
      <c r="H150" s="1" t="s">
        <v>32</v>
      </c>
      <c r="J150" s="3" t="s">
        <v>107</v>
      </c>
      <c r="K150" s="11">
        <v>90</v>
      </c>
      <c r="L150" s="11">
        <v>50</v>
      </c>
      <c r="M150" s="1" t="str">
        <f t="shared" si="7"/>
        <v>击杀斯坦索姆BOSS</v>
      </c>
    </row>
    <row r="151" spans="1:13">
      <c r="A151" s="1">
        <v>5000019</v>
      </c>
      <c r="B151" s="1">
        <v>5</v>
      </c>
      <c r="C151" s="3">
        <v>1019</v>
      </c>
      <c r="D151" s="1">
        <v>5000018</v>
      </c>
      <c r="E151" s="1">
        <v>5000020</v>
      </c>
      <c r="F151" s="1" t="str">
        <f t="shared" si="5"/>
        <v>10000_1001_90,30000_60001_50,10000_1009_1</v>
      </c>
      <c r="G151" s="1" t="str">
        <f t="shared" si="6"/>
        <v>击败通灵学院boss奖励</v>
      </c>
      <c r="H151" s="1" t="s">
        <v>32</v>
      </c>
      <c r="J151" s="3" t="s">
        <v>108</v>
      </c>
      <c r="K151" s="11">
        <v>90</v>
      </c>
      <c r="L151" s="11">
        <v>50</v>
      </c>
      <c r="M151" s="1" t="str">
        <f t="shared" si="7"/>
        <v>击杀通灵学院BOSS</v>
      </c>
    </row>
    <row r="152" spans="1:13">
      <c r="A152" s="1">
        <v>5000020</v>
      </c>
      <c r="B152" s="1">
        <v>5</v>
      </c>
      <c r="C152" s="3">
        <v>1020</v>
      </c>
      <c r="D152" s="1">
        <v>5000019</v>
      </c>
      <c r="E152" s="1">
        <v>5000021</v>
      </c>
      <c r="F152" s="1" t="str">
        <f t="shared" si="5"/>
        <v>10000_1001_90,30000_60001_50,10000_1009_1</v>
      </c>
      <c r="G152" s="1" t="str">
        <f t="shared" si="6"/>
        <v>击败黑石塔boss奖励</v>
      </c>
      <c r="H152" s="1" t="s">
        <v>32</v>
      </c>
      <c r="J152" s="5" t="s">
        <v>109</v>
      </c>
      <c r="K152" s="11">
        <v>90</v>
      </c>
      <c r="L152" s="11">
        <v>50</v>
      </c>
      <c r="M152" s="1" t="str">
        <f t="shared" si="7"/>
        <v>击杀黑石塔BOSS</v>
      </c>
    </row>
    <row r="153" spans="1:13">
      <c r="A153" s="1">
        <v>5000021</v>
      </c>
      <c r="B153" s="1">
        <v>5</v>
      </c>
      <c r="C153" s="3">
        <v>1021</v>
      </c>
      <c r="D153" s="1">
        <v>5000020</v>
      </c>
      <c r="E153" s="1">
        <v>5000022</v>
      </c>
      <c r="F153" s="1" t="str">
        <f t="shared" si="5"/>
        <v>10000_1001_115,30000_60001_60,10000_1009_1</v>
      </c>
      <c r="G153" s="1" t="str">
        <f t="shared" si="6"/>
        <v>击败地狱火城墙boss奖励</v>
      </c>
      <c r="H153" s="1" t="s">
        <v>32</v>
      </c>
      <c r="J153" s="3" t="s">
        <v>110</v>
      </c>
      <c r="K153" s="11">
        <v>115</v>
      </c>
      <c r="L153" s="11">
        <v>60</v>
      </c>
      <c r="M153" s="1" t="str">
        <f t="shared" si="7"/>
        <v>击杀地狱火城墙BOSS</v>
      </c>
    </row>
    <row r="154" spans="1:13">
      <c r="A154" s="1">
        <v>5000022</v>
      </c>
      <c r="B154" s="1">
        <v>5</v>
      </c>
      <c r="C154" s="3">
        <v>1022</v>
      </c>
      <c r="D154" s="1">
        <v>5000021</v>
      </c>
      <c r="E154" s="1">
        <v>5000023</v>
      </c>
      <c r="F154" s="1" t="str">
        <f t="shared" si="5"/>
        <v>10000_1001_115,30000_60001_60,10000_1009_1</v>
      </c>
      <c r="G154" s="1" t="str">
        <f t="shared" si="6"/>
        <v>击败鲜血熔炉boss奖励</v>
      </c>
      <c r="H154" s="1" t="s">
        <v>32</v>
      </c>
      <c r="J154" s="3" t="s">
        <v>111</v>
      </c>
      <c r="K154" s="11">
        <v>115</v>
      </c>
      <c r="L154" s="11">
        <v>60</v>
      </c>
      <c r="M154" s="1" t="str">
        <f t="shared" si="7"/>
        <v>击杀鲜血熔炉BOSS</v>
      </c>
    </row>
    <row r="155" spans="1:13">
      <c r="A155" s="1">
        <v>5000023</v>
      </c>
      <c r="B155" s="1">
        <v>5</v>
      </c>
      <c r="C155" s="3">
        <v>1023</v>
      </c>
      <c r="D155" s="1">
        <v>5000022</v>
      </c>
      <c r="E155" s="1">
        <v>5000024</v>
      </c>
      <c r="F155" s="1" t="str">
        <f t="shared" si="5"/>
        <v>10000_1001_135,30000_60001_80,10000_1009_1</v>
      </c>
      <c r="G155" s="1" t="str">
        <f t="shared" si="6"/>
        <v>击败奴隶围栏boss奖励</v>
      </c>
      <c r="H155" s="1" t="s">
        <v>32</v>
      </c>
      <c r="J155" s="3" t="s">
        <v>112</v>
      </c>
      <c r="K155" s="11">
        <v>135</v>
      </c>
      <c r="L155" s="11">
        <v>80</v>
      </c>
      <c r="M155" s="1" t="str">
        <f t="shared" si="7"/>
        <v>击杀奴隶围栏BOSS</v>
      </c>
    </row>
    <row r="156" spans="1:13">
      <c r="A156" s="1">
        <v>5000024</v>
      </c>
      <c r="B156" s="1">
        <v>5</v>
      </c>
      <c r="C156" s="3">
        <v>1024</v>
      </c>
      <c r="D156" s="1">
        <v>5000023</v>
      </c>
      <c r="E156" s="1">
        <v>5000025</v>
      </c>
      <c r="F156" s="1" t="str">
        <f t="shared" si="5"/>
        <v>10000_1001_135,30000_60001_80,10000_1009_1</v>
      </c>
      <c r="G156" s="1" t="str">
        <f t="shared" si="6"/>
        <v>击败幽暗沼泽boss奖励</v>
      </c>
      <c r="H156" s="1" t="s">
        <v>32</v>
      </c>
      <c r="J156" s="3" t="s">
        <v>113</v>
      </c>
      <c r="K156" s="11">
        <v>135</v>
      </c>
      <c r="L156" s="11">
        <v>80</v>
      </c>
      <c r="M156" s="1" t="str">
        <f t="shared" si="7"/>
        <v>击杀幽暗沼泽BOSS</v>
      </c>
    </row>
    <row r="157" spans="1:13">
      <c r="A157" s="1">
        <v>5000025</v>
      </c>
      <c r="B157" s="1">
        <v>5</v>
      </c>
      <c r="C157" s="3">
        <v>1025</v>
      </c>
      <c r="D157" s="1">
        <v>5000024</v>
      </c>
      <c r="E157" s="1">
        <v>5000026</v>
      </c>
      <c r="F157" s="1" t="str">
        <f t="shared" si="5"/>
        <v>10000_1001_150,30000_60001_100,10000_1009_1</v>
      </c>
      <c r="G157" s="1" t="str">
        <f t="shared" si="6"/>
        <v>击败法力陵墓boss奖励</v>
      </c>
      <c r="H157" s="1" t="s">
        <v>32</v>
      </c>
      <c r="J157" s="3" t="s">
        <v>114</v>
      </c>
      <c r="K157" s="11">
        <v>150</v>
      </c>
      <c r="L157" s="11">
        <v>100</v>
      </c>
      <c r="M157" s="1" t="str">
        <f t="shared" si="7"/>
        <v>击杀法力陵墓BOSS</v>
      </c>
    </row>
    <row r="158" spans="1:13">
      <c r="A158" s="1">
        <v>5000026</v>
      </c>
      <c r="B158" s="1">
        <v>5</v>
      </c>
      <c r="C158" s="3">
        <v>1026</v>
      </c>
      <c r="D158" s="1">
        <v>5000025</v>
      </c>
      <c r="E158" s="1">
        <v>5000027</v>
      </c>
      <c r="F158" s="1" t="str">
        <f t="shared" si="5"/>
        <v>10000_1001_150,30000_60001_100,10000_1009_1</v>
      </c>
      <c r="G158" s="1" t="str">
        <f t="shared" si="6"/>
        <v>击败奥金尼地穴boss奖励</v>
      </c>
      <c r="H158" s="1" t="s">
        <v>32</v>
      </c>
      <c r="J158" s="3" t="s">
        <v>115</v>
      </c>
      <c r="K158" s="11">
        <v>150</v>
      </c>
      <c r="L158" s="11">
        <v>100</v>
      </c>
      <c r="M158" s="1" t="str">
        <f t="shared" si="7"/>
        <v>击杀奥金尼地穴BOSS</v>
      </c>
    </row>
    <row r="159" spans="1:13">
      <c r="A159" s="1">
        <v>5000027</v>
      </c>
      <c r="B159" s="1">
        <v>5</v>
      </c>
      <c r="C159" s="3">
        <v>1027</v>
      </c>
      <c r="D159" s="1">
        <v>5000026</v>
      </c>
      <c r="E159" s="1">
        <v>5000028</v>
      </c>
      <c r="F159" s="1" t="str">
        <f t="shared" si="5"/>
        <v>10000_1001_175,30000_60001_120,10000_1009_1</v>
      </c>
      <c r="G159" s="1" t="str">
        <f t="shared" si="6"/>
        <v>击败旧希尔布拉德丘陵boss奖励</v>
      </c>
      <c r="H159" s="1" t="s">
        <v>32</v>
      </c>
      <c r="J159" s="3" t="s">
        <v>116</v>
      </c>
      <c r="K159" s="11">
        <v>175</v>
      </c>
      <c r="L159" s="11">
        <v>120</v>
      </c>
      <c r="M159" s="1" t="str">
        <f t="shared" si="7"/>
        <v>击杀旧希尔布拉德丘陵BOSS</v>
      </c>
    </row>
    <row r="160" spans="1:13">
      <c r="A160" s="1">
        <v>5000028</v>
      </c>
      <c r="B160" s="1">
        <v>5</v>
      </c>
      <c r="C160" s="3">
        <v>1028</v>
      </c>
      <c r="D160" s="1">
        <v>5000027</v>
      </c>
      <c r="E160" s="1">
        <v>5000029</v>
      </c>
      <c r="F160" s="1" t="str">
        <f t="shared" si="5"/>
        <v>10000_1001_175,30000_60001_120,10000_1009_1</v>
      </c>
      <c r="G160" s="1" t="str">
        <f t="shared" si="6"/>
        <v>击败塞泰克大厅boss奖励</v>
      </c>
      <c r="H160" s="1" t="s">
        <v>32</v>
      </c>
      <c r="J160" s="3" t="s">
        <v>117</v>
      </c>
      <c r="K160" s="11">
        <v>175</v>
      </c>
      <c r="L160" s="11">
        <v>120</v>
      </c>
      <c r="M160" s="1" t="str">
        <f t="shared" si="7"/>
        <v>击杀塞泰克大厅BOSS</v>
      </c>
    </row>
    <row r="161" spans="1:13">
      <c r="A161" s="1">
        <v>5000029</v>
      </c>
      <c r="B161" s="1">
        <v>5</v>
      </c>
      <c r="C161" s="3">
        <v>1029</v>
      </c>
      <c r="D161" s="1">
        <v>5000028</v>
      </c>
      <c r="E161" s="1">
        <v>5000030</v>
      </c>
      <c r="F161" s="1" t="str">
        <f t="shared" si="5"/>
        <v>10000_1001_190,30000_60001_140,10000_1009_1</v>
      </c>
      <c r="G161" s="1" t="str">
        <f t="shared" si="6"/>
        <v>击败暗影迷宫boss奖励</v>
      </c>
      <c r="H161" s="1" t="s">
        <v>32</v>
      </c>
      <c r="J161" s="3" t="s">
        <v>118</v>
      </c>
      <c r="K161" s="11">
        <v>190</v>
      </c>
      <c r="L161" s="11">
        <v>140</v>
      </c>
      <c r="M161" s="1" t="str">
        <f t="shared" si="7"/>
        <v>击杀暗影迷宫BOSS</v>
      </c>
    </row>
    <row r="162" spans="1:13">
      <c r="A162" s="1">
        <v>5000030</v>
      </c>
      <c r="B162" s="1">
        <v>5</v>
      </c>
      <c r="C162" s="3">
        <v>1030</v>
      </c>
      <c r="D162" s="1">
        <v>5000029</v>
      </c>
      <c r="E162" s="1">
        <v>5000031</v>
      </c>
      <c r="F162" s="1" t="str">
        <f t="shared" si="5"/>
        <v>10000_1001_190,30000_60001_140,10000_1009_1</v>
      </c>
      <c r="G162" s="1" t="str">
        <f t="shared" si="6"/>
        <v>击败蒸汽地窖boss奖励</v>
      </c>
      <c r="H162" s="1" t="s">
        <v>32</v>
      </c>
      <c r="J162" s="3" t="s">
        <v>119</v>
      </c>
      <c r="K162" s="11">
        <v>190</v>
      </c>
      <c r="L162" s="11">
        <v>140</v>
      </c>
      <c r="M162" s="1" t="str">
        <f t="shared" si="7"/>
        <v>击杀蒸汽地窖BOSS</v>
      </c>
    </row>
    <row r="163" spans="1:13">
      <c r="A163" s="1">
        <v>5000031</v>
      </c>
      <c r="B163" s="1">
        <v>5</v>
      </c>
      <c r="C163" s="3">
        <v>1031</v>
      </c>
      <c r="D163" s="1">
        <v>5000030</v>
      </c>
      <c r="E163" s="1">
        <v>5000032</v>
      </c>
      <c r="F163" s="1" t="str">
        <f t="shared" si="5"/>
        <v>10000_1001_205,30000_60001_160,10000_1009_1</v>
      </c>
      <c r="G163" s="1" t="str">
        <f t="shared" si="6"/>
        <v>击败能源舰boss奖励</v>
      </c>
      <c r="H163" s="1" t="s">
        <v>32</v>
      </c>
      <c r="J163" s="3" t="s">
        <v>120</v>
      </c>
      <c r="K163" s="11">
        <v>205</v>
      </c>
      <c r="L163" s="11">
        <v>160</v>
      </c>
      <c r="M163" s="1" t="str">
        <f t="shared" si="7"/>
        <v>击杀能源舰BOSS</v>
      </c>
    </row>
    <row r="164" spans="1:13">
      <c r="A164" s="1">
        <v>5000032</v>
      </c>
      <c r="B164" s="1">
        <v>5</v>
      </c>
      <c r="C164" s="3">
        <v>1032</v>
      </c>
      <c r="D164" s="1">
        <v>5000031</v>
      </c>
      <c r="E164" s="1">
        <v>5000033</v>
      </c>
      <c r="F164" s="1" t="str">
        <f t="shared" si="5"/>
        <v>10000_1001_205,30000_60001_160,10000_1009_1</v>
      </c>
      <c r="G164" s="1" t="str">
        <f t="shared" si="6"/>
        <v>击败生态船boss奖励</v>
      </c>
      <c r="H164" s="1" t="s">
        <v>32</v>
      </c>
      <c r="J164" s="3" t="s">
        <v>121</v>
      </c>
      <c r="K164" s="11">
        <v>205</v>
      </c>
      <c r="L164" s="11">
        <v>160</v>
      </c>
      <c r="M164" s="1" t="str">
        <f t="shared" si="7"/>
        <v>击杀生态船BOSS</v>
      </c>
    </row>
    <row r="165" spans="1:13">
      <c r="A165" s="1">
        <v>5000033</v>
      </c>
      <c r="B165" s="1">
        <v>5</v>
      </c>
      <c r="C165" s="3">
        <v>1033</v>
      </c>
      <c r="D165" s="1">
        <v>5000032</v>
      </c>
      <c r="E165" s="1">
        <v>5000034</v>
      </c>
      <c r="F165" s="1" t="str">
        <f t="shared" si="5"/>
        <v>10000_1001_220,30000_60001_180,10000_1009_1</v>
      </c>
      <c r="G165" s="1" t="str">
        <f t="shared" si="6"/>
        <v>击败禁魔监狱boss奖励</v>
      </c>
      <c r="H165" s="1" t="s">
        <v>32</v>
      </c>
      <c r="J165" s="3" t="s">
        <v>122</v>
      </c>
      <c r="K165" s="11">
        <v>220</v>
      </c>
      <c r="L165" s="11">
        <v>180</v>
      </c>
      <c r="M165" s="1" t="str">
        <f t="shared" si="7"/>
        <v>击杀禁魔监狱BOSS</v>
      </c>
    </row>
    <row r="166" spans="1:13">
      <c r="A166" s="1">
        <v>5000034</v>
      </c>
      <c r="B166" s="1">
        <v>5</v>
      </c>
      <c r="C166" s="3">
        <v>1034</v>
      </c>
      <c r="D166" s="1">
        <v>5000033</v>
      </c>
      <c r="E166" s="1">
        <v>5000035</v>
      </c>
      <c r="F166" s="1" t="str">
        <f t="shared" si="5"/>
        <v>10000_1001_220,30000_60001_180,10000_1009_1</v>
      </c>
      <c r="G166" s="1" t="str">
        <f t="shared" si="6"/>
        <v>击败破碎大厅boss奖励</v>
      </c>
      <c r="H166" s="1" t="s">
        <v>32</v>
      </c>
      <c r="J166" s="3" t="s">
        <v>123</v>
      </c>
      <c r="K166" s="11">
        <v>220</v>
      </c>
      <c r="L166" s="11">
        <v>180</v>
      </c>
      <c r="M166" s="1" t="str">
        <f t="shared" si="7"/>
        <v>击杀破碎大厅BOSS</v>
      </c>
    </row>
    <row r="167" spans="1:13">
      <c r="A167" s="1">
        <v>5000035</v>
      </c>
      <c r="B167" s="1">
        <v>5</v>
      </c>
      <c r="C167" s="3">
        <v>1035</v>
      </c>
      <c r="D167" s="1">
        <v>5000034</v>
      </c>
      <c r="E167" s="1">
        <v>-1</v>
      </c>
      <c r="F167" s="1" t="str">
        <f t="shared" si="5"/>
        <v>10000_1001_235,30000_60001_200,10000_1009_1</v>
      </c>
      <c r="G167" s="1" t="str">
        <f t="shared" si="6"/>
        <v>击败黑色沼泽boss奖励</v>
      </c>
      <c r="H167" s="1" t="s">
        <v>32</v>
      </c>
      <c r="J167" s="3" t="s">
        <v>124</v>
      </c>
      <c r="K167" s="10">
        <v>235</v>
      </c>
      <c r="L167" s="10">
        <v>200</v>
      </c>
      <c r="M167" s="1" t="str">
        <f t="shared" si="7"/>
        <v>击杀黑色沼泽BOSS</v>
      </c>
    </row>
    <row r="168" spans="1:13">
      <c r="A168" s="1">
        <v>6000001</v>
      </c>
      <c r="B168" s="1">
        <v>6</v>
      </c>
      <c r="C168" s="3">
        <v>4</v>
      </c>
      <c r="D168" s="1">
        <v>0</v>
      </c>
      <c r="E168" s="1">
        <v>6000002</v>
      </c>
      <c r="F168" s="1" t="str">
        <f t="shared" ref="F168:F190" si="8">"10000_1001_"&amp;J168&amp;",10000_1002_"&amp;K168</f>
        <v>10000_1001_30,10000_1002_10000</v>
      </c>
      <c r="G168" s="1" t="s">
        <v>68</v>
      </c>
      <c r="H168" s="1" t="s">
        <v>32</v>
      </c>
      <c r="J168" s="13">
        <v>30</v>
      </c>
      <c r="K168" s="13">
        <v>10000</v>
      </c>
      <c r="M168" s="1" t="s">
        <v>30</v>
      </c>
    </row>
    <row r="169" spans="1:13">
      <c r="A169" s="1">
        <v>6000002</v>
      </c>
      <c r="B169" s="1">
        <v>6</v>
      </c>
      <c r="C169" s="3">
        <v>7</v>
      </c>
      <c r="D169" s="1">
        <v>6000001</v>
      </c>
      <c r="E169" s="1">
        <v>6000003</v>
      </c>
      <c r="F169" s="1" t="str">
        <f t="shared" si="8"/>
        <v>10000_1001_40,10000_1002_15000</v>
      </c>
      <c r="G169" s="1" t="s">
        <v>69</v>
      </c>
      <c r="H169" s="1" t="s">
        <v>32</v>
      </c>
      <c r="J169" s="13">
        <v>40</v>
      </c>
      <c r="K169" s="13">
        <v>15000</v>
      </c>
      <c r="M169" s="1" t="s">
        <v>30</v>
      </c>
    </row>
    <row r="170" spans="1:13">
      <c r="A170" s="1">
        <v>6000003</v>
      </c>
      <c r="B170" s="1">
        <v>6</v>
      </c>
      <c r="C170" s="3">
        <v>10</v>
      </c>
      <c r="D170" s="1">
        <v>6000002</v>
      </c>
      <c r="E170" s="1">
        <v>6000004</v>
      </c>
      <c r="F170" s="1" t="str">
        <f t="shared" si="8"/>
        <v>10000_1001_50,10000_1002_20000</v>
      </c>
      <c r="G170" s="1" t="s">
        <v>8</v>
      </c>
      <c r="H170" s="1" t="s">
        <v>32</v>
      </c>
      <c r="J170" s="13">
        <v>50</v>
      </c>
      <c r="K170" s="13">
        <v>20000</v>
      </c>
      <c r="M170" s="1" t="s">
        <v>30</v>
      </c>
    </row>
    <row r="171" spans="1:13">
      <c r="A171" s="1">
        <v>6000004</v>
      </c>
      <c r="B171" s="1">
        <v>6</v>
      </c>
      <c r="C171" s="3">
        <v>13</v>
      </c>
      <c r="D171" s="1">
        <v>6000003</v>
      </c>
      <c r="E171" s="1">
        <v>6000005</v>
      </c>
      <c r="F171" s="1" t="str">
        <f t="shared" si="8"/>
        <v>10000_1001_60,10000_1002_25000</v>
      </c>
      <c r="G171" s="1" t="s">
        <v>70</v>
      </c>
      <c r="H171" s="1" t="s">
        <v>32</v>
      </c>
      <c r="J171" s="12">
        <v>60</v>
      </c>
      <c r="K171" s="12">
        <v>25000</v>
      </c>
      <c r="M171" s="1" t="s">
        <v>30</v>
      </c>
    </row>
    <row r="172" spans="1:13">
      <c r="A172" s="1">
        <v>6000005</v>
      </c>
      <c r="B172" s="1">
        <v>6</v>
      </c>
      <c r="C172" s="3">
        <v>16</v>
      </c>
      <c r="D172" s="1">
        <v>6000004</v>
      </c>
      <c r="E172" s="1">
        <v>6000006</v>
      </c>
      <c r="F172" s="1" t="str">
        <f t="shared" si="8"/>
        <v>10000_1001_70,10000_1002_30000</v>
      </c>
      <c r="G172" s="1" t="s">
        <v>71</v>
      </c>
      <c r="H172" s="1" t="s">
        <v>32</v>
      </c>
      <c r="J172" s="12">
        <v>70</v>
      </c>
      <c r="K172" s="12">
        <v>30000</v>
      </c>
      <c r="M172" s="1" t="s">
        <v>30</v>
      </c>
    </row>
    <row r="173" spans="1:13">
      <c r="A173" s="1">
        <v>6000006</v>
      </c>
      <c r="B173" s="1">
        <v>6</v>
      </c>
      <c r="C173" s="3">
        <v>19</v>
      </c>
      <c r="D173" s="1">
        <v>6000005</v>
      </c>
      <c r="E173" s="1">
        <v>6000007</v>
      </c>
      <c r="F173" s="1" t="str">
        <f t="shared" si="8"/>
        <v>10000_1001_80,10000_1002_35000</v>
      </c>
      <c r="G173" s="1" t="s">
        <v>72</v>
      </c>
      <c r="H173" s="1" t="s">
        <v>32</v>
      </c>
      <c r="J173" s="12">
        <v>80</v>
      </c>
      <c r="K173" s="12">
        <v>35000</v>
      </c>
      <c r="M173" s="1" t="s">
        <v>30</v>
      </c>
    </row>
    <row r="174" spans="1:13">
      <c r="A174" s="1">
        <v>6000007</v>
      </c>
      <c r="B174" s="1">
        <v>6</v>
      </c>
      <c r="C174" s="3">
        <v>22</v>
      </c>
      <c r="D174" s="1">
        <v>6000006</v>
      </c>
      <c r="E174" s="1">
        <v>6000008</v>
      </c>
      <c r="F174" s="1" t="str">
        <f t="shared" si="8"/>
        <v>10000_1001_90,10000_1002_40000</v>
      </c>
      <c r="G174" s="1" t="s">
        <v>73</v>
      </c>
      <c r="H174" s="1" t="s">
        <v>32</v>
      </c>
      <c r="J174" s="13">
        <v>90</v>
      </c>
      <c r="K174" s="13">
        <v>40000</v>
      </c>
      <c r="M174" s="1" t="s">
        <v>30</v>
      </c>
    </row>
    <row r="175" spans="1:13">
      <c r="A175" s="1">
        <v>6000008</v>
      </c>
      <c r="B175" s="1">
        <v>6</v>
      </c>
      <c r="C175" s="3">
        <v>25</v>
      </c>
      <c r="D175" s="1">
        <v>6000007</v>
      </c>
      <c r="E175" s="1">
        <v>6000009</v>
      </c>
      <c r="F175" s="1" t="str">
        <f t="shared" si="8"/>
        <v>10000_1001_100,10000_1002_45000</v>
      </c>
      <c r="G175" s="1" t="s">
        <v>74</v>
      </c>
      <c r="H175" s="1" t="s">
        <v>32</v>
      </c>
      <c r="J175" s="12">
        <v>100</v>
      </c>
      <c r="K175" s="12">
        <v>45000</v>
      </c>
      <c r="M175" s="1" t="s">
        <v>30</v>
      </c>
    </row>
    <row r="176" spans="1:13">
      <c r="A176" s="1">
        <v>6000009</v>
      </c>
      <c r="B176" s="1">
        <v>6</v>
      </c>
      <c r="C176" s="3">
        <v>28</v>
      </c>
      <c r="D176" s="1">
        <v>6000008</v>
      </c>
      <c r="E176" s="1">
        <v>6000010</v>
      </c>
      <c r="F176" s="1" t="str">
        <f t="shared" si="8"/>
        <v>10000_1001_110,10000_1002_50000</v>
      </c>
      <c r="G176" s="1" t="s">
        <v>75</v>
      </c>
      <c r="H176" s="1" t="s">
        <v>32</v>
      </c>
      <c r="J176" s="12">
        <v>110</v>
      </c>
      <c r="K176" s="12">
        <v>50000</v>
      </c>
      <c r="M176" s="1" t="s">
        <v>30</v>
      </c>
    </row>
    <row r="177" spans="1:13">
      <c r="A177" s="1">
        <v>6000010</v>
      </c>
      <c r="B177" s="1">
        <v>6</v>
      </c>
      <c r="C177" s="3">
        <v>31</v>
      </c>
      <c r="D177" s="1">
        <v>6000009</v>
      </c>
      <c r="E177" s="1">
        <v>6000011</v>
      </c>
      <c r="F177" s="1" t="str">
        <f t="shared" si="8"/>
        <v>10000_1001_120,10000_1002_55000</v>
      </c>
      <c r="G177" s="1" t="s">
        <v>76</v>
      </c>
      <c r="H177" s="1" t="s">
        <v>32</v>
      </c>
      <c r="J177" s="12">
        <v>120</v>
      </c>
      <c r="K177" s="12">
        <v>55000</v>
      </c>
      <c r="M177" s="1" t="s">
        <v>30</v>
      </c>
    </row>
    <row r="178" spans="1:13">
      <c r="A178" s="1">
        <v>6000011</v>
      </c>
      <c r="B178" s="1">
        <v>6</v>
      </c>
      <c r="C178" s="3">
        <v>34</v>
      </c>
      <c r="D178" s="1">
        <v>6000010</v>
      </c>
      <c r="E178" s="1">
        <v>6000012</v>
      </c>
      <c r="F178" s="1" t="str">
        <f t="shared" si="8"/>
        <v>10000_1001_130,10000_1002_60000</v>
      </c>
      <c r="G178" s="1" t="s">
        <v>77</v>
      </c>
      <c r="H178" s="1" t="s">
        <v>32</v>
      </c>
      <c r="J178" s="12">
        <v>130</v>
      </c>
      <c r="K178" s="12">
        <v>60000</v>
      </c>
      <c r="M178" s="1" t="s">
        <v>30</v>
      </c>
    </row>
    <row r="179" spans="1:13">
      <c r="A179" s="1">
        <v>6000012</v>
      </c>
      <c r="B179" s="1">
        <v>6</v>
      </c>
      <c r="C179" s="3">
        <v>37</v>
      </c>
      <c r="D179" s="1">
        <v>6000011</v>
      </c>
      <c r="E179" s="1">
        <v>6000013</v>
      </c>
      <c r="F179" s="1" t="str">
        <f t="shared" si="8"/>
        <v>10000_1001_140,10000_1002_65000</v>
      </c>
      <c r="G179" s="1" t="s">
        <v>78</v>
      </c>
      <c r="H179" s="1" t="s">
        <v>32</v>
      </c>
      <c r="J179" s="13">
        <v>140</v>
      </c>
      <c r="K179" s="13">
        <v>65000</v>
      </c>
      <c r="M179" s="1" t="s">
        <v>30</v>
      </c>
    </row>
    <row r="180" spans="1:13">
      <c r="A180" s="1">
        <v>6000013</v>
      </c>
      <c r="B180" s="1">
        <v>6</v>
      </c>
      <c r="C180" s="3">
        <v>40</v>
      </c>
      <c r="D180" s="1">
        <v>6000012</v>
      </c>
      <c r="E180" s="1">
        <v>6000014</v>
      </c>
      <c r="F180" s="1" t="str">
        <f t="shared" si="8"/>
        <v>10000_1001_150,10000_1002_70000</v>
      </c>
      <c r="G180" s="1" t="s">
        <v>79</v>
      </c>
      <c r="H180" s="1" t="s">
        <v>32</v>
      </c>
      <c r="J180" s="13">
        <v>150</v>
      </c>
      <c r="K180" s="13">
        <v>70000</v>
      </c>
      <c r="M180" s="1" t="s">
        <v>30</v>
      </c>
    </row>
    <row r="181" spans="1:13">
      <c r="A181" s="1">
        <v>6000014</v>
      </c>
      <c r="B181" s="1">
        <v>6</v>
      </c>
      <c r="C181" s="3">
        <v>43</v>
      </c>
      <c r="D181" s="1">
        <v>6000013</v>
      </c>
      <c r="E181" s="1">
        <v>6000015</v>
      </c>
      <c r="F181" s="1" t="str">
        <f t="shared" si="8"/>
        <v>10000_1001_160,10000_1002_75000</v>
      </c>
      <c r="G181" s="1" t="s">
        <v>80</v>
      </c>
      <c r="H181" s="1" t="s">
        <v>32</v>
      </c>
      <c r="J181" s="12">
        <v>160</v>
      </c>
      <c r="K181" s="12">
        <v>75000</v>
      </c>
      <c r="M181" s="1" t="s">
        <v>30</v>
      </c>
    </row>
    <row r="182" spans="1:13">
      <c r="A182" s="1">
        <v>6000015</v>
      </c>
      <c r="B182" s="1">
        <v>6</v>
      </c>
      <c r="C182" s="3">
        <v>46</v>
      </c>
      <c r="D182" s="1">
        <v>6000014</v>
      </c>
      <c r="E182" s="1">
        <v>6000016</v>
      </c>
      <c r="F182" s="1" t="str">
        <f t="shared" si="8"/>
        <v>10000_1001_170,10000_1002_80000</v>
      </c>
      <c r="G182" s="1" t="s">
        <v>81</v>
      </c>
      <c r="H182" s="1" t="s">
        <v>32</v>
      </c>
      <c r="J182" s="12">
        <v>170</v>
      </c>
      <c r="K182" s="12">
        <v>80000</v>
      </c>
      <c r="M182" s="1" t="s">
        <v>30</v>
      </c>
    </row>
    <row r="183" spans="1:13">
      <c r="A183" s="1">
        <v>6000016</v>
      </c>
      <c r="B183" s="1">
        <v>6</v>
      </c>
      <c r="C183" s="3">
        <v>49</v>
      </c>
      <c r="D183" s="1">
        <v>6000015</v>
      </c>
      <c r="E183" s="1">
        <v>6000017</v>
      </c>
      <c r="F183" s="1" t="str">
        <f t="shared" si="8"/>
        <v>10000_1001_180,10000_1002_85000</v>
      </c>
      <c r="G183" s="1" t="s">
        <v>82</v>
      </c>
      <c r="H183" s="1" t="s">
        <v>32</v>
      </c>
      <c r="J183" s="12">
        <v>180</v>
      </c>
      <c r="K183" s="12">
        <v>85000</v>
      </c>
      <c r="M183" s="1" t="s">
        <v>30</v>
      </c>
    </row>
    <row r="184" spans="1:13">
      <c r="A184" s="1">
        <v>6000017</v>
      </c>
      <c r="B184" s="1">
        <v>6</v>
      </c>
      <c r="C184" s="3">
        <v>52</v>
      </c>
      <c r="D184" s="1">
        <v>6000016</v>
      </c>
      <c r="E184" s="1">
        <v>6000018</v>
      </c>
      <c r="F184" s="1" t="str">
        <f t="shared" si="8"/>
        <v>10000_1001_190,10000_1002_90000</v>
      </c>
      <c r="G184" s="1" t="s">
        <v>83</v>
      </c>
      <c r="H184" s="1" t="s">
        <v>32</v>
      </c>
      <c r="J184" s="12">
        <v>190</v>
      </c>
      <c r="K184" s="12">
        <v>90000</v>
      </c>
      <c r="M184" s="1" t="s">
        <v>30</v>
      </c>
    </row>
    <row r="185" spans="1:13">
      <c r="A185" s="1">
        <v>6000018</v>
      </c>
      <c r="B185" s="1">
        <v>6</v>
      </c>
      <c r="C185" s="3">
        <v>55</v>
      </c>
      <c r="D185" s="1">
        <v>6000017</v>
      </c>
      <c r="E185" s="1">
        <v>6000019</v>
      </c>
      <c r="F185" s="1" t="str">
        <f t="shared" si="8"/>
        <v>10000_1001_200,10000_1002_95000</v>
      </c>
      <c r="G185" s="1" t="s">
        <v>84</v>
      </c>
      <c r="H185" s="1" t="s">
        <v>32</v>
      </c>
      <c r="J185" s="12">
        <v>200</v>
      </c>
      <c r="K185" s="12">
        <v>95000</v>
      </c>
      <c r="M185" s="1" t="s">
        <v>30</v>
      </c>
    </row>
    <row r="186" spans="1:13">
      <c r="A186" s="1">
        <v>6000019</v>
      </c>
      <c r="B186" s="1">
        <v>6</v>
      </c>
      <c r="C186" s="3">
        <v>58</v>
      </c>
      <c r="D186" s="1">
        <v>6000018</v>
      </c>
      <c r="E186" s="1">
        <v>6000020</v>
      </c>
      <c r="F186" s="1" t="str">
        <f t="shared" si="8"/>
        <v>10000_1001_210,10000_1002_100000</v>
      </c>
      <c r="G186" s="1" t="s">
        <v>85</v>
      </c>
      <c r="H186" s="1" t="s">
        <v>32</v>
      </c>
      <c r="J186" s="12">
        <v>210</v>
      </c>
      <c r="K186" s="12">
        <v>100000</v>
      </c>
      <c r="M186" s="1" t="s">
        <v>30</v>
      </c>
    </row>
    <row r="187" spans="1:13">
      <c r="A187" s="1">
        <v>6000020</v>
      </c>
      <c r="B187" s="1">
        <v>6</v>
      </c>
      <c r="C187" s="3">
        <v>61</v>
      </c>
      <c r="D187" s="1">
        <v>6000019</v>
      </c>
      <c r="E187" s="1">
        <v>6000021</v>
      </c>
      <c r="F187" s="1" t="str">
        <f t="shared" si="8"/>
        <v>10000_1001_220,10000_1002_105000</v>
      </c>
      <c r="G187" s="1" t="s">
        <v>86</v>
      </c>
      <c r="H187" s="1" t="s">
        <v>32</v>
      </c>
      <c r="J187" s="12">
        <v>220</v>
      </c>
      <c r="K187" s="12">
        <v>105000</v>
      </c>
      <c r="M187" s="1" t="s">
        <v>30</v>
      </c>
    </row>
    <row r="188" spans="1:13">
      <c r="A188" s="1">
        <v>6000021</v>
      </c>
      <c r="B188" s="1">
        <v>6</v>
      </c>
      <c r="C188" s="3">
        <v>64</v>
      </c>
      <c r="D188" s="1">
        <v>6000020</v>
      </c>
      <c r="E188" s="1">
        <v>6000022</v>
      </c>
      <c r="F188" s="1" t="str">
        <f t="shared" si="8"/>
        <v>10000_1001_230,10000_1002_110000</v>
      </c>
      <c r="G188" s="1" t="s">
        <v>87</v>
      </c>
      <c r="H188" s="1" t="s">
        <v>32</v>
      </c>
      <c r="J188" s="12">
        <v>230</v>
      </c>
      <c r="K188" s="12">
        <v>110000</v>
      </c>
      <c r="M188" s="1" t="s">
        <v>30</v>
      </c>
    </row>
    <row r="189" spans="1:13">
      <c r="A189" s="1">
        <v>6000022</v>
      </c>
      <c r="B189" s="1">
        <v>6</v>
      </c>
      <c r="C189" s="3">
        <v>67</v>
      </c>
      <c r="D189" s="1">
        <v>6000021</v>
      </c>
      <c r="E189" s="1">
        <v>6000023</v>
      </c>
      <c r="F189" s="1" t="str">
        <f t="shared" si="8"/>
        <v>10000_1001_240,10000_1002_115000</v>
      </c>
      <c r="G189" s="1" t="s">
        <v>88</v>
      </c>
      <c r="H189" s="1" t="s">
        <v>32</v>
      </c>
      <c r="J189" s="12">
        <v>240</v>
      </c>
      <c r="K189" s="12">
        <v>115000</v>
      </c>
      <c r="M189" s="1" t="s">
        <v>30</v>
      </c>
    </row>
    <row r="190" spans="1:13">
      <c r="A190" s="1">
        <v>6000023</v>
      </c>
      <c r="B190" s="1">
        <v>6</v>
      </c>
      <c r="C190" s="3">
        <v>70</v>
      </c>
      <c r="D190" s="1">
        <v>6000022</v>
      </c>
      <c r="E190" s="1">
        <v>-1</v>
      </c>
      <c r="F190" s="1" t="str">
        <f t="shared" si="8"/>
        <v>10000_1001_250,10000_1002_120000</v>
      </c>
      <c r="G190" s="1" t="s">
        <v>89</v>
      </c>
      <c r="H190" s="1" t="s">
        <v>32</v>
      </c>
      <c r="J190" s="12">
        <v>250</v>
      </c>
      <c r="K190" s="12">
        <v>120000</v>
      </c>
      <c r="M190" s="1" t="s">
        <v>30</v>
      </c>
    </row>
    <row r="191" spans="1:13">
      <c r="A191" s="1">
        <v>7000001</v>
      </c>
      <c r="B191" s="1">
        <v>3</v>
      </c>
      <c r="C191" s="1">
        <v>1</v>
      </c>
      <c r="D191" s="1">
        <v>0</v>
      </c>
      <c r="E191" s="1">
        <v>0</v>
      </c>
      <c r="F191" s="1" t="str">
        <f t="shared" ref="F191" si="9">"10000_1001_"&amp;J191</f>
        <v>10000_1001_3000</v>
      </c>
      <c r="G191" s="1" t="s">
        <v>369</v>
      </c>
      <c r="H191" s="1" t="s">
        <v>32</v>
      </c>
      <c r="J191" s="13">
        <v>3000</v>
      </c>
      <c r="M191" s="1" t="s">
        <v>29</v>
      </c>
    </row>
    <row r="192" spans="1:13">
      <c r="C192" s="3"/>
    </row>
    <row r="193" spans="3:3">
      <c r="C193" s="3"/>
    </row>
    <row r="194" spans="3:3">
      <c r="C194" s="3"/>
    </row>
    <row r="195" spans="3:3">
      <c r="C195" s="3"/>
    </row>
    <row r="196" spans="3:3">
      <c r="C196" s="3"/>
    </row>
    <row r="197" spans="3:3">
      <c r="C197" s="3"/>
    </row>
    <row r="198" spans="3:3">
      <c r="C198" s="3"/>
    </row>
    <row r="199" spans="3:3">
      <c r="C199" s="3"/>
    </row>
    <row r="200" spans="3:3">
      <c r="C200" s="3"/>
    </row>
    <row r="201" spans="3:3">
      <c r="C201" s="3"/>
    </row>
    <row r="202" spans="3:3">
      <c r="C202" s="3"/>
    </row>
    <row r="203" spans="3:3">
      <c r="C203" s="3"/>
    </row>
    <row r="204" spans="3:3">
      <c r="C204" s="3"/>
    </row>
    <row r="205" spans="3:3">
      <c r="C205" s="3"/>
    </row>
    <row r="206" spans="3:3">
      <c r="C206" s="3"/>
    </row>
    <row r="207" spans="3:3">
      <c r="C207" s="3"/>
    </row>
    <row r="208" spans="3:3">
      <c r="C208" s="3"/>
    </row>
    <row r="209" spans="3:3">
      <c r="C209" s="3"/>
    </row>
    <row r="210" spans="3:3">
      <c r="C210" s="3"/>
    </row>
    <row r="211" spans="3:3">
      <c r="C211" s="3"/>
    </row>
    <row r="212" spans="3:3">
      <c r="C212" s="3"/>
    </row>
    <row r="213" spans="3:3">
      <c r="C213" s="3"/>
    </row>
    <row r="214" spans="3:3">
      <c r="C214" s="3"/>
    </row>
    <row r="215" spans="3:3">
      <c r="C215" s="3"/>
    </row>
    <row r="216" spans="3:3">
      <c r="C216" s="3"/>
    </row>
    <row r="217" spans="3:3">
      <c r="C217" s="3"/>
    </row>
    <row r="218" spans="3:3">
      <c r="C218" s="3"/>
    </row>
    <row r="219" spans="3:3">
      <c r="C219" s="3"/>
    </row>
    <row r="220" spans="3:3">
      <c r="C220" s="3"/>
    </row>
    <row r="221" spans="3:3">
      <c r="C221" s="3"/>
    </row>
    <row r="222" spans="3:3">
      <c r="C222" s="3"/>
    </row>
    <row r="223" spans="3:3">
      <c r="C223" s="3"/>
    </row>
    <row r="224" spans="3:3">
      <c r="C224" s="3"/>
    </row>
    <row r="225" spans="3:3">
      <c r="C225" s="3"/>
    </row>
    <row r="226" spans="3:3">
      <c r="C226" s="3"/>
    </row>
    <row r="227" spans="3:3">
      <c r="C227" s="3"/>
    </row>
    <row r="228" spans="3:3">
      <c r="C228" s="3"/>
    </row>
    <row r="229" spans="3:3">
      <c r="C229" s="3"/>
    </row>
    <row r="230" spans="3:3">
      <c r="C230" s="3"/>
    </row>
    <row r="231" spans="3:3">
      <c r="C231" s="3"/>
    </row>
    <row r="232" spans="3:3">
      <c r="C232" s="3"/>
    </row>
    <row r="233" spans="3:3">
      <c r="C233" s="3"/>
    </row>
    <row r="234" spans="3:3">
      <c r="C234" s="3"/>
    </row>
    <row r="235" spans="3:3">
      <c r="C235" s="3"/>
    </row>
    <row r="236" spans="3:3">
      <c r="C236" s="3"/>
    </row>
    <row r="237" spans="3:3">
      <c r="C237" s="3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91"/>
  <sheetViews>
    <sheetView topLeftCell="A149" workbookViewId="0">
      <selection sqref="A1:F191"/>
    </sheetView>
  </sheetViews>
  <sheetFormatPr defaultRowHeight="13.5"/>
  <cols>
    <col min="1" max="1" width="9" style="1"/>
    <col min="2" max="2" width="20.75" style="1" customWidth="1"/>
    <col min="3" max="3" width="9" style="1"/>
    <col min="4" max="4" width="63" style="1" customWidth="1"/>
    <col min="5" max="5" width="17" style="1" customWidth="1"/>
    <col min="6" max="6" width="53.875" customWidth="1"/>
  </cols>
  <sheetData>
    <row r="1" spans="1:6">
      <c r="A1" s="2" t="s">
        <v>0</v>
      </c>
      <c r="B1" s="2" t="s">
        <v>26</v>
      </c>
      <c r="C1" s="2" t="s">
        <v>3</v>
      </c>
      <c r="D1" s="2" t="s">
        <v>16</v>
      </c>
      <c r="E1" s="2" t="s">
        <v>31</v>
      </c>
      <c r="F1" s="2" t="s">
        <v>1</v>
      </c>
    </row>
    <row r="2" spans="1:6">
      <c r="A2" s="1">
        <v>1000001</v>
      </c>
      <c r="B2" s="1" t="s">
        <v>330</v>
      </c>
      <c r="C2" s="1">
        <v>1</v>
      </c>
      <c r="D2" s="1" t="s">
        <v>217</v>
      </c>
      <c r="E2" s="1" t="s">
        <v>353</v>
      </c>
      <c r="F2" s="1" t="s">
        <v>4</v>
      </c>
    </row>
    <row r="3" spans="1:6">
      <c r="A3" s="1">
        <v>1000002</v>
      </c>
      <c r="B3" s="1" t="s">
        <v>330</v>
      </c>
      <c r="C3" s="1">
        <v>1</v>
      </c>
      <c r="D3" s="1" t="s">
        <v>218</v>
      </c>
      <c r="E3" s="1" t="s">
        <v>353</v>
      </c>
      <c r="F3" s="1" t="s">
        <v>4</v>
      </c>
    </row>
    <row r="4" spans="1:6">
      <c r="A4" s="1">
        <v>1000003</v>
      </c>
      <c r="B4" s="1" t="s">
        <v>330</v>
      </c>
      <c r="C4" s="1">
        <v>1</v>
      </c>
      <c r="D4" s="1" t="s">
        <v>219</v>
      </c>
      <c r="E4" s="1" t="s">
        <v>349</v>
      </c>
      <c r="F4" s="1" t="s">
        <v>4</v>
      </c>
    </row>
    <row r="5" spans="1:6">
      <c r="A5" s="1">
        <v>1000004</v>
      </c>
      <c r="B5" s="1" t="s">
        <v>330</v>
      </c>
      <c r="C5" s="1">
        <v>1</v>
      </c>
      <c r="D5" s="1" t="s">
        <v>220</v>
      </c>
      <c r="E5" s="1" t="s">
        <v>349</v>
      </c>
      <c r="F5" s="1" t="s">
        <v>4</v>
      </c>
    </row>
    <row r="6" spans="1:6">
      <c r="A6" s="1">
        <v>1000005</v>
      </c>
      <c r="B6" s="1" t="s">
        <v>330</v>
      </c>
      <c r="C6" s="1">
        <v>1</v>
      </c>
      <c r="D6" s="1" t="s">
        <v>221</v>
      </c>
      <c r="E6" s="1" t="s">
        <v>349</v>
      </c>
      <c r="F6" s="1" t="s">
        <v>4</v>
      </c>
    </row>
    <row r="7" spans="1:6">
      <c r="A7" s="1">
        <v>2000001</v>
      </c>
      <c r="B7" s="1" t="s">
        <v>331</v>
      </c>
      <c r="C7" s="1">
        <v>2</v>
      </c>
      <c r="D7" s="1" t="s">
        <v>222</v>
      </c>
      <c r="E7" s="1" t="s">
        <v>349</v>
      </c>
      <c r="F7" s="1" t="s">
        <v>34</v>
      </c>
    </row>
    <row r="8" spans="1:6">
      <c r="A8" s="1">
        <v>2000002</v>
      </c>
      <c r="B8" s="1" t="s">
        <v>332</v>
      </c>
      <c r="C8" s="1">
        <v>2</v>
      </c>
      <c r="D8" s="1" t="s">
        <v>217</v>
      </c>
      <c r="E8" s="1" t="s">
        <v>349</v>
      </c>
      <c r="F8" s="1" t="s">
        <v>35</v>
      </c>
    </row>
    <row r="9" spans="1:6">
      <c r="A9" s="1">
        <v>2000003</v>
      </c>
      <c r="B9" s="1" t="s">
        <v>333</v>
      </c>
      <c r="C9" s="1">
        <v>2</v>
      </c>
      <c r="D9" s="1" t="s">
        <v>223</v>
      </c>
      <c r="E9" s="1" t="s">
        <v>349</v>
      </c>
      <c r="F9" s="1" t="s">
        <v>36</v>
      </c>
    </row>
    <row r="10" spans="1:6">
      <c r="A10" s="1">
        <v>2000004</v>
      </c>
      <c r="B10" s="1" t="s">
        <v>334</v>
      </c>
      <c r="C10" s="1">
        <v>2</v>
      </c>
      <c r="D10" s="1" t="s">
        <v>224</v>
      </c>
      <c r="E10" s="1" t="s">
        <v>349</v>
      </c>
      <c r="F10" s="1" t="s">
        <v>37</v>
      </c>
    </row>
    <row r="11" spans="1:6">
      <c r="A11" s="1">
        <v>2000005</v>
      </c>
      <c r="B11" s="1" t="s">
        <v>335</v>
      </c>
      <c r="C11" s="1">
        <v>2</v>
      </c>
      <c r="D11" s="1" t="s">
        <v>225</v>
      </c>
      <c r="E11" s="1" t="s">
        <v>349</v>
      </c>
      <c r="F11" s="1" t="s">
        <v>38</v>
      </c>
    </row>
    <row r="12" spans="1:6">
      <c r="A12" s="1">
        <v>2000006</v>
      </c>
      <c r="B12" s="1" t="s">
        <v>336</v>
      </c>
      <c r="C12" s="1">
        <v>2</v>
      </c>
      <c r="D12" s="1" t="s">
        <v>226</v>
      </c>
      <c r="E12" s="1" t="s">
        <v>349</v>
      </c>
      <c r="F12" s="1" t="s">
        <v>39</v>
      </c>
    </row>
    <row r="13" spans="1:6">
      <c r="A13" s="1">
        <v>3000001</v>
      </c>
      <c r="B13" s="1" t="s">
        <v>337</v>
      </c>
      <c r="C13" s="1">
        <v>3</v>
      </c>
      <c r="D13" s="1" t="s">
        <v>227</v>
      </c>
      <c r="E13" s="1" t="s">
        <v>348</v>
      </c>
      <c r="F13" s="1" t="s">
        <v>40</v>
      </c>
    </row>
    <row r="14" spans="1:6">
      <c r="A14" s="1">
        <v>3000002</v>
      </c>
      <c r="B14" s="1" t="s">
        <v>338</v>
      </c>
      <c r="C14" s="1">
        <v>3</v>
      </c>
      <c r="D14" s="1" t="s">
        <v>228</v>
      </c>
      <c r="E14" s="1" t="s">
        <v>348</v>
      </c>
      <c r="F14" s="1" t="s">
        <v>41</v>
      </c>
    </row>
    <row r="15" spans="1:6">
      <c r="A15" s="1">
        <v>3000003</v>
      </c>
      <c r="B15" s="1" t="s">
        <v>42</v>
      </c>
      <c r="C15" s="1">
        <v>3</v>
      </c>
      <c r="D15" s="1" t="s">
        <v>368</v>
      </c>
      <c r="E15" s="1" t="s">
        <v>348</v>
      </c>
      <c r="F15" s="1" t="s">
        <v>42</v>
      </c>
    </row>
    <row r="16" spans="1:6">
      <c r="A16" s="1">
        <v>3000004</v>
      </c>
      <c r="B16" s="1" t="s">
        <v>43</v>
      </c>
      <c r="C16" s="1">
        <v>3</v>
      </c>
      <c r="D16" s="1" t="s">
        <v>227</v>
      </c>
      <c r="E16" s="1" t="s">
        <v>347</v>
      </c>
      <c r="F16" s="1" t="s">
        <v>43</v>
      </c>
    </row>
    <row r="17" spans="1:6">
      <c r="A17" s="1">
        <v>3000005</v>
      </c>
      <c r="B17" s="1" t="s">
        <v>44</v>
      </c>
      <c r="C17" s="1">
        <v>3</v>
      </c>
      <c r="D17" s="1" t="s">
        <v>229</v>
      </c>
      <c r="E17" s="1" t="s">
        <v>347</v>
      </c>
      <c r="F17" s="1" t="s">
        <v>44</v>
      </c>
    </row>
    <row r="18" spans="1:6">
      <c r="A18" s="1">
        <v>3000006</v>
      </c>
      <c r="B18" s="1" t="s">
        <v>45</v>
      </c>
      <c r="C18" s="1">
        <v>3</v>
      </c>
      <c r="D18" s="1" t="s">
        <v>230</v>
      </c>
      <c r="E18" s="1" t="s">
        <v>347</v>
      </c>
      <c r="F18" s="1" t="s">
        <v>45</v>
      </c>
    </row>
    <row r="19" spans="1:6">
      <c r="A19" s="1">
        <v>3000007</v>
      </c>
      <c r="B19" s="1" t="s">
        <v>46</v>
      </c>
      <c r="C19" s="1">
        <v>3</v>
      </c>
      <c r="D19" s="1" t="s">
        <v>371</v>
      </c>
      <c r="E19" s="1" t="s">
        <v>347</v>
      </c>
      <c r="F19" s="1" t="s">
        <v>46</v>
      </c>
    </row>
    <row r="20" spans="1:6">
      <c r="A20" s="1">
        <v>3000008</v>
      </c>
      <c r="B20" s="1" t="s">
        <v>47</v>
      </c>
      <c r="C20" s="1">
        <v>3</v>
      </c>
      <c r="D20" s="1" t="s">
        <v>229</v>
      </c>
      <c r="E20" s="1" t="s">
        <v>347</v>
      </c>
      <c r="F20" s="1" t="s">
        <v>47</v>
      </c>
    </row>
    <row r="21" spans="1:6">
      <c r="A21" s="1">
        <v>3000009</v>
      </c>
      <c r="B21" s="1" t="s">
        <v>48</v>
      </c>
      <c r="C21" s="1">
        <v>3</v>
      </c>
      <c r="D21" s="1" t="s">
        <v>230</v>
      </c>
      <c r="E21" s="1" t="s">
        <v>347</v>
      </c>
      <c r="F21" s="1" t="s">
        <v>48</v>
      </c>
    </row>
    <row r="22" spans="1:6">
      <c r="A22" s="1">
        <v>3000010</v>
      </c>
      <c r="B22" s="1" t="s">
        <v>49</v>
      </c>
      <c r="C22" s="1">
        <v>3</v>
      </c>
      <c r="D22" s="1" t="s">
        <v>230</v>
      </c>
      <c r="E22" s="1" t="s">
        <v>347</v>
      </c>
      <c r="F22" s="1" t="s">
        <v>49</v>
      </c>
    </row>
    <row r="23" spans="1:6">
      <c r="A23" s="1">
        <v>3000011</v>
      </c>
      <c r="B23" s="1" t="s">
        <v>50</v>
      </c>
      <c r="C23" s="1">
        <v>3</v>
      </c>
      <c r="D23" s="1" t="s">
        <v>231</v>
      </c>
      <c r="E23" s="1" t="s">
        <v>347</v>
      </c>
      <c r="F23" s="1" t="s">
        <v>50</v>
      </c>
    </row>
    <row r="24" spans="1:6">
      <c r="A24" s="1">
        <v>3000012</v>
      </c>
      <c r="B24" s="1" t="s">
        <v>51</v>
      </c>
      <c r="C24" s="1">
        <v>3</v>
      </c>
      <c r="D24" s="1" t="s">
        <v>217</v>
      </c>
      <c r="E24" s="1" t="s">
        <v>347</v>
      </c>
      <c r="F24" s="1" t="s">
        <v>51</v>
      </c>
    </row>
    <row r="25" spans="1:6">
      <c r="A25" s="1">
        <v>3000013</v>
      </c>
      <c r="B25" s="1" t="s">
        <v>52</v>
      </c>
      <c r="C25" s="1">
        <v>3</v>
      </c>
      <c r="D25" s="1" t="s">
        <v>217</v>
      </c>
      <c r="E25" s="1" t="s">
        <v>347</v>
      </c>
      <c r="F25" s="1" t="s">
        <v>52</v>
      </c>
    </row>
    <row r="26" spans="1:6">
      <c r="A26" s="1">
        <v>3000014</v>
      </c>
      <c r="B26" s="1" t="s">
        <v>53</v>
      </c>
      <c r="C26" s="1">
        <v>3</v>
      </c>
      <c r="D26" s="1" t="s">
        <v>232</v>
      </c>
      <c r="E26" s="1" t="s">
        <v>347</v>
      </c>
      <c r="F26" s="1" t="s">
        <v>53</v>
      </c>
    </row>
    <row r="27" spans="1:6">
      <c r="A27" s="1">
        <v>3000015</v>
      </c>
      <c r="B27" s="1" t="s">
        <v>125</v>
      </c>
      <c r="C27" s="1">
        <v>3</v>
      </c>
      <c r="D27" s="1" t="s">
        <v>233</v>
      </c>
      <c r="E27" s="1" t="s">
        <v>347</v>
      </c>
      <c r="F27" s="1" t="s">
        <v>125</v>
      </c>
    </row>
    <row r="28" spans="1:6">
      <c r="A28" s="1">
        <v>3000016</v>
      </c>
      <c r="B28" s="1" t="s">
        <v>126</v>
      </c>
      <c r="C28" s="1">
        <v>3</v>
      </c>
      <c r="D28" s="1" t="s">
        <v>233</v>
      </c>
      <c r="E28" s="1" t="s">
        <v>347</v>
      </c>
      <c r="F28" s="1" t="s">
        <v>126</v>
      </c>
    </row>
    <row r="29" spans="1:6">
      <c r="A29" s="1">
        <v>3000017</v>
      </c>
      <c r="B29" s="1" t="s">
        <v>127</v>
      </c>
      <c r="C29" s="1">
        <v>3</v>
      </c>
      <c r="D29" s="1" t="s">
        <v>232</v>
      </c>
      <c r="E29" s="1" t="s">
        <v>347</v>
      </c>
      <c r="F29" s="1" t="s">
        <v>127</v>
      </c>
    </row>
    <row r="30" spans="1:6">
      <c r="A30" s="1">
        <v>3000018</v>
      </c>
      <c r="B30" s="1" t="s">
        <v>128</v>
      </c>
      <c r="C30" s="1">
        <v>3</v>
      </c>
      <c r="D30" s="1" t="s">
        <v>233</v>
      </c>
      <c r="E30" s="1" t="s">
        <v>347</v>
      </c>
      <c r="F30" s="1" t="s">
        <v>128</v>
      </c>
    </row>
    <row r="31" spans="1:6">
      <c r="A31" s="1">
        <v>3000019</v>
      </c>
      <c r="B31" s="1" t="s">
        <v>129</v>
      </c>
      <c r="C31" s="1">
        <v>3</v>
      </c>
      <c r="D31" s="1" t="s">
        <v>233</v>
      </c>
      <c r="E31" s="1" t="s">
        <v>347</v>
      </c>
      <c r="F31" s="1" t="s">
        <v>129</v>
      </c>
    </row>
    <row r="32" spans="1:6">
      <c r="A32" s="1">
        <v>3000020</v>
      </c>
      <c r="B32" s="1" t="s">
        <v>130</v>
      </c>
      <c r="C32" s="1">
        <v>3</v>
      </c>
      <c r="D32" s="1" t="s">
        <v>234</v>
      </c>
      <c r="E32" s="1" t="s">
        <v>347</v>
      </c>
      <c r="F32" s="1" t="s">
        <v>130</v>
      </c>
    </row>
    <row r="33" spans="1:6">
      <c r="A33" s="1">
        <v>3000021</v>
      </c>
      <c r="B33" s="1" t="s">
        <v>131</v>
      </c>
      <c r="C33" s="1">
        <v>3</v>
      </c>
      <c r="D33" s="1" t="s">
        <v>235</v>
      </c>
      <c r="E33" s="1" t="s">
        <v>347</v>
      </c>
      <c r="F33" s="1" t="s">
        <v>131</v>
      </c>
    </row>
    <row r="34" spans="1:6">
      <c r="A34" s="1">
        <v>3000022</v>
      </c>
      <c r="B34" s="1" t="s">
        <v>132</v>
      </c>
      <c r="C34" s="1">
        <v>3</v>
      </c>
      <c r="D34" s="1" t="s">
        <v>235</v>
      </c>
      <c r="E34" s="1" t="s">
        <v>347</v>
      </c>
      <c r="F34" s="1" t="s">
        <v>132</v>
      </c>
    </row>
    <row r="35" spans="1:6">
      <c r="A35" s="1">
        <v>3000023</v>
      </c>
      <c r="B35" s="1" t="s">
        <v>133</v>
      </c>
      <c r="C35" s="1">
        <v>3</v>
      </c>
      <c r="D35" s="1" t="s">
        <v>234</v>
      </c>
      <c r="E35" s="1" t="s">
        <v>347</v>
      </c>
      <c r="F35" s="1" t="s">
        <v>133</v>
      </c>
    </row>
    <row r="36" spans="1:6">
      <c r="A36" s="1">
        <v>3000024</v>
      </c>
      <c r="B36" s="1" t="s">
        <v>134</v>
      </c>
      <c r="C36" s="1">
        <v>3</v>
      </c>
      <c r="D36" s="1" t="s">
        <v>236</v>
      </c>
      <c r="E36" s="1" t="s">
        <v>347</v>
      </c>
      <c r="F36" s="1" t="s">
        <v>134</v>
      </c>
    </row>
    <row r="37" spans="1:6">
      <c r="A37" s="1">
        <v>3000025</v>
      </c>
      <c r="B37" s="1" t="s">
        <v>135</v>
      </c>
      <c r="C37" s="1">
        <v>3</v>
      </c>
      <c r="D37" s="1" t="s">
        <v>236</v>
      </c>
      <c r="E37" s="1" t="s">
        <v>347</v>
      </c>
      <c r="F37" s="1" t="s">
        <v>135</v>
      </c>
    </row>
    <row r="38" spans="1:6">
      <c r="A38" s="1">
        <v>3000026</v>
      </c>
      <c r="B38" s="1" t="s">
        <v>136</v>
      </c>
      <c r="C38" s="1">
        <v>3</v>
      </c>
      <c r="D38" s="1" t="s">
        <v>237</v>
      </c>
      <c r="E38" s="1" t="s">
        <v>347</v>
      </c>
      <c r="F38" s="1" t="s">
        <v>136</v>
      </c>
    </row>
    <row r="39" spans="1:6">
      <c r="A39" s="1">
        <v>3000027</v>
      </c>
      <c r="B39" s="1" t="s">
        <v>137</v>
      </c>
      <c r="C39" s="1">
        <v>3</v>
      </c>
      <c r="D39" s="1" t="s">
        <v>236</v>
      </c>
      <c r="E39" s="1" t="s">
        <v>347</v>
      </c>
      <c r="F39" s="1" t="s">
        <v>137</v>
      </c>
    </row>
    <row r="40" spans="1:6">
      <c r="A40" s="1">
        <v>3000028</v>
      </c>
      <c r="B40" s="1" t="s">
        <v>138</v>
      </c>
      <c r="C40" s="1">
        <v>3</v>
      </c>
      <c r="D40" s="1" t="s">
        <v>236</v>
      </c>
      <c r="E40" s="1" t="s">
        <v>347</v>
      </c>
      <c r="F40" s="1" t="s">
        <v>138</v>
      </c>
    </row>
    <row r="41" spans="1:6">
      <c r="A41" s="1">
        <v>3000029</v>
      </c>
      <c r="B41" s="1" t="s">
        <v>139</v>
      </c>
      <c r="C41" s="1">
        <v>3</v>
      </c>
      <c r="D41" s="1" t="s">
        <v>237</v>
      </c>
      <c r="E41" s="1" t="s">
        <v>347</v>
      </c>
      <c r="F41" s="1" t="s">
        <v>139</v>
      </c>
    </row>
    <row r="42" spans="1:6">
      <c r="A42" s="1">
        <v>3000030</v>
      </c>
      <c r="B42" s="1" t="s">
        <v>140</v>
      </c>
      <c r="C42" s="1">
        <v>3</v>
      </c>
      <c r="D42" s="1" t="s">
        <v>223</v>
      </c>
      <c r="E42" s="1" t="s">
        <v>347</v>
      </c>
      <c r="F42" s="1" t="s">
        <v>140</v>
      </c>
    </row>
    <row r="43" spans="1:6">
      <c r="A43" s="1">
        <v>3000031</v>
      </c>
      <c r="B43" s="1" t="s">
        <v>141</v>
      </c>
      <c r="C43" s="1">
        <v>3</v>
      </c>
      <c r="D43" s="1" t="s">
        <v>223</v>
      </c>
      <c r="E43" s="1" t="s">
        <v>347</v>
      </c>
      <c r="F43" s="1" t="s">
        <v>141</v>
      </c>
    </row>
    <row r="44" spans="1:6">
      <c r="A44" s="1">
        <v>3000032</v>
      </c>
      <c r="B44" s="1" t="s">
        <v>142</v>
      </c>
      <c r="C44" s="1">
        <v>3</v>
      </c>
      <c r="D44" s="1" t="s">
        <v>218</v>
      </c>
      <c r="E44" s="1" t="s">
        <v>347</v>
      </c>
      <c r="F44" s="1" t="s">
        <v>142</v>
      </c>
    </row>
    <row r="45" spans="1:6">
      <c r="A45" s="1">
        <v>3000033</v>
      </c>
      <c r="B45" s="1" t="s">
        <v>143</v>
      </c>
      <c r="C45" s="1">
        <v>3</v>
      </c>
      <c r="D45" s="1" t="s">
        <v>223</v>
      </c>
      <c r="E45" s="1" t="s">
        <v>347</v>
      </c>
      <c r="F45" s="1" t="s">
        <v>143</v>
      </c>
    </row>
    <row r="46" spans="1:6">
      <c r="A46" s="1">
        <v>3000034</v>
      </c>
      <c r="B46" s="1" t="s">
        <v>144</v>
      </c>
      <c r="C46" s="1">
        <v>3</v>
      </c>
      <c r="D46" s="1" t="s">
        <v>223</v>
      </c>
      <c r="E46" s="1" t="s">
        <v>347</v>
      </c>
      <c r="F46" s="1" t="s">
        <v>144</v>
      </c>
    </row>
    <row r="47" spans="1:6">
      <c r="A47" s="1">
        <v>3000035</v>
      </c>
      <c r="B47" s="1" t="s">
        <v>145</v>
      </c>
      <c r="C47" s="1">
        <v>3</v>
      </c>
      <c r="D47" s="1" t="s">
        <v>218</v>
      </c>
      <c r="E47" s="1" t="s">
        <v>347</v>
      </c>
      <c r="F47" s="1" t="s">
        <v>145</v>
      </c>
    </row>
    <row r="48" spans="1:6">
      <c r="A48" s="1">
        <v>3000036</v>
      </c>
      <c r="B48" s="1" t="s">
        <v>146</v>
      </c>
      <c r="C48" s="1">
        <v>3</v>
      </c>
      <c r="D48" s="1" t="s">
        <v>238</v>
      </c>
      <c r="E48" s="1" t="s">
        <v>347</v>
      </c>
      <c r="F48" s="1" t="s">
        <v>146</v>
      </c>
    </row>
    <row r="49" spans="1:6">
      <c r="A49" s="1">
        <v>3000037</v>
      </c>
      <c r="B49" s="1" t="s">
        <v>147</v>
      </c>
      <c r="C49" s="1">
        <v>3</v>
      </c>
      <c r="D49" s="1" t="s">
        <v>238</v>
      </c>
      <c r="E49" s="1" t="s">
        <v>347</v>
      </c>
      <c r="F49" s="1" t="s">
        <v>147</v>
      </c>
    </row>
    <row r="50" spans="1:6">
      <c r="A50" s="1">
        <v>3000038</v>
      </c>
      <c r="B50" s="1" t="s">
        <v>148</v>
      </c>
      <c r="C50" s="1">
        <v>3</v>
      </c>
      <c r="D50" s="1" t="s">
        <v>239</v>
      </c>
      <c r="E50" s="1" t="s">
        <v>347</v>
      </c>
      <c r="F50" s="1" t="s">
        <v>148</v>
      </c>
    </row>
    <row r="51" spans="1:6">
      <c r="A51" s="1">
        <v>3000039</v>
      </c>
      <c r="B51" s="1" t="s">
        <v>149</v>
      </c>
      <c r="C51" s="1">
        <v>3</v>
      </c>
      <c r="D51" s="1" t="s">
        <v>238</v>
      </c>
      <c r="E51" s="1" t="s">
        <v>347</v>
      </c>
      <c r="F51" s="1" t="s">
        <v>149</v>
      </c>
    </row>
    <row r="52" spans="1:6">
      <c r="A52" s="1">
        <v>3000040</v>
      </c>
      <c r="B52" s="1" t="s">
        <v>150</v>
      </c>
      <c r="C52" s="1">
        <v>3</v>
      </c>
      <c r="D52" s="1" t="s">
        <v>238</v>
      </c>
      <c r="E52" s="1" t="s">
        <v>347</v>
      </c>
      <c r="F52" s="1" t="s">
        <v>150</v>
      </c>
    </row>
    <row r="53" spans="1:6">
      <c r="A53" s="1">
        <v>3000041</v>
      </c>
      <c r="B53" s="1" t="s">
        <v>151</v>
      </c>
      <c r="C53" s="1">
        <v>3</v>
      </c>
      <c r="D53" s="1" t="s">
        <v>239</v>
      </c>
      <c r="E53" s="1" t="s">
        <v>347</v>
      </c>
      <c r="F53" s="1" t="s">
        <v>151</v>
      </c>
    </row>
    <row r="54" spans="1:6">
      <c r="A54" s="1">
        <v>3000042</v>
      </c>
      <c r="B54" s="1" t="s">
        <v>152</v>
      </c>
      <c r="C54" s="1">
        <v>3</v>
      </c>
      <c r="D54" s="1" t="s">
        <v>240</v>
      </c>
      <c r="E54" s="1" t="s">
        <v>347</v>
      </c>
      <c r="F54" s="1" t="s">
        <v>152</v>
      </c>
    </row>
    <row r="55" spans="1:6">
      <c r="A55" s="1">
        <v>3000043</v>
      </c>
      <c r="B55" s="1" t="s">
        <v>153</v>
      </c>
      <c r="C55" s="1">
        <v>3</v>
      </c>
      <c r="D55" s="1" t="s">
        <v>240</v>
      </c>
      <c r="E55" s="1" t="s">
        <v>347</v>
      </c>
      <c r="F55" s="1" t="s">
        <v>153</v>
      </c>
    </row>
    <row r="56" spans="1:6">
      <c r="A56" s="1">
        <v>3000044</v>
      </c>
      <c r="B56" s="1" t="s">
        <v>154</v>
      </c>
      <c r="C56" s="1">
        <v>3</v>
      </c>
      <c r="D56" s="1" t="s">
        <v>241</v>
      </c>
      <c r="E56" s="1" t="s">
        <v>347</v>
      </c>
      <c r="F56" s="1" t="s">
        <v>154</v>
      </c>
    </row>
    <row r="57" spans="1:6">
      <c r="A57" s="1">
        <v>3000045</v>
      </c>
      <c r="B57" s="1" t="s">
        <v>155</v>
      </c>
      <c r="C57" s="1">
        <v>3</v>
      </c>
      <c r="D57" s="1" t="s">
        <v>240</v>
      </c>
      <c r="E57" s="1" t="s">
        <v>347</v>
      </c>
      <c r="F57" s="1" t="s">
        <v>155</v>
      </c>
    </row>
    <row r="58" spans="1:6">
      <c r="A58" s="1">
        <v>3000046</v>
      </c>
      <c r="B58" s="1" t="s">
        <v>156</v>
      </c>
      <c r="C58" s="1">
        <v>3</v>
      </c>
      <c r="D58" s="1" t="s">
        <v>240</v>
      </c>
      <c r="E58" s="1" t="s">
        <v>347</v>
      </c>
      <c r="F58" s="1" t="s">
        <v>156</v>
      </c>
    </row>
    <row r="59" spans="1:6">
      <c r="A59" s="1">
        <v>3000047</v>
      </c>
      <c r="B59" s="1" t="s">
        <v>157</v>
      </c>
      <c r="C59" s="1">
        <v>3</v>
      </c>
      <c r="D59" s="1" t="s">
        <v>241</v>
      </c>
      <c r="E59" s="1" t="s">
        <v>347</v>
      </c>
      <c r="F59" s="1" t="s">
        <v>157</v>
      </c>
    </row>
    <row r="60" spans="1:6">
      <c r="A60" s="1">
        <v>3000048</v>
      </c>
      <c r="B60" s="1" t="s">
        <v>158</v>
      </c>
      <c r="C60" s="1">
        <v>3</v>
      </c>
      <c r="D60" s="1" t="s">
        <v>242</v>
      </c>
      <c r="E60" s="1" t="s">
        <v>347</v>
      </c>
      <c r="F60" s="1" t="s">
        <v>158</v>
      </c>
    </row>
    <row r="61" spans="1:6">
      <c r="A61" s="1">
        <v>3000049</v>
      </c>
      <c r="B61" s="1" t="s">
        <v>159</v>
      </c>
      <c r="C61" s="1">
        <v>3</v>
      </c>
      <c r="D61" s="1" t="s">
        <v>242</v>
      </c>
      <c r="E61" s="1" t="s">
        <v>347</v>
      </c>
      <c r="F61" s="1" t="s">
        <v>159</v>
      </c>
    </row>
    <row r="62" spans="1:6">
      <c r="A62" s="1">
        <v>3000050</v>
      </c>
      <c r="B62" s="1" t="s">
        <v>160</v>
      </c>
      <c r="C62" s="1">
        <v>3</v>
      </c>
      <c r="D62" s="1" t="s">
        <v>243</v>
      </c>
      <c r="E62" s="1" t="s">
        <v>347</v>
      </c>
      <c r="F62" s="1" t="s">
        <v>160</v>
      </c>
    </row>
    <row r="63" spans="1:6">
      <c r="A63" s="1">
        <v>3000051</v>
      </c>
      <c r="B63" s="1" t="s">
        <v>161</v>
      </c>
      <c r="C63" s="1">
        <v>3</v>
      </c>
      <c r="D63" s="1" t="s">
        <v>242</v>
      </c>
      <c r="E63" s="1" t="s">
        <v>347</v>
      </c>
      <c r="F63" s="1" t="s">
        <v>161</v>
      </c>
    </row>
    <row r="64" spans="1:6">
      <c r="A64" s="1">
        <v>3000052</v>
      </c>
      <c r="B64" s="1" t="s">
        <v>162</v>
      </c>
      <c r="C64" s="1">
        <v>3</v>
      </c>
      <c r="D64" s="1" t="s">
        <v>242</v>
      </c>
      <c r="E64" s="1" t="s">
        <v>347</v>
      </c>
      <c r="F64" s="1" t="s">
        <v>162</v>
      </c>
    </row>
    <row r="65" spans="1:6">
      <c r="A65" s="1">
        <v>3000053</v>
      </c>
      <c r="B65" s="1" t="s">
        <v>163</v>
      </c>
      <c r="C65" s="1">
        <v>3</v>
      </c>
      <c r="D65" s="1" t="s">
        <v>243</v>
      </c>
      <c r="E65" s="1" t="s">
        <v>347</v>
      </c>
      <c r="F65" s="1" t="s">
        <v>163</v>
      </c>
    </row>
    <row r="66" spans="1:6">
      <c r="A66" s="1">
        <v>3000054</v>
      </c>
      <c r="B66" s="1" t="s">
        <v>164</v>
      </c>
      <c r="C66" s="1">
        <v>3</v>
      </c>
      <c r="D66" s="1" t="s">
        <v>244</v>
      </c>
      <c r="E66" s="1" t="s">
        <v>347</v>
      </c>
      <c r="F66" s="1" t="s">
        <v>164</v>
      </c>
    </row>
    <row r="67" spans="1:6">
      <c r="A67" s="1">
        <v>3000055</v>
      </c>
      <c r="B67" s="1" t="s">
        <v>165</v>
      </c>
      <c r="C67" s="1">
        <v>3</v>
      </c>
      <c r="D67" s="1" t="s">
        <v>244</v>
      </c>
      <c r="E67" s="1" t="s">
        <v>347</v>
      </c>
      <c r="F67" s="1" t="s">
        <v>165</v>
      </c>
    </row>
    <row r="68" spans="1:6">
      <c r="A68" s="1">
        <v>3000056</v>
      </c>
      <c r="B68" s="1" t="s">
        <v>166</v>
      </c>
      <c r="C68" s="1">
        <v>3</v>
      </c>
      <c r="D68" s="1" t="s">
        <v>245</v>
      </c>
      <c r="E68" s="1" t="s">
        <v>347</v>
      </c>
      <c r="F68" s="1" t="s">
        <v>166</v>
      </c>
    </row>
    <row r="69" spans="1:6">
      <c r="A69" s="1">
        <v>3000057</v>
      </c>
      <c r="B69" s="1" t="s">
        <v>167</v>
      </c>
      <c r="C69" s="1">
        <v>3</v>
      </c>
      <c r="D69" s="1" t="s">
        <v>244</v>
      </c>
      <c r="E69" s="1" t="s">
        <v>347</v>
      </c>
      <c r="F69" s="1" t="s">
        <v>167</v>
      </c>
    </row>
    <row r="70" spans="1:6">
      <c r="A70" s="1">
        <v>3000058</v>
      </c>
      <c r="B70" s="1" t="s">
        <v>168</v>
      </c>
      <c r="C70" s="1">
        <v>3</v>
      </c>
      <c r="D70" s="1" t="s">
        <v>244</v>
      </c>
      <c r="E70" s="1" t="s">
        <v>347</v>
      </c>
      <c r="F70" s="1" t="s">
        <v>168</v>
      </c>
    </row>
    <row r="71" spans="1:6">
      <c r="A71" s="1">
        <v>3000059</v>
      </c>
      <c r="B71" s="1" t="s">
        <v>169</v>
      </c>
      <c r="C71" s="1">
        <v>3</v>
      </c>
      <c r="D71" s="1" t="s">
        <v>245</v>
      </c>
      <c r="E71" s="1" t="s">
        <v>347</v>
      </c>
      <c r="F71" s="1" t="s">
        <v>169</v>
      </c>
    </row>
    <row r="72" spans="1:6">
      <c r="A72" s="1">
        <v>3000060</v>
      </c>
      <c r="B72" s="1" t="s">
        <v>170</v>
      </c>
      <c r="C72" s="1">
        <v>3</v>
      </c>
      <c r="D72" s="1" t="s">
        <v>246</v>
      </c>
      <c r="E72" s="1" t="s">
        <v>347</v>
      </c>
      <c r="F72" s="1" t="s">
        <v>170</v>
      </c>
    </row>
    <row r="73" spans="1:6">
      <c r="A73" s="1">
        <v>4000001</v>
      </c>
      <c r="B73" s="1" t="s">
        <v>339</v>
      </c>
      <c r="C73" s="1">
        <v>4</v>
      </c>
      <c r="D73" s="1" t="s">
        <v>344</v>
      </c>
      <c r="E73" s="1" t="s">
        <v>350</v>
      </c>
      <c r="F73" s="1" t="s">
        <v>54</v>
      </c>
    </row>
    <row r="74" spans="1:6">
      <c r="A74" s="1">
        <v>4000002</v>
      </c>
      <c r="B74" s="1" t="s">
        <v>340</v>
      </c>
      <c r="C74" s="1">
        <v>4</v>
      </c>
      <c r="D74" s="1" t="s">
        <v>346</v>
      </c>
      <c r="E74" s="1" t="s">
        <v>350</v>
      </c>
      <c r="F74" s="1" t="s">
        <v>55</v>
      </c>
    </row>
    <row r="75" spans="1:6">
      <c r="A75" s="1">
        <v>4000003</v>
      </c>
      <c r="B75" s="1" t="s">
        <v>56</v>
      </c>
      <c r="C75" s="1">
        <v>4</v>
      </c>
      <c r="D75" s="1" t="s">
        <v>345</v>
      </c>
      <c r="E75" s="1" t="s">
        <v>350</v>
      </c>
      <c r="F75" s="1" t="s">
        <v>56</v>
      </c>
    </row>
    <row r="76" spans="1:6">
      <c r="A76" s="1">
        <v>4000004</v>
      </c>
      <c r="B76" s="1" t="s">
        <v>57</v>
      </c>
      <c r="C76" s="1">
        <v>4</v>
      </c>
      <c r="D76" s="1" t="s">
        <v>247</v>
      </c>
      <c r="E76" s="1" t="s">
        <v>349</v>
      </c>
      <c r="F76" s="1" t="s">
        <v>57</v>
      </c>
    </row>
    <row r="77" spans="1:6">
      <c r="A77" s="1">
        <v>4000005</v>
      </c>
      <c r="B77" s="1" t="s">
        <v>58</v>
      </c>
      <c r="C77" s="1">
        <v>4</v>
      </c>
      <c r="D77" s="1" t="s">
        <v>248</v>
      </c>
      <c r="E77" s="1" t="s">
        <v>349</v>
      </c>
      <c r="F77" s="1" t="s">
        <v>58</v>
      </c>
    </row>
    <row r="78" spans="1:6">
      <c r="A78" s="1">
        <v>4000006</v>
      </c>
      <c r="B78" s="1" t="s">
        <v>59</v>
      </c>
      <c r="C78" s="1">
        <v>4</v>
      </c>
      <c r="D78" s="1" t="s">
        <v>358</v>
      </c>
      <c r="E78" s="1" t="s">
        <v>349</v>
      </c>
      <c r="F78" s="1" t="s">
        <v>59</v>
      </c>
    </row>
    <row r="79" spans="1:6">
      <c r="A79" s="1">
        <v>4000007</v>
      </c>
      <c r="B79" s="1" t="s">
        <v>60</v>
      </c>
      <c r="C79" s="1">
        <v>4</v>
      </c>
      <c r="D79" s="1" t="s">
        <v>249</v>
      </c>
      <c r="E79" s="1" t="s">
        <v>349</v>
      </c>
      <c r="F79" s="1" t="s">
        <v>60</v>
      </c>
    </row>
    <row r="80" spans="1:6">
      <c r="A80" s="1">
        <v>4000008</v>
      </c>
      <c r="B80" s="1" t="s">
        <v>61</v>
      </c>
      <c r="C80" s="1">
        <v>4</v>
      </c>
      <c r="D80" s="1" t="s">
        <v>250</v>
      </c>
      <c r="E80" s="1" t="s">
        <v>349</v>
      </c>
      <c r="F80" s="1" t="s">
        <v>61</v>
      </c>
    </row>
    <row r="81" spans="1:6">
      <c r="A81" s="1">
        <v>4000009</v>
      </c>
      <c r="B81" s="1" t="s">
        <v>62</v>
      </c>
      <c r="C81" s="1">
        <v>4</v>
      </c>
      <c r="D81" s="1" t="s">
        <v>251</v>
      </c>
      <c r="E81" s="1" t="s">
        <v>349</v>
      </c>
      <c r="F81" s="1" t="s">
        <v>62</v>
      </c>
    </row>
    <row r="82" spans="1:6">
      <c r="A82" s="1">
        <v>4000010</v>
      </c>
      <c r="B82" s="1" t="s">
        <v>63</v>
      </c>
      <c r="C82" s="1">
        <v>4</v>
      </c>
      <c r="D82" s="1" t="s">
        <v>252</v>
      </c>
      <c r="E82" s="1" t="s">
        <v>349</v>
      </c>
      <c r="F82" s="1" t="s">
        <v>63</v>
      </c>
    </row>
    <row r="83" spans="1:6">
      <c r="A83" s="1">
        <v>4000011</v>
      </c>
      <c r="B83" s="1" t="s">
        <v>64</v>
      </c>
      <c r="C83" s="1">
        <v>4</v>
      </c>
      <c r="D83" s="1" t="s">
        <v>253</v>
      </c>
      <c r="E83" s="1" t="s">
        <v>349</v>
      </c>
      <c r="F83" s="1" t="s">
        <v>64</v>
      </c>
    </row>
    <row r="84" spans="1:6">
      <c r="A84" s="1">
        <v>4000012</v>
      </c>
      <c r="B84" s="1" t="s">
        <v>65</v>
      </c>
      <c r="C84" s="1">
        <v>4</v>
      </c>
      <c r="D84" s="1" t="s">
        <v>254</v>
      </c>
      <c r="E84" s="1" t="s">
        <v>349</v>
      </c>
      <c r="F84" s="1" t="s">
        <v>65</v>
      </c>
    </row>
    <row r="85" spans="1:6">
      <c r="A85" s="1">
        <v>4000013</v>
      </c>
      <c r="B85" s="1" t="s">
        <v>66</v>
      </c>
      <c r="C85" s="1">
        <v>4</v>
      </c>
      <c r="D85" s="1" t="s">
        <v>255</v>
      </c>
      <c r="E85" s="1" t="s">
        <v>349</v>
      </c>
      <c r="F85" s="1" t="s">
        <v>66</v>
      </c>
    </row>
    <row r="86" spans="1:6">
      <c r="A86" s="1">
        <v>4000014</v>
      </c>
      <c r="B86" s="1" t="s">
        <v>67</v>
      </c>
      <c r="C86" s="1">
        <v>4</v>
      </c>
      <c r="D86" s="1" t="s">
        <v>256</v>
      </c>
      <c r="E86" s="1" t="s">
        <v>349</v>
      </c>
      <c r="F86" s="1" t="s">
        <v>67</v>
      </c>
    </row>
    <row r="87" spans="1:6">
      <c r="A87" s="1">
        <v>4000015</v>
      </c>
      <c r="B87" s="1" t="s">
        <v>171</v>
      </c>
      <c r="C87" s="1">
        <v>4</v>
      </c>
      <c r="D87" s="1" t="s">
        <v>256</v>
      </c>
      <c r="E87" s="1" t="s">
        <v>349</v>
      </c>
      <c r="F87" s="1" t="s">
        <v>171</v>
      </c>
    </row>
    <row r="88" spans="1:6">
      <c r="A88" s="1">
        <v>4000016</v>
      </c>
      <c r="B88" s="1" t="s">
        <v>172</v>
      </c>
      <c r="C88" s="1">
        <v>4</v>
      </c>
      <c r="D88" s="1" t="s">
        <v>257</v>
      </c>
      <c r="E88" s="1" t="s">
        <v>349</v>
      </c>
      <c r="F88" s="1" t="s">
        <v>172</v>
      </c>
    </row>
    <row r="89" spans="1:6">
      <c r="A89" s="1">
        <v>4000017</v>
      </c>
      <c r="B89" s="1" t="s">
        <v>173</v>
      </c>
      <c r="C89" s="1">
        <v>4</v>
      </c>
      <c r="D89" s="1" t="s">
        <v>257</v>
      </c>
      <c r="E89" s="1" t="s">
        <v>349</v>
      </c>
      <c r="F89" s="1" t="s">
        <v>173</v>
      </c>
    </row>
    <row r="90" spans="1:6">
      <c r="A90" s="1">
        <v>4000018</v>
      </c>
      <c r="B90" s="1" t="s">
        <v>174</v>
      </c>
      <c r="C90" s="1">
        <v>4</v>
      </c>
      <c r="D90" s="1" t="s">
        <v>258</v>
      </c>
      <c r="E90" s="1" t="s">
        <v>349</v>
      </c>
      <c r="F90" s="1" t="s">
        <v>174</v>
      </c>
    </row>
    <row r="91" spans="1:6">
      <c r="A91" s="1">
        <v>4000019</v>
      </c>
      <c r="B91" s="1" t="s">
        <v>175</v>
      </c>
      <c r="C91" s="1">
        <v>4</v>
      </c>
      <c r="D91" s="1" t="s">
        <v>259</v>
      </c>
      <c r="E91" s="1" t="s">
        <v>349</v>
      </c>
      <c r="F91" s="1" t="s">
        <v>175</v>
      </c>
    </row>
    <row r="92" spans="1:6">
      <c r="A92" s="1">
        <v>4000020</v>
      </c>
      <c r="B92" s="1" t="s">
        <v>176</v>
      </c>
      <c r="C92" s="1">
        <v>4</v>
      </c>
      <c r="D92" s="1" t="s">
        <v>260</v>
      </c>
      <c r="E92" s="1" t="s">
        <v>349</v>
      </c>
      <c r="F92" s="1" t="s">
        <v>176</v>
      </c>
    </row>
    <row r="93" spans="1:6">
      <c r="A93" s="1">
        <v>4000021</v>
      </c>
      <c r="B93" s="1" t="s">
        <v>177</v>
      </c>
      <c r="C93" s="1">
        <v>4</v>
      </c>
      <c r="D93" s="1" t="s">
        <v>260</v>
      </c>
      <c r="E93" s="1" t="s">
        <v>349</v>
      </c>
      <c r="F93" s="1" t="s">
        <v>177</v>
      </c>
    </row>
    <row r="94" spans="1:6">
      <c r="A94" s="1">
        <v>4000022</v>
      </c>
      <c r="B94" s="1" t="s">
        <v>178</v>
      </c>
      <c r="C94" s="1">
        <v>4</v>
      </c>
      <c r="D94" s="1" t="s">
        <v>261</v>
      </c>
      <c r="E94" s="1" t="s">
        <v>349</v>
      </c>
      <c r="F94" s="1" t="s">
        <v>178</v>
      </c>
    </row>
    <row r="95" spans="1:6">
      <c r="A95" s="1">
        <v>4000023</v>
      </c>
      <c r="B95" s="1" t="s">
        <v>179</v>
      </c>
      <c r="C95" s="1">
        <v>4</v>
      </c>
      <c r="D95" s="1" t="s">
        <v>262</v>
      </c>
      <c r="E95" s="1" t="s">
        <v>349</v>
      </c>
      <c r="F95" s="1" t="s">
        <v>179</v>
      </c>
    </row>
    <row r="96" spans="1:6">
      <c r="A96" s="1">
        <v>4000024</v>
      </c>
      <c r="B96" s="1" t="s">
        <v>180</v>
      </c>
      <c r="C96" s="1">
        <v>4</v>
      </c>
      <c r="D96" s="1" t="s">
        <v>263</v>
      </c>
      <c r="E96" s="1" t="s">
        <v>349</v>
      </c>
      <c r="F96" s="1" t="s">
        <v>180</v>
      </c>
    </row>
    <row r="97" spans="1:6">
      <c r="A97" s="1">
        <v>4000025</v>
      </c>
      <c r="B97" s="1" t="s">
        <v>181</v>
      </c>
      <c r="C97" s="1">
        <v>4</v>
      </c>
      <c r="D97" s="1" t="s">
        <v>264</v>
      </c>
      <c r="E97" s="1" t="s">
        <v>349</v>
      </c>
      <c r="F97" s="1" t="s">
        <v>181</v>
      </c>
    </row>
    <row r="98" spans="1:6">
      <c r="A98" s="1">
        <v>4000026</v>
      </c>
      <c r="B98" s="1" t="s">
        <v>182</v>
      </c>
      <c r="C98" s="1">
        <v>4</v>
      </c>
      <c r="D98" s="1" t="s">
        <v>265</v>
      </c>
      <c r="E98" s="1" t="s">
        <v>349</v>
      </c>
      <c r="F98" s="1" t="s">
        <v>182</v>
      </c>
    </row>
    <row r="99" spans="1:6">
      <c r="A99" s="1">
        <v>4000027</v>
      </c>
      <c r="B99" s="1" t="s">
        <v>183</v>
      </c>
      <c r="C99" s="1">
        <v>4</v>
      </c>
      <c r="D99" s="1" t="s">
        <v>265</v>
      </c>
      <c r="E99" s="1" t="s">
        <v>349</v>
      </c>
      <c r="F99" s="1" t="s">
        <v>183</v>
      </c>
    </row>
    <row r="100" spans="1:6">
      <c r="A100" s="1">
        <v>4000028</v>
      </c>
      <c r="B100" s="1" t="s">
        <v>184</v>
      </c>
      <c r="C100" s="1">
        <v>4</v>
      </c>
      <c r="D100" s="1" t="s">
        <v>266</v>
      </c>
      <c r="E100" s="1" t="s">
        <v>349</v>
      </c>
      <c r="F100" s="1" t="s">
        <v>184</v>
      </c>
    </row>
    <row r="101" spans="1:6">
      <c r="A101" s="1">
        <v>4000029</v>
      </c>
      <c r="B101" s="1" t="s">
        <v>185</v>
      </c>
      <c r="C101" s="1">
        <v>4</v>
      </c>
      <c r="D101" s="1" t="s">
        <v>267</v>
      </c>
      <c r="E101" s="1" t="s">
        <v>349</v>
      </c>
      <c r="F101" s="1" t="s">
        <v>185</v>
      </c>
    </row>
    <row r="102" spans="1:6">
      <c r="A102" s="1">
        <v>4000030</v>
      </c>
      <c r="B102" s="1" t="s">
        <v>186</v>
      </c>
      <c r="C102" s="1">
        <v>4</v>
      </c>
      <c r="D102" s="1" t="s">
        <v>268</v>
      </c>
      <c r="E102" s="1" t="s">
        <v>349</v>
      </c>
      <c r="F102" s="1" t="s">
        <v>186</v>
      </c>
    </row>
    <row r="103" spans="1:6">
      <c r="A103" s="1">
        <v>4000031</v>
      </c>
      <c r="B103" s="1" t="s">
        <v>187</v>
      </c>
      <c r="C103" s="1">
        <v>4</v>
      </c>
      <c r="D103" s="1" t="s">
        <v>268</v>
      </c>
      <c r="E103" s="1" t="s">
        <v>349</v>
      </c>
      <c r="F103" s="1" t="s">
        <v>187</v>
      </c>
    </row>
    <row r="104" spans="1:6">
      <c r="A104" s="1">
        <v>4000032</v>
      </c>
      <c r="B104" s="1" t="s">
        <v>188</v>
      </c>
      <c r="C104" s="1">
        <v>4</v>
      </c>
      <c r="D104" s="1" t="s">
        <v>268</v>
      </c>
      <c r="E104" s="1" t="s">
        <v>349</v>
      </c>
      <c r="F104" s="1" t="s">
        <v>188</v>
      </c>
    </row>
    <row r="105" spans="1:6">
      <c r="A105" s="1">
        <v>4000033</v>
      </c>
      <c r="B105" s="1" t="s">
        <v>189</v>
      </c>
      <c r="C105" s="1">
        <v>4</v>
      </c>
      <c r="D105" s="1" t="s">
        <v>268</v>
      </c>
      <c r="E105" s="1" t="s">
        <v>349</v>
      </c>
      <c r="F105" s="1" t="s">
        <v>189</v>
      </c>
    </row>
    <row r="106" spans="1:6">
      <c r="A106" s="1">
        <v>4000034</v>
      </c>
      <c r="B106" s="1" t="s">
        <v>190</v>
      </c>
      <c r="C106" s="1">
        <v>4</v>
      </c>
      <c r="D106" s="1" t="s">
        <v>268</v>
      </c>
      <c r="E106" s="1" t="s">
        <v>349</v>
      </c>
      <c r="F106" s="1" t="s">
        <v>190</v>
      </c>
    </row>
    <row r="107" spans="1:6">
      <c r="A107" s="1">
        <v>4000035</v>
      </c>
      <c r="B107" s="1" t="s">
        <v>191</v>
      </c>
      <c r="C107" s="1">
        <v>4</v>
      </c>
      <c r="D107" s="1" t="s">
        <v>268</v>
      </c>
      <c r="E107" s="1" t="s">
        <v>349</v>
      </c>
      <c r="F107" s="1" t="s">
        <v>191</v>
      </c>
    </row>
    <row r="108" spans="1:6">
      <c r="A108" s="1">
        <v>4000036</v>
      </c>
      <c r="B108" s="1" t="s">
        <v>192</v>
      </c>
      <c r="C108" s="1">
        <v>4</v>
      </c>
      <c r="D108" s="1" t="s">
        <v>266</v>
      </c>
      <c r="E108" s="1" t="s">
        <v>349</v>
      </c>
      <c r="F108" s="1" t="s">
        <v>192</v>
      </c>
    </row>
    <row r="109" spans="1:6">
      <c r="A109" s="1">
        <v>4000037</v>
      </c>
      <c r="B109" s="1" t="s">
        <v>193</v>
      </c>
      <c r="C109" s="1">
        <v>4</v>
      </c>
      <c r="D109" s="1" t="s">
        <v>266</v>
      </c>
      <c r="E109" s="1" t="s">
        <v>349</v>
      </c>
      <c r="F109" s="1" t="s">
        <v>193</v>
      </c>
    </row>
    <row r="110" spans="1:6">
      <c r="A110" s="1">
        <v>4000038</v>
      </c>
      <c r="B110" s="1" t="s">
        <v>194</v>
      </c>
      <c r="C110" s="1">
        <v>4</v>
      </c>
      <c r="D110" s="1" t="s">
        <v>266</v>
      </c>
      <c r="E110" s="1" t="s">
        <v>349</v>
      </c>
      <c r="F110" s="1" t="s">
        <v>194</v>
      </c>
    </row>
    <row r="111" spans="1:6">
      <c r="A111" s="1">
        <v>4000039</v>
      </c>
      <c r="B111" s="1" t="s">
        <v>195</v>
      </c>
      <c r="C111" s="1">
        <v>4</v>
      </c>
      <c r="D111" s="1" t="s">
        <v>266</v>
      </c>
      <c r="E111" s="1" t="s">
        <v>349</v>
      </c>
      <c r="F111" s="1" t="s">
        <v>195</v>
      </c>
    </row>
    <row r="112" spans="1:6">
      <c r="A112" s="1">
        <v>4000040</v>
      </c>
      <c r="B112" s="1" t="s">
        <v>196</v>
      </c>
      <c r="C112" s="1">
        <v>4</v>
      </c>
      <c r="D112" s="1" t="s">
        <v>266</v>
      </c>
      <c r="E112" s="1" t="s">
        <v>349</v>
      </c>
      <c r="F112" s="1" t="s">
        <v>196</v>
      </c>
    </row>
    <row r="113" spans="1:6">
      <c r="A113" s="1">
        <v>4000041</v>
      </c>
      <c r="B113" s="1" t="s">
        <v>197</v>
      </c>
      <c r="C113" s="1">
        <v>4</v>
      </c>
      <c r="D113" s="1" t="s">
        <v>266</v>
      </c>
      <c r="E113" s="1" t="s">
        <v>349</v>
      </c>
      <c r="F113" s="1" t="s">
        <v>197</v>
      </c>
    </row>
    <row r="114" spans="1:6">
      <c r="A114" s="1">
        <v>4000042</v>
      </c>
      <c r="B114" s="1" t="s">
        <v>198</v>
      </c>
      <c r="C114" s="1">
        <v>4</v>
      </c>
      <c r="D114" s="1" t="s">
        <v>266</v>
      </c>
      <c r="E114" s="1" t="s">
        <v>349</v>
      </c>
      <c r="F114" s="1" t="s">
        <v>198</v>
      </c>
    </row>
    <row r="115" spans="1:6">
      <c r="A115" s="1">
        <v>4000043</v>
      </c>
      <c r="B115" s="1" t="s">
        <v>199</v>
      </c>
      <c r="C115" s="1">
        <v>4</v>
      </c>
      <c r="D115" s="1" t="s">
        <v>266</v>
      </c>
      <c r="E115" s="1" t="s">
        <v>349</v>
      </c>
      <c r="F115" s="1" t="s">
        <v>199</v>
      </c>
    </row>
    <row r="116" spans="1:6">
      <c r="A116" s="1">
        <v>4000044</v>
      </c>
      <c r="B116" s="1" t="s">
        <v>200</v>
      </c>
      <c r="C116" s="1">
        <v>4</v>
      </c>
      <c r="D116" s="1" t="s">
        <v>269</v>
      </c>
      <c r="E116" s="1" t="s">
        <v>349</v>
      </c>
      <c r="F116" s="1" t="s">
        <v>200</v>
      </c>
    </row>
    <row r="117" spans="1:6">
      <c r="A117" s="1">
        <v>4000045</v>
      </c>
      <c r="B117" s="1" t="s">
        <v>201</v>
      </c>
      <c r="C117" s="1">
        <v>4</v>
      </c>
      <c r="D117" s="1" t="s">
        <v>265</v>
      </c>
      <c r="E117" s="1" t="s">
        <v>349</v>
      </c>
      <c r="F117" s="1" t="s">
        <v>201</v>
      </c>
    </row>
    <row r="118" spans="1:6">
      <c r="A118" s="1">
        <v>4000046</v>
      </c>
      <c r="B118" s="1" t="s">
        <v>202</v>
      </c>
      <c r="C118" s="1">
        <v>4</v>
      </c>
      <c r="D118" s="1" t="s">
        <v>265</v>
      </c>
      <c r="E118" s="1" t="s">
        <v>349</v>
      </c>
      <c r="F118" s="1" t="s">
        <v>202</v>
      </c>
    </row>
    <row r="119" spans="1:6">
      <c r="A119" s="1">
        <v>4000047</v>
      </c>
      <c r="B119" s="1" t="s">
        <v>203</v>
      </c>
      <c r="C119" s="1">
        <v>4</v>
      </c>
      <c r="D119" s="1" t="s">
        <v>265</v>
      </c>
      <c r="E119" s="1" t="s">
        <v>349</v>
      </c>
      <c r="F119" s="1" t="s">
        <v>203</v>
      </c>
    </row>
    <row r="120" spans="1:6">
      <c r="A120" s="1">
        <v>4000048</v>
      </c>
      <c r="B120" s="1" t="s">
        <v>204</v>
      </c>
      <c r="C120" s="1">
        <v>4</v>
      </c>
      <c r="D120" s="1" t="s">
        <v>265</v>
      </c>
      <c r="E120" s="1" t="s">
        <v>349</v>
      </c>
      <c r="F120" s="1" t="s">
        <v>204</v>
      </c>
    </row>
    <row r="121" spans="1:6">
      <c r="A121" s="1">
        <v>4000049</v>
      </c>
      <c r="B121" s="1" t="s">
        <v>205</v>
      </c>
      <c r="C121" s="1">
        <v>4</v>
      </c>
      <c r="D121" s="1" t="s">
        <v>270</v>
      </c>
      <c r="E121" s="1" t="s">
        <v>349</v>
      </c>
      <c r="F121" s="1" t="s">
        <v>205</v>
      </c>
    </row>
    <row r="122" spans="1:6">
      <c r="A122" s="1">
        <v>4000050</v>
      </c>
      <c r="B122" s="1" t="s">
        <v>206</v>
      </c>
      <c r="C122" s="1">
        <v>4</v>
      </c>
      <c r="D122" s="1" t="s">
        <v>270</v>
      </c>
      <c r="E122" s="1" t="s">
        <v>349</v>
      </c>
      <c r="F122" s="1" t="s">
        <v>206</v>
      </c>
    </row>
    <row r="123" spans="1:6">
      <c r="A123" s="1">
        <v>4000051</v>
      </c>
      <c r="B123" s="1" t="s">
        <v>207</v>
      </c>
      <c r="C123" s="1">
        <v>4</v>
      </c>
      <c r="D123" s="1" t="s">
        <v>270</v>
      </c>
      <c r="E123" s="1" t="s">
        <v>349</v>
      </c>
      <c r="F123" s="1" t="s">
        <v>207</v>
      </c>
    </row>
    <row r="124" spans="1:6">
      <c r="A124" s="1">
        <v>4000052</v>
      </c>
      <c r="B124" s="1" t="s">
        <v>208</v>
      </c>
      <c r="C124" s="1">
        <v>4</v>
      </c>
      <c r="D124" s="1" t="s">
        <v>270</v>
      </c>
      <c r="E124" s="1" t="s">
        <v>349</v>
      </c>
      <c r="F124" s="1" t="s">
        <v>208</v>
      </c>
    </row>
    <row r="125" spans="1:6">
      <c r="A125" s="1">
        <v>4000053</v>
      </c>
      <c r="B125" s="1" t="s">
        <v>209</v>
      </c>
      <c r="C125" s="1">
        <v>4</v>
      </c>
      <c r="D125" s="1" t="s">
        <v>270</v>
      </c>
      <c r="E125" s="1" t="s">
        <v>349</v>
      </c>
      <c r="F125" s="1" t="s">
        <v>209</v>
      </c>
    </row>
    <row r="126" spans="1:6">
      <c r="A126" s="1">
        <v>4000054</v>
      </c>
      <c r="B126" s="1" t="s">
        <v>210</v>
      </c>
      <c r="C126" s="1">
        <v>4</v>
      </c>
      <c r="D126" s="1" t="s">
        <v>270</v>
      </c>
      <c r="E126" s="1" t="s">
        <v>349</v>
      </c>
      <c r="F126" s="1" t="s">
        <v>210</v>
      </c>
    </row>
    <row r="127" spans="1:6">
      <c r="A127" s="1">
        <v>4000055</v>
      </c>
      <c r="B127" s="1" t="s">
        <v>211</v>
      </c>
      <c r="C127" s="1">
        <v>4</v>
      </c>
      <c r="D127" s="1" t="s">
        <v>271</v>
      </c>
      <c r="E127" s="1" t="s">
        <v>349</v>
      </c>
      <c r="F127" s="1" t="s">
        <v>211</v>
      </c>
    </row>
    <row r="128" spans="1:6">
      <c r="A128" s="1">
        <v>4000056</v>
      </c>
      <c r="B128" s="1" t="s">
        <v>212</v>
      </c>
      <c r="C128" s="1">
        <v>4</v>
      </c>
      <c r="D128" s="1" t="s">
        <v>271</v>
      </c>
      <c r="E128" s="1" t="s">
        <v>349</v>
      </c>
      <c r="F128" s="1" t="s">
        <v>212</v>
      </c>
    </row>
    <row r="129" spans="1:6">
      <c r="A129" s="1">
        <v>4000057</v>
      </c>
      <c r="B129" s="1" t="s">
        <v>213</v>
      </c>
      <c r="C129" s="1">
        <v>4</v>
      </c>
      <c r="D129" s="1" t="s">
        <v>271</v>
      </c>
      <c r="E129" s="1" t="s">
        <v>349</v>
      </c>
      <c r="F129" s="1" t="s">
        <v>213</v>
      </c>
    </row>
    <row r="130" spans="1:6">
      <c r="A130" s="1">
        <v>4000058</v>
      </c>
      <c r="B130" s="1" t="s">
        <v>214</v>
      </c>
      <c r="C130" s="1">
        <v>4</v>
      </c>
      <c r="D130" s="1" t="s">
        <v>271</v>
      </c>
      <c r="E130" s="1" t="s">
        <v>349</v>
      </c>
      <c r="F130" s="1" t="s">
        <v>214</v>
      </c>
    </row>
    <row r="131" spans="1:6">
      <c r="A131" s="1">
        <v>4000059</v>
      </c>
      <c r="B131" s="1" t="s">
        <v>215</v>
      </c>
      <c r="C131" s="1">
        <v>4</v>
      </c>
      <c r="D131" s="1" t="s">
        <v>271</v>
      </c>
      <c r="E131" s="1" t="s">
        <v>349</v>
      </c>
      <c r="F131" s="1" t="s">
        <v>215</v>
      </c>
    </row>
    <row r="132" spans="1:6">
      <c r="A132" s="1">
        <v>4000060</v>
      </c>
      <c r="B132" s="1" t="s">
        <v>216</v>
      </c>
      <c r="C132" s="1">
        <v>4</v>
      </c>
      <c r="D132" s="1" t="s">
        <v>271</v>
      </c>
      <c r="E132" s="1" t="s">
        <v>349</v>
      </c>
      <c r="F132" s="1" t="s">
        <v>216</v>
      </c>
    </row>
    <row r="133" spans="1:6">
      <c r="A133" s="1">
        <v>5000001</v>
      </c>
      <c r="B133" s="1" t="s">
        <v>295</v>
      </c>
      <c r="C133" s="1">
        <v>5</v>
      </c>
      <c r="D133" s="1" t="s">
        <v>354</v>
      </c>
      <c r="E133" s="1" t="s">
        <v>32</v>
      </c>
      <c r="F133" s="1" t="s">
        <v>295</v>
      </c>
    </row>
    <row r="134" spans="1:6">
      <c r="A134" s="1">
        <v>5000002</v>
      </c>
      <c r="B134" s="1" t="s">
        <v>296</v>
      </c>
      <c r="C134" s="1">
        <v>5</v>
      </c>
      <c r="D134" s="1" t="s">
        <v>354</v>
      </c>
      <c r="E134" s="1" t="s">
        <v>32</v>
      </c>
      <c r="F134" s="1" t="s">
        <v>296</v>
      </c>
    </row>
    <row r="135" spans="1:6">
      <c r="A135" s="1">
        <v>5000003</v>
      </c>
      <c r="B135" s="1" t="s">
        <v>297</v>
      </c>
      <c r="C135" s="1">
        <v>5</v>
      </c>
      <c r="D135" s="1" t="s">
        <v>354</v>
      </c>
      <c r="E135" s="1" t="s">
        <v>32</v>
      </c>
      <c r="F135" s="1" t="s">
        <v>297</v>
      </c>
    </row>
    <row r="136" spans="1:6">
      <c r="A136" s="1">
        <v>5000004</v>
      </c>
      <c r="B136" s="1" t="s">
        <v>298</v>
      </c>
      <c r="C136" s="1">
        <v>5</v>
      </c>
      <c r="D136" s="1" t="s">
        <v>354</v>
      </c>
      <c r="E136" s="1" t="s">
        <v>32</v>
      </c>
      <c r="F136" s="1" t="s">
        <v>298</v>
      </c>
    </row>
    <row r="137" spans="1:6">
      <c r="A137" s="1">
        <v>5000005</v>
      </c>
      <c r="B137" s="1" t="s">
        <v>299</v>
      </c>
      <c r="C137" s="1">
        <v>5</v>
      </c>
      <c r="D137" s="1" t="s">
        <v>355</v>
      </c>
      <c r="E137" s="1" t="s">
        <v>32</v>
      </c>
      <c r="F137" s="1" t="s">
        <v>299</v>
      </c>
    </row>
    <row r="138" spans="1:6">
      <c r="A138" s="1">
        <v>5000006</v>
      </c>
      <c r="B138" s="1" t="s">
        <v>300</v>
      </c>
      <c r="C138" s="1">
        <v>5</v>
      </c>
      <c r="D138" s="1" t="s">
        <v>355</v>
      </c>
      <c r="E138" s="1" t="s">
        <v>32</v>
      </c>
      <c r="F138" s="1" t="s">
        <v>300</v>
      </c>
    </row>
    <row r="139" spans="1:6">
      <c r="A139" s="1">
        <v>5000007</v>
      </c>
      <c r="B139" s="1" t="s">
        <v>301</v>
      </c>
      <c r="C139" s="1">
        <v>5</v>
      </c>
      <c r="D139" s="1" t="s">
        <v>355</v>
      </c>
      <c r="E139" s="1" t="s">
        <v>32</v>
      </c>
      <c r="F139" s="1" t="s">
        <v>301</v>
      </c>
    </row>
    <row r="140" spans="1:6">
      <c r="A140" s="1">
        <v>5000008</v>
      </c>
      <c r="B140" s="1" t="s">
        <v>302</v>
      </c>
      <c r="C140" s="1">
        <v>5</v>
      </c>
      <c r="D140" s="1" t="s">
        <v>355</v>
      </c>
      <c r="E140" s="1" t="s">
        <v>32</v>
      </c>
      <c r="F140" s="1" t="s">
        <v>302</v>
      </c>
    </row>
    <row r="141" spans="1:6">
      <c r="A141" s="1">
        <v>5000009</v>
      </c>
      <c r="B141" s="1" t="s">
        <v>303</v>
      </c>
      <c r="C141" s="1">
        <v>5</v>
      </c>
      <c r="D141" s="1" t="s">
        <v>356</v>
      </c>
      <c r="E141" s="1" t="s">
        <v>32</v>
      </c>
      <c r="F141" s="1" t="s">
        <v>303</v>
      </c>
    </row>
    <row r="142" spans="1:6">
      <c r="A142" s="1">
        <v>5000010</v>
      </c>
      <c r="B142" s="1" t="s">
        <v>304</v>
      </c>
      <c r="C142" s="1">
        <v>5</v>
      </c>
      <c r="D142" s="1" t="s">
        <v>356</v>
      </c>
      <c r="E142" s="1" t="s">
        <v>32</v>
      </c>
      <c r="F142" s="1" t="s">
        <v>304</v>
      </c>
    </row>
    <row r="143" spans="1:6">
      <c r="A143" s="1">
        <v>5000011</v>
      </c>
      <c r="B143" s="1" t="s">
        <v>305</v>
      </c>
      <c r="C143" s="1">
        <v>5</v>
      </c>
      <c r="D143" s="1" t="s">
        <v>356</v>
      </c>
      <c r="E143" s="1" t="s">
        <v>32</v>
      </c>
      <c r="F143" s="1" t="s">
        <v>305</v>
      </c>
    </row>
    <row r="144" spans="1:6">
      <c r="A144" s="1">
        <v>5000012</v>
      </c>
      <c r="B144" s="1" t="s">
        <v>306</v>
      </c>
      <c r="C144" s="1">
        <v>5</v>
      </c>
      <c r="D144" s="1" t="s">
        <v>356</v>
      </c>
      <c r="E144" s="1" t="s">
        <v>32</v>
      </c>
      <c r="F144" s="1" t="s">
        <v>306</v>
      </c>
    </row>
    <row r="145" spans="1:6">
      <c r="A145" s="1">
        <v>5000013</v>
      </c>
      <c r="B145" s="1" t="s">
        <v>307</v>
      </c>
      <c r="C145" s="1">
        <v>5</v>
      </c>
      <c r="D145" s="1" t="s">
        <v>357</v>
      </c>
      <c r="E145" s="1" t="s">
        <v>32</v>
      </c>
      <c r="F145" s="1" t="s">
        <v>307</v>
      </c>
    </row>
    <row r="146" spans="1:6">
      <c r="A146" s="1">
        <v>5000014</v>
      </c>
      <c r="B146" s="1" t="s">
        <v>308</v>
      </c>
      <c r="C146" s="1">
        <v>5</v>
      </c>
      <c r="D146" s="1" t="s">
        <v>357</v>
      </c>
      <c r="E146" s="1" t="s">
        <v>32</v>
      </c>
      <c r="F146" s="1" t="s">
        <v>308</v>
      </c>
    </row>
    <row r="147" spans="1:6">
      <c r="A147" s="1">
        <v>5000015</v>
      </c>
      <c r="B147" s="1" t="s">
        <v>309</v>
      </c>
      <c r="C147" s="1">
        <v>5</v>
      </c>
      <c r="D147" s="1" t="s">
        <v>357</v>
      </c>
      <c r="E147" s="1" t="s">
        <v>32</v>
      </c>
      <c r="F147" s="1" t="s">
        <v>309</v>
      </c>
    </row>
    <row r="148" spans="1:6">
      <c r="A148" s="1">
        <v>5000016</v>
      </c>
      <c r="B148" s="1" t="s">
        <v>310</v>
      </c>
      <c r="C148" s="1">
        <v>5</v>
      </c>
      <c r="D148" s="1" t="s">
        <v>357</v>
      </c>
      <c r="E148" s="1" t="s">
        <v>32</v>
      </c>
      <c r="F148" s="1" t="s">
        <v>310</v>
      </c>
    </row>
    <row r="149" spans="1:6">
      <c r="A149" s="1">
        <v>5000017</v>
      </c>
      <c r="B149" s="1" t="s">
        <v>311</v>
      </c>
      <c r="C149" s="1">
        <v>5</v>
      </c>
      <c r="D149" s="1" t="s">
        <v>359</v>
      </c>
      <c r="E149" s="1" t="s">
        <v>32</v>
      </c>
      <c r="F149" s="1" t="s">
        <v>311</v>
      </c>
    </row>
    <row r="150" spans="1:6">
      <c r="A150" s="1">
        <v>5000018</v>
      </c>
      <c r="B150" s="1" t="s">
        <v>312</v>
      </c>
      <c r="C150" s="1">
        <v>5</v>
      </c>
      <c r="D150" s="1" t="s">
        <v>359</v>
      </c>
      <c r="E150" s="1" t="s">
        <v>32</v>
      </c>
      <c r="F150" s="1" t="s">
        <v>312</v>
      </c>
    </row>
    <row r="151" spans="1:6">
      <c r="A151" s="1">
        <v>5000019</v>
      </c>
      <c r="B151" s="1" t="s">
        <v>313</v>
      </c>
      <c r="C151" s="1">
        <v>5</v>
      </c>
      <c r="D151" s="1" t="s">
        <v>359</v>
      </c>
      <c r="E151" s="1" t="s">
        <v>32</v>
      </c>
      <c r="F151" s="1" t="s">
        <v>313</v>
      </c>
    </row>
    <row r="152" spans="1:6">
      <c r="A152" s="1">
        <v>5000020</v>
      </c>
      <c r="B152" s="1" t="s">
        <v>314</v>
      </c>
      <c r="C152" s="1">
        <v>5</v>
      </c>
      <c r="D152" s="1" t="s">
        <v>359</v>
      </c>
      <c r="E152" s="1" t="s">
        <v>32</v>
      </c>
      <c r="F152" s="1" t="s">
        <v>314</v>
      </c>
    </row>
    <row r="153" spans="1:6">
      <c r="A153" s="1">
        <v>5000021</v>
      </c>
      <c r="B153" s="1" t="s">
        <v>315</v>
      </c>
      <c r="C153" s="1">
        <v>5</v>
      </c>
      <c r="D153" s="1" t="s">
        <v>360</v>
      </c>
      <c r="E153" s="1" t="s">
        <v>32</v>
      </c>
      <c r="F153" s="1" t="s">
        <v>315</v>
      </c>
    </row>
    <row r="154" spans="1:6">
      <c r="A154" s="1">
        <v>5000022</v>
      </c>
      <c r="B154" s="1" t="s">
        <v>316</v>
      </c>
      <c r="C154" s="1">
        <v>5</v>
      </c>
      <c r="D154" s="1" t="s">
        <v>360</v>
      </c>
      <c r="E154" s="1" t="s">
        <v>32</v>
      </c>
      <c r="F154" s="1" t="s">
        <v>316</v>
      </c>
    </row>
    <row r="155" spans="1:6">
      <c r="A155" s="1">
        <v>5000023</v>
      </c>
      <c r="B155" s="1" t="s">
        <v>317</v>
      </c>
      <c r="C155" s="1">
        <v>5</v>
      </c>
      <c r="D155" s="1" t="s">
        <v>361</v>
      </c>
      <c r="E155" s="1" t="s">
        <v>32</v>
      </c>
      <c r="F155" s="1" t="s">
        <v>317</v>
      </c>
    </row>
    <row r="156" spans="1:6">
      <c r="A156" s="1">
        <v>5000024</v>
      </c>
      <c r="B156" s="1" t="s">
        <v>318</v>
      </c>
      <c r="C156" s="1">
        <v>5</v>
      </c>
      <c r="D156" s="1" t="s">
        <v>361</v>
      </c>
      <c r="E156" s="1" t="s">
        <v>32</v>
      </c>
      <c r="F156" s="1" t="s">
        <v>318</v>
      </c>
    </row>
    <row r="157" spans="1:6">
      <c r="A157" s="1">
        <v>5000025</v>
      </c>
      <c r="B157" s="1" t="s">
        <v>319</v>
      </c>
      <c r="C157" s="1">
        <v>5</v>
      </c>
      <c r="D157" s="1" t="s">
        <v>362</v>
      </c>
      <c r="E157" s="1" t="s">
        <v>32</v>
      </c>
      <c r="F157" s="1" t="s">
        <v>319</v>
      </c>
    </row>
    <row r="158" spans="1:6">
      <c r="A158" s="1">
        <v>5000026</v>
      </c>
      <c r="B158" s="1" t="s">
        <v>320</v>
      </c>
      <c r="C158" s="1">
        <v>5</v>
      </c>
      <c r="D158" s="1" t="s">
        <v>362</v>
      </c>
      <c r="E158" s="1" t="s">
        <v>32</v>
      </c>
      <c r="F158" s="1" t="s">
        <v>320</v>
      </c>
    </row>
    <row r="159" spans="1:6">
      <c r="A159" s="1">
        <v>5000027</v>
      </c>
      <c r="B159" s="1" t="s">
        <v>321</v>
      </c>
      <c r="C159" s="1">
        <v>5</v>
      </c>
      <c r="D159" s="1" t="s">
        <v>363</v>
      </c>
      <c r="E159" s="1" t="s">
        <v>32</v>
      </c>
      <c r="F159" s="1" t="s">
        <v>321</v>
      </c>
    </row>
    <row r="160" spans="1:6">
      <c r="A160" s="1">
        <v>5000028</v>
      </c>
      <c r="B160" s="1" t="s">
        <v>322</v>
      </c>
      <c r="C160" s="1">
        <v>5</v>
      </c>
      <c r="D160" s="1" t="s">
        <v>363</v>
      </c>
      <c r="E160" s="1" t="s">
        <v>32</v>
      </c>
      <c r="F160" s="1" t="s">
        <v>322</v>
      </c>
    </row>
    <row r="161" spans="1:6">
      <c r="A161" s="1">
        <v>5000029</v>
      </c>
      <c r="B161" s="1" t="s">
        <v>323</v>
      </c>
      <c r="C161" s="1">
        <v>5</v>
      </c>
      <c r="D161" s="1" t="s">
        <v>364</v>
      </c>
      <c r="E161" s="1" t="s">
        <v>32</v>
      </c>
      <c r="F161" s="1" t="s">
        <v>323</v>
      </c>
    </row>
    <row r="162" spans="1:6">
      <c r="A162" s="1">
        <v>5000030</v>
      </c>
      <c r="B162" s="1" t="s">
        <v>324</v>
      </c>
      <c r="C162" s="1">
        <v>5</v>
      </c>
      <c r="D162" s="1" t="s">
        <v>364</v>
      </c>
      <c r="E162" s="1" t="s">
        <v>32</v>
      </c>
      <c r="F162" s="1" t="s">
        <v>324</v>
      </c>
    </row>
    <row r="163" spans="1:6">
      <c r="A163" s="1">
        <v>5000031</v>
      </c>
      <c r="B163" s="1" t="s">
        <v>325</v>
      </c>
      <c r="C163" s="1">
        <v>5</v>
      </c>
      <c r="D163" s="1" t="s">
        <v>365</v>
      </c>
      <c r="E163" s="1" t="s">
        <v>32</v>
      </c>
      <c r="F163" s="1" t="s">
        <v>325</v>
      </c>
    </row>
    <row r="164" spans="1:6">
      <c r="A164" s="1">
        <v>5000032</v>
      </c>
      <c r="B164" s="1" t="s">
        <v>326</v>
      </c>
      <c r="C164" s="1">
        <v>5</v>
      </c>
      <c r="D164" s="1" t="s">
        <v>365</v>
      </c>
      <c r="E164" s="1" t="s">
        <v>32</v>
      </c>
      <c r="F164" s="1" t="s">
        <v>326</v>
      </c>
    </row>
    <row r="165" spans="1:6">
      <c r="A165" s="1">
        <v>5000033</v>
      </c>
      <c r="B165" s="1" t="s">
        <v>327</v>
      </c>
      <c r="C165" s="1">
        <v>5</v>
      </c>
      <c r="D165" s="1" t="s">
        <v>366</v>
      </c>
      <c r="E165" s="1" t="s">
        <v>32</v>
      </c>
      <c r="F165" s="1" t="s">
        <v>327</v>
      </c>
    </row>
    <row r="166" spans="1:6">
      <c r="A166" s="1">
        <v>5000034</v>
      </c>
      <c r="B166" s="1" t="s">
        <v>328</v>
      </c>
      <c r="C166" s="1">
        <v>5</v>
      </c>
      <c r="D166" s="1" t="s">
        <v>366</v>
      </c>
      <c r="E166" s="1" t="s">
        <v>32</v>
      </c>
      <c r="F166" s="1" t="s">
        <v>328</v>
      </c>
    </row>
    <row r="167" spans="1:6">
      <c r="A167" s="1">
        <v>5000035</v>
      </c>
      <c r="B167" s="1" t="s">
        <v>329</v>
      </c>
      <c r="C167" s="1">
        <v>5</v>
      </c>
      <c r="D167" s="1" t="s">
        <v>367</v>
      </c>
      <c r="E167" s="1" t="s">
        <v>32</v>
      </c>
      <c r="F167" s="1" t="s">
        <v>329</v>
      </c>
    </row>
    <row r="168" spans="1:6">
      <c r="A168" s="1">
        <v>6000001</v>
      </c>
      <c r="B168" s="1" t="s">
        <v>341</v>
      </c>
      <c r="C168" s="1">
        <v>6</v>
      </c>
      <c r="D168" s="1" t="s">
        <v>272</v>
      </c>
      <c r="E168" s="1" t="s">
        <v>352</v>
      </c>
      <c r="F168" s="1" t="s">
        <v>68</v>
      </c>
    </row>
    <row r="169" spans="1:6">
      <c r="A169" s="1">
        <v>6000002</v>
      </c>
      <c r="B169" s="1" t="s">
        <v>342</v>
      </c>
      <c r="C169" s="1">
        <v>6</v>
      </c>
      <c r="D169" s="1" t="s">
        <v>273</v>
      </c>
      <c r="E169" s="1" t="s">
        <v>352</v>
      </c>
      <c r="F169" s="1" t="s">
        <v>69</v>
      </c>
    </row>
    <row r="170" spans="1:6">
      <c r="A170" s="1">
        <v>6000003</v>
      </c>
      <c r="B170" s="1" t="s">
        <v>343</v>
      </c>
      <c r="C170" s="1">
        <v>6</v>
      </c>
      <c r="D170" s="1" t="s">
        <v>274</v>
      </c>
      <c r="E170" s="1" t="s">
        <v>351</v>
      </c>
      <c r="F170" s="1" t="s">
        <v>8</v>
      </c>
    </row>
    <row r="171" spans="1:6">
      <c r="A171" s="1">
        <v>6000004</v>
      </c>
      <c r="B171" s="1" t="s">
        <v>70</v>
      </c>
      <c r="C171" s="1">
        <v>6</v>
      </c>
      <c r="D171" s="1" t="s">
        <v>275</v>
      </c>
      <c r="E171" s="1" t="s">
        <v>351</v>
      </c>
      <c r="F171" s="1" t="s">
        <v>70</v>
      </c>
    </row>
    <row r="172" spans="1:6">
      <c r="A172" s="1">
        <v>6000005</v>
      </c>
      <c r="B172" s="1" t="s">
        <v>71</v>
      </c>
      <c r="C172" s="1">
        <v>6</v>
      </c>
      <c r="D172" s="1" t="s">
        <v>276</v>
      </c>
      <c r="E172" s="1" t="s">
        <v>351</v>
      </c>
      <c r="F172" s="1" t="s">
        <v>71</v>
      </c>
    </row>
    <row r="173" spans="1:6">
      <c r="A173" s="1">
        <v>6000006</v>
      </c>
      <c r="B173" s="1" t="s">
        <v>72</v>
      </c>
      <c r="C173" s="1">
        <v>6</v>
      </c>
      <c r="D173" s="1" t="s">
        <v>277</v>
      </c>
      <c r="E173" s="1" t="s">
        <v>351</v>
      </c>
      <c r="F173" s="1" t="s">
        <v>72</v>
      </c>
    </row>
    <row r="174" spans="1:6">
      <c r="A174" s="1">
        <v>6000007</v>
      </c>
      <c r="B174" s="1" t="s">
        <v>73</v>
      </c>
      <c r="C174" s="1">
        <v>6</v>
      </c>
      <c r="D174" s="1" t="s">
        <v>278</v>
      </c>
      <c r="E174" s="1" t="s">
        <v>351</v>
      </c>
      <c r="F174" s="1" t="s">
        <v>73</v>
      </c>
    </row>
    <row r="175" spans="1:6">
      <c r="A175" s="1">
        <v>6000008</v>
      </c>
      <c r="B175" s="1" t="s">
        <v>74</v>
      </c>
      <c r="C175" s="1">
        <v>6</v>
      </c>
      <c r="D175" s="1" t="s">
        <v>279</v>
      </c>
      <c r="E175" s="1" t="s">
        <v>351</v>
      </c>
      <c r="F175" s="1" t="s">
        <v>74</v>
      </c>
    </row>
    <row r="176" spans="1:6">
      <c r="A176" s="1">
        <v>6000009</v>
      </c>
      <c r="B176" s="1" t="s">
        <v>75</v>
      </c>
      <c r="C176" s="1">
        <v>6</v>
      </c>
      <c r="D176" s="1" t="s">
        <v>280</v>
      </c>
      <c r="E176" s="1" t="s">
        <v>351</v>
      </c>
      <c r="F176" s="1" t="s">
        <v>75</v>
      </c>
    </row>
    <row r="177" spans="1:6">
      <c r="A177" s="1">
        <v>6000010</v>
      </c>
      <c r="B177" s="1" t="s">
        <v>76</v>
      </c>
      <c r="C177" s="1">
        <v>6</v>
      </c>
      <c r="D177" s="1" t="s">
        <v>281</v>
      </c>
      <c r="E177" s="1" t="s">
        <v>351</v>
      </c>
      <c r="F177" s="1" t="s">
        <v>76</v>
      </c>
    </row>
    <row r="178" spans="1:6">
      <c r="A178" s="1">
        <v>6000011</v>
      </c>
      <c r="B178" s="1" t="s">
        <v>77</v>
      </c>
      <c r="C178" s="1">
        <v>6</v>
      </c>
      <c r="D178" s="1" t="s">
        <v>282</v>
      </c>
      <c r="E178" s="1" t="s">
        <v>351</v>
      </c>
      <c r="F178" s="1" t="s">
        <v>77</v>
      </c>
    </row>
    <row r="179" spans="1:6">
      <c r="A179" s="1">
        <v>6000012</v>
      </c>
      <c r="B179" s="1" t="s">
        <v>78</v>
      </c>
      <c r="C179" s="1">
        <v>6</v>
      </c>
      <c r="D179" s="1" t="s">
        <v>283</v>
      </c>
      <c r="E179" s="1" t="s">
        <v>351</v>
      </c>
      <c r="F179" s="1" t="s">
        <v>78</v>
      </c>
    </row>
    <row r="180" spans="1:6">
      <c r="A180" s="1">
        <v>6000013</v>
      </c>
      <c r="B180" s="1" t="s">
        <v>79</v>
      </c>
      <c r="C180" s="1">
        <v>6</v>
      </c>
      <c r="D180" s="1" t="s">
        <v>284</v>
      </c>
      <c r="E180" s="1" t="s">
        <v>351</v>
      </c>
      <c r="F180" s="1" t="s">
        <v>79</v>
      </c>
    </row>
    <row r="181" spans="1:6">
      <c r="A181" s="1">
        <v>6000014</v>
      </c>
      <c r="B181" s="1" t="s">
        <v>80</v>
      </c>
      <c r="C181" s="1">
        <v>6</v>
      </c>
      <c r="D181" s="1" t="s">
        <v>285</v>
      </c>
      <c r="E181" s="1" t="s">
        <v>351</v>
      </c>
      <c r="F181" s="1" t="s">
        <v>80</v>
      </c>
    </row>
    <row r="182" spans="1:6">
      <c r="A182" s="1">
        <v>6000015</v>
      </c>
      <c r="B182" s="1" t="s">
        <v>81</v>
      </c>
      <c r="C182" s="1">
        <v>6</v>
      </c>
      <c r="D182" s="1" t="s">
        <v>286</v>
      </c>
      <c r="E182" s="1" t="s">
        <v>351</v>
      </c>
      <c r="F182" s="1" t="s">
        <v>81</v>
      </c>
    </row>
    <row r="183" spans="1:6">
      <c r="A183" s="1">
        <v>6000016</v>
      </c>
      <c r="B183" s="1" t="s">
        <v>82</v>
      </c>
      <c r="C183" s="1">
        <v>6</v>
      </c>
      <c r="D183" s="1" t="s">
        <v>287</v>
      </c>
      <c r="E183" s="1" t="s">
        <v>351</v>
      </c>
      <c r="F183" s="1" t="s">
        <v>82</v>
      </c>
    </row>
    <row r="184" spans="1:6">
      <c r="A184" s="1">
        <v>6000017</v>
      </c>
      <c r="B184" s="1" t="s">
        <v>83</v>
      </c>
      <c r="C184" s="1">
        <v>6</v>
      </c>
      <c r="D184" s="1" t="s">
        <v>288</v>
      </c>
      <c r="E184" s="1" t="s">
        <v>351</v>
      </c>
      <c r="F184" s="1" t="s">
        <v>83</v>
      </c>
    </row>
    <row r="185" spans="1:6">
      <c r="A185" s="1">
        <v>6000018</v>
      </c>
      <c r="B185" s="1" t="s">
        <v>84</v>
      </c>
      <c r="C185" s="1">
        <v>6</v>
      </c>
      <c r="D185" s="1" t="s">
        <v>289</v>
      </c>
      <c r="E185" s="1" t="s">
        <v>351</v>
      </c>
      <c r="F185" s="1" t="s">
        <v>84</v>
      </c>
    </row>
    <row r="186" spans="1:6">
      <c r="A186" s="1">
        <v>6000019</v>
      </c>
      <c r="B186" s="1" t="s">
        <v>85</v>
      </c>
      <c r="C186" s="1">
        <v>6</v>
      </c>
      <c r="D186" s="1" t="s">
        <v>290</v>
      </c>
      <c r="E186" s="1" t="s">
        <v>351</v>
      </c>
      <c r="F186" s="1" t="s">
        <v>85</v>
      </c>
    </row>
    <row r="187" spans="1:6">
      <c r="A187" s="1">
        <v>6000020</v>
      </c>
      <c r="B187" s="1" t="s">
        <v>86</v>
      </c>
      <c r="C187" s="1">
        <v>6</v>
      </c>
      <c r="D187" s="1" t="s">
        <v>291</v>
      </c>
      <c r="E187" s="1" t="s">
        <v>351</v>
      </c>
      <c r="F187" s="1" t="s">
        <v>86</v>
      </c>
    </row>
    <row r="188" spans="1:6">
      <c r="A188" s="1">
        <v>6000021</v>
      </c>
      <c r="B188" s="1" t="s">
        <v>87</v>
      </c>
      <c r="C188" s="1">
        <v>6</v>
      </c>
      <c r="D188" s="1" t="s">
        <v>292</v>
      </c>
      <c r="E188" s="1" t="s">
        <v>351</v>
      </c>
      <c r="F188" s="1" t="s">
        <v>87</v>
      </c>
    </row>
    <row r="189" spans="1:6">
      <c r="A189" s="1">
        <v>6000022</v>
      </c>
      <c r="B189" s="1" t="s">
        <v>88</v>
      </c>
      <c r="C189" s="1">
        <v>6</v>
      </c>
      <c r="D189" s="1" t="s">
        <v>293</v>
      </c>
      <c r="E189" s="1" t="s">
        <v>351</v>
      </c>
      <c r="F189" s="1" t="s">
        <v>88</v>
      </c>
    </row>
    <row r="190" spans="1:6">
      <c r="A190" s="1">
        <v>6000023</v>
      </c>
      <c r="B190" s="1" t="s">
        <v>89</v>
      </c>
      <c r="C190" s="1">
        <v>6</v>
      </c>
      <c r="D190" s="1" t="s">
        <v>294</v>
      </c>
      <c r="E190" s="1" t="s">
        <v>351</v>
      </c>
      <c r="F190" s="1" t="s">
        <v>89</v>
      </c>
    </row>
    <row r="191" spans="1:6">
      <c r="A191" s="1">
        <v>7000001</v>
      </c>
      <c r="B191" s="1" t="s">
        <v>29</v>
      </c>
      <c r="C191" s="1">
        <v>3</v>
      </c>
      <c r="D191" s="1" t="s">
        <v>370</v>
      </c>
      <c r="E191" s="1" t="s">
        <v>32</v>
      </c>
      <c r="F191" s="1" t="s">
        <v>369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7"/>
  <sheetViews>
    <sheetView workbookViewId="0">
      <selection activeCell="C5" sqref="C5"/>
    </sheetView>
  </sheetViews>
  <sheetFormatPr defaultRowHeight="13.5"/>
  <cols>
    <col min="3" max="3" width="136.625" customWidth="1"/>
  </cols>
  <sheetData>
    <row r="1" spans="1:3">
      <c r="A1" t="s">
        <v>17</v>
      </c>
      <c r="B1" t="s">
        <v>18</v>
      </c>
    </row>
    <row r="2" spans="1:3">
      <c r="B2">
        <v>1</v>
      </c>
      <c r="C2" t="s">
        <v>19</v>
      </c>
    </row>
    <row r="3" spans="1:3">
      <c r="B3">
        <v>2</v>
      </c>
      <c r="C3" t="s">
        <v>20</v>
      </c>
    </row>
    <row r="4" spans="1:3">
      <c r="B4">
        <v>3</v>
      </c>
      <c r="C4" t="s">
        <v>21</v>
      </c>
    </row>
    <row r="5" spans="1:3">
      <c r="B5">
        <v>4</v>
      </c>
      <c r="C5" t="s">
        <v>22</v>
      </c>
    </row>
    <row r="6" spans="1:3">
      <c r="B6">
        <v>5</v>
      </c>
      <c r="C6" t="s">
        <v>23</v>
      </c>
    </row>
    <row r="7" spans="1:3">
      <c r="B7">
        <v>6</v>
      </c>
      <c r="C7" t="s">
        <v>24</v>
      </c>
    </row>
    <row r="8" spans="1:3">
      <c r="B8">
        <v>7</v>
      </c>
      <c r="C8" t="s">
        <v>6</v>
      </c>
    </row>
    <row r="9" spans="1:3">
      <c r="B9">
        <v>8</v>
      </c>
    </row>
    <row r="10" spans="1:3">
      <c r="B10">
        <v>9</v>
      </c>
    </row>
    <row r="11" spans="1:3">
      <c r="B11">
        <v>10</v>
      </c>
    </row>
    <row r="12" spans="1:3">
      <c r="B12">
        <v>11</v>
      </c>
    </row>
    <row r="13" spans="1:3">
      <c r="B13">
        <v>12</v>
      </c>
    </row>
    <row r="14" spans="1:3">
      <c r="B14">
        <v>13</v>
      </c>
    </row>
    <row r="15" spans="1:3">
      <c r="B15">
        <v>14</v>
      </c>
    </row>
    <row r="16" spans="1:3">
      <c r="B16">
        <v>15</v>
      </c>
    </row>
    <row r="17" spans="2:2">
      <c r="B17">
        <v>16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mission.xml</vt:lpstr>
      <vt:lpstr>礼包 - client</vt:lpstr>
      <vt:lpstr>字段说明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2014-08-14T17:31:55Z</dcterms:modified>
</cp:coreProperties>
</file>