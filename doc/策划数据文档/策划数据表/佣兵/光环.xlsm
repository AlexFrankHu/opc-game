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0" yWindow="0" windowWidth="19080" windowHeight="8430" activeTab="1"/>
  </bookViews>
  <sheets>
    <sheet name="ring.xml" sheetId="1" r:id="rId1"/>
    <sheet name="前端配置" sheetId="2" r:id="rId2"/>
  </sheets>
  <functionGroups/>
  <calcPr calcId="124519"/>
</workbook>
</file>

<file path=xl/calcChain.xml><?xml version="1.0" encoding="utf-8"?>
<calcChain xmlns="http://schemas.openxmlformats.org/spreadsheetml/2006/main">
  <c r="D3" i="2"/>
  <c r="D4"/>
  <c r="D5"/>
  <c r="D6"/>
  <c r="D7"/>
  <c r="D8"/>
  <c r="D9"/>
  <c r="D10"/>
  <c r="D2"/>
  <c r="A4"/>
  <c r="A5"/>
  <c r="A6"/>
  <c r="A7"/>
  <c r="A8"/>
  <c r="A9"/>
  <c r="A10"/>
  <c r="A3"/>
  <c r="B3"/>
  <c r="C3"/>
  <c r="E3"/>
  <c r="F3"/>
  <c r="G3"/>
  <c r="B4"/>
  <c r="C4"/>
  <c r="E4"/>
  <c r="F4"/>
  <c r="G4"/>
  <c r="B5"/>
  <c r="C5"/>
  <c r="E5"/>
  <c r="F5"/>
  <c r="G5"/>
  <c r="B6"/>
  <c r="C6"/>
  <c r="E6"/>
  <c r="F6"/>
  <c r="G6"/>
  <c r="B7"/>
  <c r="C7"/>
  <c r="E7"/>
  <c r="F7"/>
  <c r="G7"/>
  <c r="B8"/>
  <c r="C8"/>
  <c r="E8"/>
  <c r="F8"/>
  <c r="G8"/>
  <c r="B9"/>
  <c r="C9"/>
  <c r="E9"/>
  <c r="F9"/>
  <c r="G9"/>
  <c r="B10"/>
  <c r="C10"/>
  <c r="E10"/>
  <c r="F10"/>
  <c r="G10"/>
  <c r="E2"/>
  <c r="F2"/>
  <c r="G2"/>
  <c r="A2"/>
  <c r="C2"/>
  <c r="B2"/>
</calcChain>
</file>

<file path=xl/sharedStrings.xml><?xml version="1.0" encoding="utf-8"?>
<sst xmlns="http://schemas.openxmlformats.org/spreadsheetml/2006/main" count="59" uniqueCount="46">
  <si>
    <t>data</t>
  </si>
  <si>
    <t>roleId</t>
    <phoneticPr fontId="3" type="noConversion"/>
  </si>
  <si>
    <t>佣兵</t>
    <phoneticPr fontId="3" type="noConversion"/>
  </si>
  <si>
    <t>ringId</t>
    <phoneticPr fontId="3" type="noConversion"/>
  </si>
  <si>
    <t>needStarLevel</t>
    <phoneticPr fontId="3" type="noConversion"/>
  </si>
  <si>
    <t>activeCost</t>
    <phoneticPr fontId="3" type="noConversion"/>
  </si>
  <si>
    <t>光环消耗</t>
    <phoneticPr fontId="3" type="noConversion"/>
  </si>
  <si>
    <t>星级</t>
    <phoneticPr fontId="3" type="noConversion"/>
  </si>
  <si>
    <t>光环ID</t>
    <phoneticPr fontId="3" type="noConversion"/>
  </si>
  <si>
    <t>名称</t>
    <phoneticPr fontId="3" type="noConversion"/>
  </si>
  <si>
    <t>效果</t>
    <phoneticPr fontId="3" type="noConversion"/>
  </si>
  <si>
    <t>图片路径</t>
    <phoneticPr fontId="3" type="noConversion"/>
  </si>
  <si>
    <t>坚韧光环</t>
    <phoneticPr fontId="3" type="noConversion"/>
  </si>
  <si>
    <t>振奋光环</t>
    <phoneticPr fontId="3" type="noConversion"/>
  </si>
  <si>
    <t>灵隐光环</t>
    <phoneticPr fontId="3" type="noConversion"/>
  </si>
  <si>
    <t>洪流光环</t>
    <phoneticPr fontId="3" type="noConversion"/>
  </si>
  <si>
    <t>洞悉光环</t>
    <phoneticPr fontId="3" type="noConversion"/>
  </si>
  <si>
    <t>瞬息光环</t>
    <phoneticPr fontId="3" type="noConversion"/>
  </si>
  <si>
    <t>专注光环</t>
    <phoneticPr fontId="3" type="noConversion"/>
  </si>
  <si>
    <t>辉煌光环</t>
    <phoneticPr fontId="3" type="noConversion"/>
  </si>
  <si>
    <t>戍卫光环</t>
    <phoneticPr fontId="3" type="noConversion"/>
  </si>
  <si>
    <t>ringName</t>
    <phoneticPr fontId="3" type="noConversion"/>
  </si>
  <si>
    <t>effectAttrType</t>
  </si>
  <si>
    <t>effectAttrValue</t>
  </si>
  <si>
    <t>条件</t>
    <phoneticPr fontId="3" type="noConversion"/>
  </si>
  <si>
    <t>佣兵训练程度达到3星</t>
    <phoneticPr fontId="3" type="noConversion"/>
  </si>
  <si>
    <t>skill/405.png</t>
    <phoneticPr fontId="3" type="noConversion"/>
  </si>
  <si>
    <t>skill/408.png</t>
    <phoneticPr fontId="3" type="noConversion"/>
  </si>
  <si>
    <t>skill/401.png</t>
    <phoneticPr fontId="3" type="noConversion"/>
  </si>
  <si>
    <t>skill/406.png</t>
    <phoneticPr fontId="3" type="noConversion"/>
  </si>
  <si>
    <t>skill/409.png</t>
    <phoneticPr fontId="3" type="noConversion"/>
  </si>
  <si>
    <t>skill/404.png</t>
    <phoneticPr fontId="3" type="noConversion"/>
  </si>
  <si>
    <t>skill/403.png</t>
    <phoneticPr fontId="3" type="noConversion"/>
  </si>
  <si>
    <t>skill/402.png</t>
    <phoneticPr fontId="3" type="noConversion"/>
  </si>
  <si>
    <t>skill/407.png</t>
    <phoneticPr fontId="3" type="noConversion"/>
  </si>
  <si>
    <t>佣兵训练程度达到6星</t>
    <phoneticPr fontId="3" type="noConversion"/>
  </si>
  <si>
    <t>佣兵训练程度达到10星</t>
    <phoneticPr fontId="3" type="noConversion"/>
  </si>
  <si>
    <t>提升主角和莱恩5%的护甲值。（未出战时佣兵也会提供此效果）</t>
    <phoneticPr fontId="3" type="noConversion"/>
  </si>
  <si>
    <t>提升主角和莱恩15%的物理抗性。（未出战时佣兵也会提供此效果）</t>
    <phoneticPr fontId="3" type="noConversion"/>
  </si>
  <si>
    <t>提升主角和菲德丝10%的命中。（未出战时佣兵也会提供此效果）</t>
    <phoneticPr fontId="3" type="noConversion"/>
  </si>
  <si>
    <t>提升主角和莱恩10%的生命值。（未出战时佣兵也会提供此效果）</t>
    <phoneticPr fontId="3" type="noConversion"/>
  </si>
  <si>
    <t>提升主角和菲德丝10%的闪避。（未出战时佣兵也会提供此效果）</t>
    <phoneticPr fontId="3" type="noConversion"/>
  </si>
  <si>
    <t>提升主角和菲德丝30点护甲穿透等级。（未出战时佣兵也会提供此效果）</t>
    <phoneticPr fontId="3" type="noConversion"/>
  </si>
  <si>
    <t>提升主角和赛琳娜10%的魔法值。（未出战时佣兵也会提供此效果）</t>
    <phoneticPr fontId="3" type="noConversion"/>
  </si>
  <si>
    <t>提升主角和赛琳娜10%的魔抗。（未出战时佣兵也会提供此效果）</t>
    <phoneticPr fontId="3" type="noConversion"/>
  </si>
  <si>
    <t>提升主角和赛琳娜10%的伤害。（未出战时佣兵也会提供此效果）</t>
    <phoneticPr fontId="3" type="noConversion"/>
  </si>
</sst>
</file>

<file path=xl/styles.xml><?xml version="1.0" encoding="utf-8"?>
<styleSheet xmlns="http://schemas.openxmlformats.org/spreadsheetml/2006/main">
  <fonts count="4">
    <font>
      <sz val="11"/>
      <color indexed="8"/>
      <name val="宋体"/>
      <family val="2"/>
      <charset val="134"/>
    </font>
    <font>
      <sz val="11"/>
      <color indexed="9"/>
      <name val="宋体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1" fillId="2" borderId="0" xfId="1">
      <alignment vertical="center"/>
    </xf>
    <xf numFmtId="3" fontId="0" fillId="0" borderId="0" xfId="0" applyNumberFormat="1">
      <alignment vertical="center"/>
    </xf>
  </cellXfs>
  <cellStyles count="2">
    <cellStyle name="常规" xfId="0" builtinId="0"/>
    <cellStyle name="强调文字颜色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4"/>
  <sheetViews>
    <sheetView workbookViewId="0">
      <selection activeCell="H18" sqref="H18"/>
    </sheetView>
  </sheetViews>
  <sheetFormatPr defaultColWidth="9" defaultRowHeight="13.5"/>
  <sheetData>
    <row r="1" spans="1:9">
      <c r="A1" t="s">
        <v>0</v>
      </c>
    </row>
    <row r="2" spans="1:9" s="1" customFormat="1"/>
    <row r="3" spans="1:9">
      <c r="A3" t="s">
        <v>2</v>
      </c>
      <c r="B3" t="s">
        <v>8</v>
      </c>
      <c r="C3" t="s">
        <v>7</v>
      </c>
      <c r="D3" t="s">
        <v>6</v>
      </c>
      <c r="E3" t="s">
        <v>9</v>
      </c>
      <c r="H3" t="s">
        <v>10</v>
      </c>
      <c r="I3" t="s">
        <v>11</v>
      </c>
    </row>
    <row r="4" spans="1:9">
      <c r="A4" t="s">
        <v>1</v>
      </c>
      <c r="B4" t="s">
        <v>3</v>
      </c>
      <c r="C4" t="s">
        <v>4</v>
      </c>
      <c r="D4" t="s">
        <v>5</v>
      </c>
      <c r="E4" t="s">
        <v>21</v>
      </c>
      <c r="F4" t="s">
        <v>22</v>
      </c>
      <c r="G4" t="s">
        <v>23</v>
      </c>
    </row>
    <row r="6" spans="1:9">
      <c r="A6">
        <v>7</v>
      </c>
      <c r="B6">
        <v>1</v>
      </c>
      <c r="C6">
        <v>3</v>
      </c>
      <c r="D6">
        <v>200000</v>
      </c>
      <c r="E6" t="s">
        <v>13</v>
      </c>
      <c r="F6">
        <v>105</v>
      </c>
      <c r="G6">
        <v>500</v>
      </c>
      <c r="H6" t="s">
        <v>37</v>
      </c>
      <c r="I6" t="s">
        <v>32</v>
      </c>
    </row>
    <row r="7" spans="1:9">
      <c r="A7">
        <v>7</v>
      </c>
      <c r="B7">
        <v>2</v>
      </c>
      <c r="C7">
        <v>6</v>
      </c>
      <c r="D7">
        <v>500000</v>
      </c>
      <c r="E7" t="s">
        <v>12</v>
      </c>
      <c r="F7">
        <v>101</v>
      </c>
      <c r="G7">
        <v>1000</v>
      </c>
      <c r="H7" t="s">
        <v>40</v>
      </c>
      <c r="I7" t="s">
        <v>33</v>
      </c>
    </row>
    <row r="8" spans="1:9">
      <c r="A8">
        <v>7</v>
      </c>
      <c r="B8">
        <v>3</v>
      </c>
      <c r="C8">
        <v>10</v>
      </c>
      <c r="D8">
        <v>1500000</v>
      </c>
      <c r="E8" t="s">
        <v>20</v>
      </c>
      <c r="F8">
        <v>106</v>
      </c>
      <c r="G8">
        <v>1500</v>
      </c>
      <c r="H8" t="s">
        <v>38</v>
      </c>
      <c r="I8" t="s">
        <v>34</v>
      </c>
    </row>
    <row r="9" spans="1:9">
      <c r="A9">
        <v>8</v>
      </c>
      <c r="B9">
        <v>4</v>
      </c>
      <c r="C9">
        <v>3</v>
      </c>
      <c r="D9">
        <v>200000</v>
      </c>
      <c r="E9" t="s">
        <v>18</v>
      </c>
      <c r="F9">
        <v>109</v>
      </c>
      <c r="G9">
        <v>1000</v>
      </c>
      <c r="H9" t="s">
        <v>39</v>
      </c>
      <c r="I9" t="s">
        <v>30</v>
      </c>
    </row>
    <row r="10" spans="1:9">
      <c r="A10">
        <v>8</v>
      </c>
      <c r="B10">
        <v>5</v>
      </c>
      <c r="C10">
        <v>6</v>
      </c>
      <c r="D10">
        <v>500000</v>
      </c>
      <c r="E10" t="s">
        <v>17</v>
      </c>
      <c r="F10">
        <v>110</v>
      </c>
      <c r="G10">
        <v>1000</v>
      </c>
      <c r="H10" t="s">
        <v>41</v>
      </c>
      <c r="I10" t="s">
        <v>26</v>
      </c>
    </row>
    <row r="11" spans="1:9">
      <c r="A11">
        <v>8</v>
      </c>
      <c r="B11">
        <v>6</v>
      </c>
      <c r="C11">
        <v>10</v>
      </c>
      <c r="D11">
        <v>1500000</v>
      </c>
      <c r="E11" t="s">
        <v>16</v>
      </c>
      <c r="F11">
        <v>1007</v>
      </c>
      <c r="G11">
        <v>30</v>
      </c>
      <c r="H11" t="s">
        <v>42</v>
      </c>
      <c r="I11" t="s">
        <v>31</v>
      </c>
    </row>
    <row r="12" spans="1:9">
      <c r="A12">
        <v>9</v>
      </c>
      <c r="B12">
        <v>7</v>
      </c>
      <c r="C12">
        <v>3</v>
      </c>
      <c r="D12">
        <v>200000</v>
      </c>
      <c r="E12" t="s">
        <v>19</v>
      </c>
      <c r="F12">
        <v>102</v>
      </c>
      <c r="G12">
        <v>1000</v>
      </c>
      <c r="H12" t="s">
        <v>43</v>
      </c>
      <c r="I12" t="s">
        <v>28</v>
      </c>
    </row>
    <row r="13" spans="1:9">
      <c r="A13">
        <v>9</v>
      </c>
      <c r="B13">
        <v>8</v>
      </c>
      <c r="C13">
        <v>6</v>
      </c>
      <c r="D13">
        <v>500000</v>
      </c>
      <c r="E13" t="s">
        <v>14</v>
      </c>
      <c r="F13">
        <v>107</v>
      </c>
      <c r="G13">
        <v>1000</v>
      </c>
      <c r="H13" t="s">
        <v>44</v>
      </c>
      <c r="I13" t="s">
        <v>29</v>
      </c>
    </row>
    <row r="14" spans="1:9">
      <c r="A14">
        <v>9</v>
      </c>
      <c r="B14">
        <v>9</v>
      </c>
      <c r="C14">
        <v>10</v>
      </c>
      <c r="D14">
        <v>1500000</v>
      </c>
      <c r="E14" t="s">
        <v>15</v>
      </c>
      <c r="F14" s="2">
        <v>104</v>
      </c>
      <c r="G14">
        <v>1000</v>
      </c>
      <c r="H14" t="s">
        <v>45</v>
      </c>
      <c r="I14" t="s">
        <v>27</v>
      </c>
    </row>
  </sheetData>
  <phoneticPr fontId="3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0"/>
  <sheetViews>
    <sheetView tabSelected="1" workbookViewId="0">
      <selection activeCell="F20" sqref="F20"/>
    </sheetView>
  </sheetViews>
  <sheetFormatPr defaultColWidth="9" defaultRowHeight="13.5"/>
  <cols>
    <col min="6" max="6" width="62" customWidth="1"/>
  </cols>
  <sheetData>
    <row r="1" spans="1:8">
      <c r="A1" t="s">
        <v>8</v>
      </c>
      <c r="B1" t="s">
        <v>2</v>
      </c>
      <c r="C1" t="s">
        <v>7</v>
      </c>
      <c r="D1" t="s">
        <v>6</v>
      </c>
      <c r="E1" t="s">
        <v>9</v>
      </c>
      <c r="F1" t="s">
        <v>10</v>
      </c>
      <c r="G1" t="s">
        <v>11</v>
      </c>
      <c r="H1" t="s">
        <v>24</v>
      </c>
    </row>
    <row r="2" spans="1:8">
      <c r="A2">
        <f>ring.xml!B6</f>
        <v>1</v>
      </c>
      <c r="B2">
        <f>ring.xml!A6</f>
        <v>7</v>
      </c>
      <c r="C2">
        <f>ring.xml!C6</f>
        <v>3</v>
      </c>
      <c r="D2">
        <f>ring.xml!D6</f>
        <v>200000</v>
      </c>
      <c r="E2" t="str">
        <f>ring.xml!E6</f>
        <v>振奋光环</v>
      </c>
      <c r="F2" t="str">
        <f>ring.xml!H6</f>
        <v>提升主角和莱恩5%的护甲值。（未出战时佣兵也会提供此效果）</v>
      </c>
      <c r="G2" t="str">
        <f>ring.xml!I6</f>
        <v>skill/403.png</v>
      </c>
      <c r="H2" t="s">
        <v>25</v>
      </c>
    </row>
    <row r="3" spans="1:8">
      <c r="A3">
        <f>ring.xml!B7</f>
        <v>2</v>
      </c>
      <c r="B3">
        <f>ring.xml!A7</f>
        <v>7</v>
      </c>
      <c r="C3">
        <f>ring.xml!C7</f>
        <v>6</v>
      </c>
      <c r="D3">
        <f>ring.xml!D7</f>
        <v>500000</v>
      </c>
      <c r="E3" t="str">
        <f>ring.xml!E7</f>
        <v>坚韧光环</v>
      </c>
      <c r="F3" t="str">
        <f>ring.xml!H7</f>
        <v>提升主角和莱恩10%的生命值。（未出战时佣兵也会提供此效果）</v>
      </c>
      <c r="G3" t="str">
        <f>ring.xml!I7</f>
        <v>skill/402.png</v>
      </c>
      <c r="H3" t="s">
        <v>35</v>
      </c>
    </row>
    <row r="4" spans="1:8">
      <c r="A4">
        <f>ring.xml!B8</f>
        <v>3</v>
      </c>
      <c r="B4">
        <f>ring.xml!A8</f>
        <v>7</v>
      </c>
      <c r="C4">
        <f>ring.xml!C8</f>
        <v>10</v>
      </c>
      <c r="D4">
        <f>ring.xml!D8</f>
        <v>1500000</v>
      </c>
      <c r="E4" t="str">
        <f>ring.xml!E8</f>
        <v>戍卫光环</v>
      </c>
      <c r="F4" t="str">
        <f>ring.xml!H8</f>
        <v>提升主角和莱恩15%的物理抗性。（未出战时佣兵也会提供此效果）</v>
      </c>
      <c r="G4" t="str">
        <f>ring.xml!I8</f>
        <v>skill/407.png</v>
      </c>
      <c r="H4" t="s">
        <v>36</v>
      </c>
    </row>
    <row r="5" spans="1:8">
      <c r="A5">
        <f>ring.xml!B9</f>
        <v>4</v>
      </c>
      <c r="B5">
        <f>ring.xml!A9</f>
        <v>8</v>
      </c>
      <c r="C5">
        <f>ring.xml!C9</f>
        <v>3</v>
      </c>
      <c r="D5">
        <f>ring.xml!D9</f>
        <v>200000</v>
      </c>
      <c r="E5" t="str">
        <f>ring.xml!E9</f>
        <v>专注光环</v>
      </c>
      <c r="F5" t="str">
        <f>ring.xml!H9</f>
        <v>提升主角和菲德丝10%的命中。（未出战时佣兵也会提供此效果）</v>
      </c>
      <c r="G5" t="str">
        <f>ring.xml!I9</f>
        <v>skill/409.png</v>
      </c>
      <c r="H5" t="s">
        <v>25</v>
      </c>
    </row>
    <row r="6" spans="1:8">
      <c r="A6">
        <f>ring.xml!B10</f>
        <v>5</v>
      </c>
      <c r="B6">
        <f>ring.xml!A10</f>
        <v>8</v>
      </c>
      <c r="C6">
        <f>ring.xml!C10</f>
        <v>6</v>
      </c>
      <c r="D6">
        <f>ring.xml!D10</f>
        <v>500000</v>
      </c>
      <c r="E6" t="str">
        <f>ring.xml!E10</f>
        <v>瞬息光环</v>
      </c>
      <c r="F6" t="str">
        <f>ring.xml!H10</f>
        <v>提升主角和菲德丝10%的闪避。（未出战时佣兵也会提供此效果）</v>
      </c>
      <c r="G6" t="str">
        <f>ring.xml!I10</f>
        <v>skill/405.png</v>
      </c>
      <c r="H6" t="s">
        <v>35</v>
      </c>
    </row>
    <row r="7" spans="1:8">
      <c r="A7">
        <f>ring.xml!B11</f>
        <v>6</v>
      </c>
      <c r="B7">
        <f>ring.xml!A11</f>
        <v>8</v>
      </c>
      <c r="C7">
        <f>ring.xml!C11</f>
        <v>10</v>
      </c>
      <c r="D7">
        <f>ring.xml!D11</f>
        <v>1500000</v>
      </c>
      <c r="E7" t="str">
        <f>ring.xml!E11</f>
        <v>洞悉光环</v>
      </c>
      <c r="F7" t="str">
        <f>ring.xml!H11</f>
        <v>提升主角和菲德丝30点护甲穿透等级。（未出战时佣兵也会提供此效果）</v>
      </c>
      <c r="G7" t="str">
        <f>ring.xml!I11</f>
        <v>skill/404.png</v>
      </c>
      <c r="H7" t="s">
        <v>36</v>
      </c>
    </row>
    <row r="8" spans="1:8">
      <c r="A8">
        <f>ring.xml!B12</f>
        <v>7</v>
      </c>
      <c r="B8">
        <f>ring.xml!A12</f>
        <v>9</v>
      </c>
      <c r="C8">
        <f>ring.xml!C12</f>
        <v>3</v>
      </c>
      <c r="D8">
        <f>ring.xml!D12</f>
        <v>200000</v>
      </c>
      <c r="E8" t="str">
        <f>ring.xml!E12</f>
        <v>辉煌光环</v>
      </c>
      <c r="F8" t="str">
        <f>ring.xml!H12</f>
        <v>提升主角和赛琳娜10%的魔法值。（未出战时佣兵也会提供此效果）</v>
      </c>
      <c r="G8" t="str">
        <f>ring.xml!I12</f>
        <v>skill/401.png</v>
      </c>
      <c r="H8" t="s">
        <v>25</v>
      </c>
    </row>
    <row r="9" spans="1:8">
      <c r="A9">
        <f>ring.xml!B13</f>
        <v>8</v>
      </c>
      <c r="B9">
        <f>ring.xml!A13</f>
        <v>9</v>
      </c>
      <c r="C9">
        <f>ring.xml!C13</f>
        <v>6</v>
      </c>
      <c r="D9">
        <f>ring.xml!D13</f>
        <v>500000</v>
      </c>
      <c r="E9" t="str">
        <f>ring.xml!E13</f>
        <v>灵隐光环</v>
      </c>
      <c r="F9" t="str">
        <f>ring.xml!H13</f>
        <v>提升主角和赛琳娜10%的魔抗。（未出战时佣兵也会提供此效果）</v>
      </c>
      <c r="G9" t="str">
        <f>ring.xml!I13</f>
        <v>skill/406.png</v>
      </c>
      <c r="H9" t="s">
        <v>35</v>
      </c>
    </row>
    <row r="10" spans="1:8">
      <c r="A10">
        <f>ring.xml!B14</f>
        <v>9</v>
      </c>
      <c r="B10">
        <f>ring.xml!A14</f>
        <v>9</v>
      </c>
      <c r="C10">
        <f>ring.xml!C14</f>
        <v>10</v>
      </c>
      <c r="D10">
        <f>ring.xml!D14</f>
        <v>1500000</v>
      </c>
      <c r="E10" t="str">
        <f>ring.xml!E14</f>
        <v>洪流光环</v>
      </c>
      <c r="F10" t="str">
        <f>ring.xml!H14</f>
        <v>提升主角和赛琳娜10%的伤害。（未出战时佣兵也会提供此效果）</v>
      </c>
      <c r="G10" t="str">
        <f>ring.xml!I14</f>
        <v>skill/408.png</v>
      </c>
      <c r="H10" t="s">
        <v>36</v>
      </c>
    </row>
  </sheetData>
  <phoneticPr fontId="3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ring.xml</vt:lpstr>
      <vt:lpstr>前端配置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2014-10-27T15:43:39Z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2052-9.1.0.4764</vt:lpwstr>
  </property>
</Properties>
</file>