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0" yWindow="90" windowWidth="19200" windowHeight="11640" activeTab="2"/>
  </bookViews>
  <sheets>
    <sheet name="假日秘宝" sheetId="1" r:id="rId1"/>
    <sheet name="假日秘宝APP" sheetId="2" r:id="rId2"/>
    <sheet name="远征物资" sheetId="3" r:id="rId3"/>
  </sheets>
  <calcPr calcId="124519"/>
</workbook>
</file>

<file path=xl/calcChain.xml><?xml version="1.0" encoding="utf-8"?>
<calcChain xmlns="http://schemas.openxmlformats.org/spreadsheetml/2006/main">
  <c r="F14" i="3"/>
  <c r="F15"/>
  <c r="F16"/>
  <c r="F13"/>
  <c r="I15" l="1"/>
  <c r="I16"/>
  <c r="I14"/>
  <c r="I13"/>
  <c r="H14" l="1"/>
  <c r="J14" s="1"/>
  <c r="H15"/>
  <c r="J15" s="1"/>
  <c r="H16"/>
  <c r="J16" s="1"/>
  <c r="H13"/>
  <c r="J13" s="1"/>
  <c r="Q14"/>
  <c r="Q15"/>
  <c r="Q16"/>
  <c r="Q13"/>
  <c r="N14"/>
  <c r="N15" s="1"/>
  <c r="N16" s="1"/>
  <c r="N13"/>
  <c r="G14"/>
  <c r="G15"/>
  <c r="G16"/>
  <c r="G13"/>
  <c r="M12" i="2"/>
  <c r="H12"/>
  <c r="C12"/>
  <c r="H12" i="1"/>
  <c r="C12"/>
  <c r="M12"/>
</calcChain>
</file>

<file path=xl/sharedStrings.xml><?xml version="1.0" encoding="utf-8"?>
<sst xmlns="http://schemas.openxmlformats.org/spreadsheetml/2006/main" count="131" uniqueCount="80">
  <si>
    <t>普通礼包</t>
    <phoneticPr fontId="1" type="noConversion"/>
  </si>
  <si>
    <t>高级礼包</t>
    <phoneticPr fontId="1" type="noConversion"/>
  </si>
  <si>
    <t>高级奖池</t>
    <phoneticPr fontId="1" type="noConversion"/>
  </si>
  <si>
    <t>金币</t>
    <phoneticPr fontId="1" type="noConversion"/>
  </si>
  <si>
    <t>声望</t>
    <phoneticPr fontId="1" type="noConversion"/>
  </si>
  <si>
    <t>强化精华</t>
    <phoneticPr fontId="1" type="noConversion"/>
  </si>
  <si>
    <t>高级宝石袋</t>
    <phoneticPr fontId="1" type="noConversion"/>
  </si>
  <si>
    <t>神器碎片</t>
    <phoneticPr fontId="1" type="noConversion"/>
  </si>
  <si>
    <t>神器</t>
    <phoneticPr fontId="1" type="noConversion"/>
  </si>
  <si>
    <t>数量</t>
    <phoneticPr fontId="1" type="noConversion"/>
  </si>
  <si>
    <t>银锤子</t>
    <phoneticPr fontId="1" type="noConversion"/>
  </si>
  <si>
    <t>金锤子</t>
    <phoneticPr fontId="1" type="noConversion"/>
  </si>
  <si>
    <t>铜锤子</t>
    <phoneticPr fontId="1" type="noConversion"/>
  </si>
  <si>
    <t>均价</t>
    <phoneticPr fontId="1" type="noConversion"/>
  </si>
  <si>
    <t>BOSS卷轴</t>
    <phoneticPr fontId="1" type="noConversion"/>
  </si>
  <si>
    <t>铜钥匙</t>
    <phoneticPr fontId="1" type="noConversion"/>
  </si>
  <si>
    <t>银钥匙</t>
    <phoneticPr fontId="1" type="noConversion"/>
  </si>
  <si>
    <t>金钥匙</t>
    <phoneticPr fontId="1" type="noConversion"/>
  </si>
  <si>
    <t>概率</t>
    <phoneticPr fontId="1" type="noConversion"/>
  </si>
  <si>
    <t>价值</t>
    <phoneticPr fontId="1" type="noConversion"/>
  </si>
  <si>
    <t>快速战斗</t>
    <phoneticPr fontId="1" type="noConversion"/>
  </si>
  <si>
    <t>日常掉落</t>
    <phoneticPr fontId="1" type="noConversion"/>
  </si>
  <si>
    <t>挑战BOSS</t>
    <phoneticPr fontId="1" type="noConversion"/>
  </si>
  <si>
    <t>时间（天）</t>
    <phoneticPr fontId="1" type="noConversion"/>
  </si>
  <si>
    <t>贡献</t>
    <phoneticPr fontId="1" type="noConversion"/>
  </si>
  <si>
    <t>商店</t>
    <phoneticPr fontId="1" type="noConversion"/>
  </si>
  <si>
    <t>非R</t>
    <phoneticPr fontId="1" type="noConversion"/>
  </si>
  <si>
    <t>小R</t>
    <phoneticPr fontId="1" type="noConversion"/>
  </si>
  <si>
    <t>中R</t>
    <phoneticPr fontId="1" type="noConversion"/>
  </si>
  <si>
    <t>大R</t>
    <phoneticPr fontId="1" type="noConversion"/>
  </si>
  <si>
    <t>获得贡献/天</t>
    <phoneticPr fontId="1" type="noConversion"/>
  </si>
  <si>
    <t>总贡献</t>
    <phoneticPr fontId="1" type="noConversion"/>
  </si>
  <si>
    <t>BOSS物资</t>
    <phoneticPr fontId="1" type="noConversion"/>
  </si>
  <si>
    <t>小怪物资</t>
    <phoneticPr fontId="1" type="noConversion"/>
  </si>
  <si>
    <t>商店物资</t>
    <phoneticPr fontId="1" type="noConversion"/>
  </si>
  <si>
    <t>阶段贡献</t>
    <phoneticPr fontId="1" type="noConversion"/>
  </si>
  <si>
    <t>阶段一</t>
    <phoneticPr fontId="1" type="noConversion"/>
  </si>
  <si>
    <t>阶段二</t>
    <phoneticPr fontId="1" type="noConversion"/>
  </si>
  <si>
    <t>阶段三</t>
    <phoneticPr fontId="1" type="noConversion"/>
  </si>
  <si>
    <t>阶段四</t>
    <phoneticPr fontId="1" type="noConversion"/>
  </si>
  <si>
    <t>总需贡献</t>
    <phoneticPr fontId="1" type="noConversion"/>
  </si>
  <si>
    <t>奖励价值</t>
    <phoneticPr fontId="1" type="noConversion"/>
  </si>
  <si>
    <t>奖励总值</t>
    <phoneticPr fontId="1" type="noConversion"/>
  </si>
  <si>
    <t>排名奖励</t>
    <phoneticPr fontId="1" type="noConversion"/>
  </si>
  <si>
    <t>4-10名</t>
    <phoneticPr fontId="1" type="noConversion"/>
  </si>
  <si>
    <t>11-20名</t>
    <phoneticPr fontId="1" type="noConversion"/>
  </si>
  <si>
    <t>21-50名</t>
    <phoneticPr fontId="1" type="noConversion"/>
  </si>
  <si>
    <t>第1</t>
    <phoneticPr fontId="1" type="noConversion"/>
  </si>
  <si>
    <t>第2</t>
    <phoneticPr fontId="1" type="noConversion"/>
  </si>
  <si>
    <t>第3</t>
    <phoneticPr fontId="1" type="noConversion"/>
  </si>
  <si>
    <t>价值</t>
    <phoneticPr fontId="1" type="noConversion"/>
  </si>
  <si>
    <t>宝石价格</t>
    <phoneticPr fontId="1" type="noConversion"/>
  </si>
  <si>
    <t>9级耐力宝石，500精华，1000声望</t>
    <phoneticPr fontId="1" type="noConversion"/>
  </si>
  <si>
    <t>8级耐力宝石，400精华，750声望</t>
    <phoneticPr fontId="1" type="noConversion"/>
  </si>
  <si>
    <t>8级耐力宝石，300精华，500声望</t>
    <phoneticPr fontId="1" type="noConversion"/>
  </si>
  <si>
    <t>7级耐力宝石，200精华，400声望</t>
    <phoneticPr fontId="1" type="noConversion"/>
  </si>
  <si>
    <t>6级耐力宝石，150精华，300声望</t>
    <phoneticPr fontId="1" type="noConversion"/>
  </si>
  <si>
    <t>5级耐力宝石，100精华，200声望</t>
    <phoneticPr fontId="1" type="noConversion"/>
  </si>
  <si>
    <t>奖励物品</t>
    <phoneticPr fontId="1" type="noConversion"/>
  </si>
  <si>
    <t>花钻</t>
    <phoneticPr fontId="1" type="noConversion"/>
  </si>
  <si>
    <t>宝石投放数</t>
    <phoneticPr fontId="1" type="noConversion"/>
  </si>
  <si>
    <t>奖励物品</t>
    <phoneticPr fontId="1" type="noConversion"/>
  </si>
  <si>
    <t>宝石袋*1</t>
    <phoneticPr fontId="1" type="noConversion"/>
  </si>
  <si>
    <t>训练书页*5</t>
    <phoneticPr fontId="1" type="noConversion"/>
  </si>
  <si>
    <t>精华*4</t>
    <phoneticPr fontId="1" type="noConversion"/>
  </si>
  <si>
    <t>金币*40000</t>
    <phoneticPr fontId="1" type="noConversion"/>
  </si>
  <si>
    <t>训练书页*2</t>
    <phoneticPr fontId="1" type="noConversion"/>
  </si>
  <si>
    <t>宝石袋*2</t>
    <phoneticPr fontId="1" type="noConversion"/>
  </si>
  <si>
    <t>进阶之书*1</t>
    <phoneticPr fontId="1" type="noConversion"/>
  </si>
  <si>
    <t>熔炼值*800</t>
    <phoneticPr fontId="1" type="noConversion"/>
  </si>
  <si>
    <t>神器碎片*1</t>
    <phoneticPr fontId="1" type="noConversion"/>
  </si>
  <si>
    <t>精华*10</t>
    <phoneticPr fontId="1" type="noConversion"/>
  </si>
  <si>
    <t>训练、进阶之书若干</t>
    <phoneticPr fontId="1" type="noConversion"/>
  </si>
  <si>
    <t>宝石袋*5、高级宝石袋*1</t>
    <phoneticPr fontId="1" type="noConversion"/>
  </si>
  <si>
    <t>锤子若干</t>
    <phoneticPr fontId="1" type="noConversion"/>
  </si>
  <si>
    <t>钥匙若干</t>
    <phoneticPr fontId="1" type="noConversion"/>
  </si>
  <si>
    <t>3碎片，150精华，2本蓝色书</t>
    <phoneticPr fontId="1" type="noConversion"/>
  </si>
  <si>
    <t>6碎片，240精华，2本紫色书</t>
    <phoneticPr fontId="1" type="noConversion"/>
  </si>
  <si>
    <t>4碎片，200精华，3本蓝色书</t>
    <phoneticPr fontId="1" type="noConversion"/>
  </si>
  <si>
    <t>10碎片，300精华，3本紫色书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</si>
</sst>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2"/>
  <sheetViews>
    <sheetView workbookViewId="0">
      <selection activeCell="B31" sqref="B31"/>
    </sheetView>
  </sheetViews>
  <sheetFormatPr defaultRowHeight="13.5"/>
  <sheetData>
    <row r="1" spans="1:14">
      <c r="A1" t="s">
        <v>0</v>
      </c>
      <c r="B1" t="s">
        <v>19</v>
      </c>
      <c r="C1" t="s">
        <v>18</v>
      </c>
      <c r="D1" t="s">
        <v>9</v>
      </c>
      <c r="F1" t="s">
        <v>1</v>
      </c>
      <c r="G1" t="s">
        <v>19</v>
      </c>
      <c r="H1" t="s">
        <v>18</v>
      </c>
      <c r="I1" t="s">
        <v>9</v>
      </c>
      <c r="K1" t="s">
        <v>2</v>
      </c>
      <c r="L1" t="s">
        <v>19</v>
      </c>
      <c r="M1" t="s">
        <v>18</v>
      </c>
      <c r="N1" t="s">
        <v>9</v>
      </c>
    </row>
    <row r="2" spans="1:14">
      <c r="A2" t="s">
        <v>3</v>
      </c>
      <c r="B2">
        <v>5</v>
      </c>
      <c r="C2">
        <v>100</v>
      </c>
      <c r="D2">
        <v>16500</v>
      </c>
      <c r="F2" t="s">
        <v>3</v>
      </c>
      <c r="G2">
        <v>50</v>
      </c>
      <c r="H2">
        <v>100</v>
      </c>
      <c r="I2">
        <v>65000</v>
      </c>
      <c r="K2" t="s">
        <v>8</v>
      </c>
      <c r="L2">
        <v>3000</v>
      </c>
      <c r="M2">
        <v>100</v>
      </c>
      <c r="N2">
        <v>1</v>
      </c>
    </row>
    <row r="3" spans="1:14">
      <c r="A3" t="s">
        <v>4</v>
      </c>
      <c r="B3">
        <v>20</v>
      </c>
      <c r="C3">
        <v>25</v>
      </c>
      <c r="D3">
        <v>20</v>
      </c>
      <c r="F3" t="s">
        <v>4</v>
      </c>
      <c r="G3">
        <v>200</v>
      </c>
      <c r="H3">
        <v>40</v>
      </c>
      <c r="I3">
        <v>200</v>
      </c>
      <c r="K3" t="s">
        <v>4</v>
      </c>
      <c r="L3">
        <v>650</v>
      </c>
      <c r="M3">
        <v>0</v>
      </c>
      <c r="N3">
        <v>650</v>
      </c>
    </row>
    <row r="4" spans="1:14">
      <c r="A4" t="s">
        <v>5</v>
      </c>
      <c r="B4">
        <v>30</v>
      </c>
      <c r="C4">
        <v>50</v>
      </c>
      <c r="D4">
        <v>6</v>
      </c>
      <c r="F4" t="s">
        <v>6</v>
      </c>
      <c r="G4">
        <v>240</v>
      </c>
      <c r="H4">
        <v>8</v>
      </c>
      <c r="I4">
        <v>2</v>
      </c>
      <c r="L4">
        <v>0</v>
      </c>
      <c r="M4">
        <v>0</v>
      </c>
      <c r="N4">
        <v>0</v>
      </c>
    </row>
    <row r="5" spans="1:14">
      <c r="A5" t="s">
        <v>14</v>
      </c>
      <c r="B5">
        <v>100</v>
      </c>
      <c r="C5">
        <v>7</v>
      </c>
      <c r="D5">
        <v>1</v>
      </c>
      <c r="F5" t="s">
        <v>7</v>
      </c>
      <c r="G5">
        <v>200</v>
      </c>
      <c r="H5">
        <v>20</v>
      </c>
      <c r="I5">
        <v>1</v>
      </c>
      <c r="L5">
        <v>0</v>
      </c>
      <c r="M5">
        <v>0</v>
      </c>
      <c r="N5">
        <v>0</v>
      </c>
    </row>
    <row r="6" spans="1:14">
      <c r="A6" t="s">
        <v>12</v>
      </c>
      <c r="B6">
        <v>20</v>
      </c>
      <c r="C6">
        <v>5</v>
      </c>
      <c r="D6">
        <v>1</v>
      </c>
      <c r="F6" t="s">
        <v>8</v>
      </c>
      <c r="G6">
        <v>3000</v>
      </c>
      <c r="H6">
        <v>1</v>
      </c>
      <c r="I6">
        <v>1</v>
      </c>
      <c r="L6">
        <v>0</v>
      </c>
      <c r="M6">
        <v>0</v>
      </c>
      <c r="N6">
        <v>0</v>
      </c>
    </row>
    <row r="7" spans="1:14">
      <c r="A7" t="s">
        <v>10</v>
      </c>
      <c r="B7">
        <v>60</v>
      </c>
      <c r="C7">
        <v>3</v>
      </c>
      <c r="D7">
        <v>1</v>
      </c>
      <c r="F7" t="s">
        <v>5</v>
      </c>
      <c r="G7">
        <v>200</v>
      </c>
      <c r="H7">
        <v>20</v>
      </c>
      <c r="I7">
        <v>50</v>
      </c>
      <c r="L7">
        <v>0</v>
      </c>
      <c r="M7">
        <v>0</v>
      </c>
      <c r="N7">
        <v>0</v>
      </c>
    </row>
    <row r="8" spans="1:14">
      <c r="A8" t="s">
        <v>11</v>
      </c>
      <c r="B8">
        <v>150</v>
      </c>
      <c r="C8">
        <v>1</v>
      </c>
      <c r="D8">
        <v>1</v>
      </c>
      <c r="F8" t="s">
        <v>14</v>
      </c>
      <c r="G8">
        <v>200</v>
      </c>
      <c r="H8">
        <v>10</v>
      </c>
      <c r="I8">
        <v>2</v>
      </c>
      <c r="L8">
        <v>0</v>
      </c>
      <c r="M8">
        <v>0</v>
      </c>
      <c r="N8">
        <v>0</v>
      </c>
    </row>
    <row r="9" spans="1:14">
      <c r="F9" t="s">
        <v>15</v>
      </c>
      <c r="G9">
        <v>150</v>
      </c>
      <c r="H9">
        <v>10</v>
      </c>
      <c r="I9">
        <v>10</v>
      </c>
    </row>
    <row r="10" spans="1:14">
      <c r="F10" t="s">
        <v>16</v>
      </c>
      <c r="G10">
        <v>250</v>
      </c>
      <c r="H10">
        <v>7</v>
      </c>
      <c r="I10">
        <v>5</v>
      </c>
    </row>
    <row r="11" spans="1:14">
      <c r="F11" t="s">
        <v>17</v>
      </c>
      <c r="G11">
        <v>350</v>
      </c>
      <c r="H11">
        <v>5</v>
      </c>
      <c r="I11">
        <v>2</v>
      </c>
    </row>
    <row r="12" spans="1:14">
      <c r="B12" t="s">
        <v>13</v>
      </c>
      <c r="C12">
        <f>B2/100*C2+B3/100*C3+B4/100*C4+B5/100*C5+B6/100*C6+B7/100*C7+B8/100*C8</f>
        <v>36.299999999999997</v>
      </c>
      <c r="G12" t="s">
        <v>13</v>
      </c>
      <c r="H12">
        <f>G2/100*H2+G3/100*H3+G4/100*H4+G5/100*H5+G6/100*H6+G7/100*H7+G8/100*H8+H9/100*G9+H10/100*G10+H11/100*G11</f>
        <v>329.2</v>
      </c>
      <c r="L12" t="s">
        <v>13</v>
      </c>
      <c r="M12">
        <f>L2/SUM(M2:M8)*M2+L3/SUM(M2:M8)*M3+L4/SUM(M2:M8)*M4+L5/SUM(M2:M8)*M5+L6/SUM(M2:M8)*M6+L7/SUM(M2:M8)*M7+L8/SUM(M2:M8)*M8</f>
        <v>3000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N12"/>
  <sheetViews>
    <sheetView workbookViewId="0">
      <selection activeCell="D21" sqref="D21"/>
    </sheetView>
  </sheetViews>
  <sheetFormatPr defaultRowHeight="13.5"/>
  <sheetData>
    <row r="1" spans="1:14">
      <c r="A1" t="s">
        <v>0</v>
      </c>
      <c r="B1" t="s">
        <v>19</v>
      </c>
      <c r="C1" t="s">
        <v>18</v>
      </c>
      <c r="D1" t="s">
        <v>9</v>
      </c>
      <c r="F1" t="s">
        <v>1</v>
      </c>
      <c r="G1" t="s">
        <v>19</v>
      </c>
      <c r="H1" t="s">
        <v>18</v>
      </c>
      <c r="I1" t="s">
        <v>9</v>
      </c>
      <c r="K1" t="s">
        <v>2</v>
      </c>
      <c r="L1" t="s">
        <v>19</v>
      </c>
      <c r="M1" t="s">
        <v>18</v>
      </c>
      <c r="N1" t="s">
        <v>9</v>
      </c>
    </row>
    <row r="2" spans="1:14">
      <c r="A2" t="s">
        <v>3</v>
      </c>
      <c r="B2">
        <v>5</v>
      </c>
      <c r="C2">
        <v>100</v>
      </c>
      <c r="D2">
        <v>16500</v>
      </c>
      <c r="F2" t="s">
        <v>3</v>
      </c>
      <c r="G2">
        <v>50</v>
      </c>
      <c r="H2">
        <v>100</v>
      </c>
      <c r="I2">
        <v>65000</v>
      </c>
      <c r="K2" t="s">
        <v>8</v>
      </c>
      <c r="L2">
        <v>3000</v>
      </c>
      <c r="M2">
        <v>100</v>
      </c>
      <c r="N2">
        <v>1</v>
      </c>
    </row>
    <row r="3" spans="1:14">
      <c r="A3" t="s">
        <v>4</v>
      </c>
      <c r="B3">
        <v>20</v>
      </c>
      <c r="C3">
        <v>25</v>
      </c>
      <c r="D3">
        <v>20</v>
      </c>
      <c r="F3" t="s">
        <v>4</v>
      </c>
      <c r="G3">
        <v>200</v>
      </c>
      <c r="H3">
        <v>0</v>
      </c>
      <c r="I3">
        <v>200</v>
      </c>
      <c r="K3" t="s">
        <v>4</v>
      </c>
      <c r="L3">
        <v>650</v>
      </c>
      <c r="M3">
        <v>0</v>
      </c>
      <c r="N3">
        <v>650</v>
      </c>
    </row>
    <row r="4" spans="1:14">
      <c r="A4" t="s">
        <v>5</v>
      </c>
      <c r="B4">
        <v>30</v>
      </c>
      <c r="C4">
        <v>50</v>
      </c>
      <c r="D4">
        <v>6</v>
      </c>
      <c r="F4" t="s">
        <v>6</v>
      </c>
      <c r="G4">
        <v>120</v>
      </c>
      <c r="H4">
        <v>20</v>
      </c>
      <c r="I4">
        <v>1</v>
      </c>
      <c r="L4">
        <v>0</v>
      </c>
      <c r="M4">
        <v>0</v>
      </c>
      <c r="N4">
        <v>0</v>
      </c>
    </row>
    <row r="5" spans="1:14">
      <c r="A5" t="s">
        <v>14</v>
      </c>
      <c r="B5">
        <v>100</v>
      </c>
      <c r="C5">
        <v>7</v>
      </c>
      <c r="D5">
        <v>1</v>
      </c>
      <c r="F5" t="s">
        <v>7</v>
      </c>
      <c r="G5">
        <v>200</v>
      </c>
      <c r="H5">
        <v>30</v>
      </c>
      <c r="I5">
        <v>1</v>
      </c>
      <c r="L5">
        <v>0</v>
      </c>
      <c r="M5">
        <v>0</v>
      </c>
      <c r="N5">
        <v>0</v>
      </c>
    </row>
    <row r="6" spans="1:14">
      <c r="A6" t="s">
        <v>12</v>
      </c>
      <c r="B6">
        <v>20</v>
      </c>
      <c r="C6">
        <v>5</v>
      </c>
      <c r="D6">
        <v>1</v>
      </c>
      <c r="F6" t="s">
        <v>8</v>
      </c>
      <c r="G6">
        <v>3000</v>
      </c>
      <c r="H6">
        <v>1</v>
      </c>
      <c r="I6">
        <v>1</v>
      </c>
      <c r="L6">
        <v>0</v>
      </c>
      <c r="M6">
        <v>0</v>
      </c>
      <c r="N6">
        <v>0</v>
      </c>
    </row>
    <row r="7" spans="1:14">
      <c r="A7" t="s">
        <v>10</v>
      </c>
      <c r="B7">
        <v>60</v>
      </c>
      <c r="C7">
        <v>3</v>
      </c>
      <c r="D7">
        <v>1</v>
      </c>
      <c r="F7" t="s">
        <v>5</v>
      </c>
      <c r="G7">
        <v>200</v>
      </c>
      <c r="H7">
        <v>35</v>
      </c>
      <c r="I7">
        <v>50</v>
      </c>
      <c r="L7">
        <v>0</v>
      </c>
      <c r="M7">
        <v>0</v>
      </c>
      <c r="N7">
        <v>0</v>
      </c>
    </row>
    <row r="8" spans="1:14">
      <c r="A8" t="s">
        <v>11</v>
      </c>
      <c r="B8">
        <v>150</v>
      </c>
      <c r="C8">
        <v>1</v>
      </c>
      <c r="D8">
        <v>1</v>
      </c>
      <c r="F8" t="s">
        <v>14</v>
      </c>
      <c r="G8">
        <v>200</v>
      </c>
      <c r="H8">
        <v>12</v>
      </c>
      <c r="I8">
        <v>2</v>
      </c>
      <c r="L8">
        <v>0</v>
      </c>
      <c r="M8">
        <v>0</v>
      </c>
      <c r="N8">
        <v>0</v>
      </c>
    </row>
    <row r="9" spans="1:14">
      <c r="F9" t="s">
        <v>15</v>
      </c>
      <c r="G9">
        <v>150</v>
      </c>
      <c r="H9">
        <v>17</v>
      </c>
      <c r="I9">
        <v>10</v>
      </c>
    </row>
    <row r="10" spans="1:14">
      <c r="F10" t="s">
        <v>16</v>
      </c>
      <c r="G10">
        <v>250</v>
      </c>
      <c r="H10">
        <v>12</v>
      </c>
      <c r="I10">
        <v>5</v>
      </c>
    </row>
    <row r="11" spans="1:14">
      <c r="F11" t="s">
        <v>17</v>
      </c>
      <c r="G11">
        <v>350</v>
      </c>
      <c r="H11">
        <v>6</v>
      </c>
      <c r="I11">
        <v>2</v>
      </c>
    </row>
    <row r="12" spans="1:14">
      <c r="B12" t="s">
        <v>13</v>
      </c>
      <c r="C12">
        <f>B2/100*C2+B3/100*C3+B4/100*C4+B5/100*C5+B6/100*C6+B7/100*C7+B8/100*C8</f>
        <v>36.299999999999997</v>
      </c>
      <c r="G12" t="s">
        <v>13</v>
      </c>
      <c r="H12">
        <f>G2/100*H2+G3/100*H3+G4/100*H4+G5/100*H5+G6/100*H6+G7/100*H7+G8/100*H8+H9/100*G9+H10/100*G10+H11/100*G11</f>
        <v>334.5</v>
      </c>
      <c r="L12" t="s">
        <v>13</v>
      </c>
      <c r="M12">
        <f>L2/SUM(M2:M8)*M2+L3/SUM(M2:M8)*M3+L4/SUM(M2:M8)*M4+L5/SUM(M2:M8)*M5+L6/SUM(M2:M8)*M6+L7/SUM(M2:M8)*M7+L8/SUM(M2:M8)*M8</f>
        <v>3000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31"/>
  <sheetViews>
    <sheetView tabSelected="1" workbookViewId="0">
      <selection activeCell="O24" sqref="O24"/>
    </sheetView>
  </sheetViews>
  <sheetFormatPr defaultRowHeight="13.5"/>
  <cols>
    <col min="2" max="2" width="10.875" customWidth="1"/>
    <col min="3" max="3" width="11.375" customWidth="1"/>
    <col min="6" max="6" width="11.125" customWidth="1"/>
    <col min="15" max="15" width="37.25" customWidth="1"/>
  </cols>
  <sheetData>
    <row r="1" spans="1:17">
      <c r="A1" t="s">
        <v>23</v>
      </c>
      <c r="B1">
        <v>4</v>
      </c>
      <c r="F1" t="s">
        <v>51</v>
      </c>
      <c r="G1">
        <v>15</v>
      </c>
    </row>
    <row r="2" spans="1:17">
      <c r="B2" t="s">
        <v>33</v>
      </c>
      <c r="C2" t="s">
        <v>32</v>
      </c>
      <c r="D2" t="s">
        <v>34</v>
      </c>
    </row>
    <row r="3" spans="1:17">
      <c r="A3" t="s">
        <v>24</v>
      </c>
      <c r="B3">
        <v>5</v>
      </c>
      <c r="C3">
        <v>30</v>
      </c>
      <c r="D3">
        <v>100</v>
      </c>
    </row>
    <row r="4" spans="1:17">
      <c r="A4" t="s">
        <v>61</v>
      </c>
      <c r="B4" t="s">
        <v>66</v>
      </c>
      <c r="C4" t="s">
        <v>67</v>
      </c>
      <c r="D4" t="s">
        <v>74</v>
      </c>
    </row>
    <row r="5" spans="1:17">
      <c r="B5" t="s">
        <v>62</v>
      </c>
      <c r="C5" t="s">
        <v>63</v>
      </c>
      <c r="D5" t="s">
        <v>73</v>
      </c>
    </row>
    <row r="6" spans="1:17">
      <c r="B6" t="s">
        <v>65</v>
      </c>
      <c r="C6" t="s">
        <v>68</v>
      </c>
      <c r="D6" t="s">
        <v>72</v>
      </c>
    </row>
    <row r="7" spans="1:17">
      <c r="B7" t="s">
        <v>64</v>
      </c>
      <c r="C7" t="s">
        <v>69</v>
      </c>
      <c r="D7" t="s">
        <v>75</v>
      </c>
    </row>
    <row r="8" spans="1:17">
      <c r="C8" t="s">
        <v>70</v>
      </c>
      <c r="D8" t="s">
        <v>70</v>
      </c>
    </row>
    <row r="9" spans="1:17">
      <c r="C9" t="s">
        <v>71</v>
      </c>
    </row>
    <row r="10" spans="1:17">
      <c r="A10" t="s">
        <v>41</v>
      </c>
      <c r="B10">
        <v>5</v>
      </c>
      <c r="C10">
        <v>30</v>
      </c>
      <c r="D10">
        <v>100</v>
      </c>
    </row>
    <row r="12" spans="1:17">
      <c r="B12" t="s">
        <v>21</v>
      </c>
      <c r="C12" t="s">
        <v>20</v>
      </c>
      <c r="D12" t="s">
        <v>22</v>
      </c>
      <c r="E12" t="s">
        <v>25</v>
      </c>
      <c r="F12" t="s">
        <v>30</v>
      </c>
      <c r="G12" t="s">
        <v>31</v>
      </c>
      <c r="H12" t="s">
        <v>41</v>
      </c>
      <c r="I12" t="s">
        <v>59</v>
      </c>
      <c r="J12" t="s">
        <v>60</v>
      </c>
      <c r="M12" t="s">
        <v>35</v>
      </c>
      <c r="N12" t="s">
        <v>40</v>
      </c>
      <c r="O12" t="s">
        <v>58</v>
      </c>
      <c r="P12" t="s">
        <v>41</v>
      </c>
      <c r="Q12" t="s">
        <v>42</v>
      </c>
    </row>
    <row r="13" spans="1:17">
      <c r="A13" t="s">
        <v>26</v>
      </c>
      <c r="B13">
        <v>50</v>
      </c>
      <c r="C13">
        <v>4</v>
      </c>
      <c r="D13">
        <v>3</v>
      </c>
      <c r="E13">
        <v>0</v>
      </c>
      <c r="F13">
        <f>(B13+C13)*B$3+D13*C$3+E13*D$3+D13*D$3*0.2</f>
        <v>420</v>
      </c>
      <c r="G13">
        <f>F13*B$1</f>
        <v>1680</v>
      </c>
      <c r="H13">
        <f>((B13+C13)*B$10+C$10*D13+D$10*E13)*B$1</f>
        <v>1440</v>
      </c>
      <c r="I13">
        <f>30*B$1</f>
        <v>120</v>
      </c>
      <c r="J13">
        <f>H13/G$1</f>
        <v>96</v>
      </c>
      <c r="L13" t="s">
        <v>36</v>
      </c>
      <c r="M13">
        <v>800</v>
      </c>
      <c r="N13">
        <f>M13</f>
        <v>800</v>
      </c>
      <c r="O13" t="s">
        <v>76</v>
      </c>
      <c r="P13">
        <v>750</v>
      </c>
      <c r="Q13">
        <f>H13+SUM(P$13:P13)</f>
        <v>2190</v>
      </c>
    </row>
    <row r="14" spans="1:17">
      <c r="A14" t="s">
        <v>27</v>
      </c>
      <c r="B14">
        <v>50</v>
      </c>
      <c r="C14">
        <v>12</v>
      </c>
      <c r="D14">
        <v>5</v>
      </c>
      <c r="E14">
        <v>2</v>
      </c>
      <c r="F14">
        <f t="shared" ref="F14:F16" si="0">(B14+C14)*B$3+D14*C$3+E14*D$3+D14*D$3*0.2</f>
        <v>760</v>
      </c>
      <c r="G14">
        <f t="shared" ref="G14:G16" si="1">F14*B$1</f>
        <v>3040</v>
      </c>
      <c r="H14">
        <f>((B14+C14)*B$10+C$10*D14+D$10*E14)*B$1</f>
        <v>2640</v>
      </c>
      <c r="I14">
        <f>((D14-3)*50+(C14/4)*50+E14*100)*B$1</f>
        <v>1800</v>
      </c>
      <c r="J14">
        <f t="shared" ref="J14:J16" si="2">H14/G$1</f>
        <v>176</v>
      </c>
      <c r="L14" t="s">
        <v>37</v>
      </c>
      <c r="M14">
        <v>1200</v>
      </c>
      <c r="N14">
        <f>M14+N13</f>
        <v>2000</v>
      </c>
      <c r="O14" t="s">
        <v>78</v>
      </c>
      <c r="P14">
        <v>1000</v>
      </c>
      <c r="Q14">
        <f>H14+SUM(P$13:P14)</f>
        <v>4390</v>
      </c>
    </row>
    <row r="15" spans="1:17">
      <c r="A15" t="s">
        <v>28</v>
      </c>
      <c r="B15">
        <v>50</v>
      </c>
      <c r="C15">
        <v>36</v>
      </c>
      <c r="D15">
        <v>10</v>
      </c>
      <c r="E15">
        <v>5</v>
      </c>
      <c r="F15">
        <f t="shared" si="0"/>
        <v>1430</v>
      </c>
      <c r="G15">
        <f t="shared" si="1"/>
        <v>5720</v>
      </c>
      <c r="H15">
        <f>((B15+C15)*B$10+C$10*D15+D$10*E15)*B$1</f>
        <v>4920</v>
      </c>
      <c r="I15">
        <f t="shared" ref="I15:I16" si="3">((D15-3)*50+(C15/4)*50+E15*100)*B$1</f>
        <v>5200</v>
      </c>
      <c r="J15">
        <f t="shared" si="2"/>
        <v>328</v>
      </c>
      <c r="L15" t="s">
        <v>38</v>
      </c>
      <c r="M15">
        <v>1600</v>
      </c>
      <c r="N15">
        <f t="shared" ref="N15:N16" si="4">M15+N14</f>
        <v>3600</v>
      </c>
      <c r="O15" t="s">
        <v>77</v>
      </c>
      <c r="P15">
        <v>1320</v>
      </c>
      <c r="Q15">
        <f>H15+SUM(P$13:P15)</f>
        <v>7990</v>
      </c>
    </row>
    <row r="16" spans="1:17">
      <c r="A16" t="s">
        <v>29</v>
      </c>
      <c r="B16">
        <v>50</v>
      </c>
      <c r="C16">
        <v>56</v>
      </c>
      <c r="D16">
        <v>15</v>
      </c>
      <c r="E16">
        <v>20</v>
      </c>
      <c r="F16">
        <f t="shared" si="0"/>
        <v>3280</v>
      </c>
      <c r="G16">
        <f t="shared" si="1"/>
        <v>13120</v>
      </c>
      <c r="H16">
        <f>((B16+C16)*B$10+C$10*D16+D$10*E16)*B$1</f>
        <v>11920</v>
      </c>
      <c r="I16">
        <f t="shared" si="3"/>
        <v>13200</v>
      </c>
      <c r="J16">
        <f t="shared" si="2"/>
        <v>794.66666666666663</v>
      </c>
      <c r="L16" t="s">
        <v>39</v>
      </c>
      <c r="M16">
        <v>2400</v>
      </c>
      <c r="N16">
        <f t="shared" si="4"/>
        <v>6000</v>
      </c>
      <c r="O16" t="s">
        <v>79</v>
      </c>
      <c r="P16">
        <v>1900</v>
      </c>
      <c r="Q16">
        <f>H16+SUM(P$13:P16)</f>
        <v>16890</v>
      </c>
    </row>
    <row r="19" spans="1:6">
      <c r="A19" t="s">
        <v>43</v>
      </c>
      <c r="F19" t="s">
        <v>50</v>
      </c>
    </row>
    <row r="20" spans="1:6">
      <c r="A20" s="2" t="s">
        <v>47</v>
      </c>
      <c r="B20" t="s">
        <v>52</v>
      </c>
      <c r="F20">
        <v>4000</v>
      </c>
    </row>
    <row r="21" spans="1:6">
      <c r="A21" s="2" t="s">
        <v>48</v>
      </c>
      <c r="B21" t="s">
        <v>53</v>
      </c>
      <c r="F21">
        <v>2950</v>
      </c>
    </row>
    <row r="22" spans="1:6">
      <c r="A22" s="2" t="s">
        <v>49</v>
      </c>
      <c r="B22" t="s">
        <v>54</v>
      </c>
      <c r="F22">
        <v>2400</v>
      </c>
    </row>
    <row r="23" spans="1:6">
      <c r="A23" s="1" t="s">
        <v>44</v>
      </c>
      <c r="B23" t="s">
        <v>55</v>
      </c>
      <c r="F23">
        <v>1600</v>
      </c>
    </row>
    <row r="24" spans="1:6">
      <c r="A24" s="2" t="s">
        <v>45</v>
      </c>
      <c r="B24" t="s">
        <v>56</v>
      </c>
      <c r="F24">
        <v>1050</v>
      </c>
    </row>
    <row r="25" spans="1:6">
      <c r="A25" s="2" t="s">
        <v>46</v>
      </c>
      <c r="B25" t="s">
        <v>57</v>
      </c>
      <c r="F25">
        <v>650</v>
      </c>
    </row>
    <row r="26" spans="1:6">
      <c r="A26" s="2"/>
    </row>
    <row r="27" spans="1:6">
      <c r="A27" s="2"/>
    </row>
    <row r="28" spans="1:6">
      <c r="A28" s="2"/>
    </row>
    <row r="29" spans="1:6">
      <c r="A29" s="2"/>
    </row>
    <row r="30" spans="1:6">
      <c r="A30" s="2"/>
    </row>
    <row r="31" spans="1:6">
      <c r="A31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假日秘宝</vt:lpstr>
      <vt:lpstr>假日秘宝APP</vt:lpstr>
      <vt:lpstr>远征物资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2014-10-27T10:22:34Z</dcterms:modified>
</cp:coreProperties>
</file>